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brewersassociation.sharepoint.com/Shared Documents/Econ &amp; Stats/Survey_BIPS/BIPS 2025/11_TNB_BA.Org Pubs/BA.org/Published/"/>
    </mc:Choice>
  </mc:AlternateContent>
  <xr:revisionPtr revIDLastSave="4" documentId="8_{E1D217E0-AAA8-4672-825A-5DC751D85DB6}" xr6:coauthVersionLast="47" xr6:coauthVersionMax="47" xr10:uidLastSave="{10BA95D4-6E2B-4FC5-BE92-3582A107B8F9}"/>
  <bookViews>
    <workbookView xWindow="-28920" yWindow="-120" windowWidth="29040" windowHeight="15720" xr2:uid="{4D21EB01-9E8F-44AC-9E63-7B0460A7A498}"/>
  </bookViews>
  <sheets>
    <sheet name="Table of Contents" sheetId="9" r:id="rId1"/>
    <sheet name="1. Craft Historical" sheetId="2" r:id="rId2"/>
    <sheet name="2. Category Change Per Brewer" sheetId="8" r:id="rId3"/>
    <sheet name="3. Craft Control Group Data" sheetId="1" r:id="rId4"/>
    <sheet name="4. Large Brewer Regionals" sheetId="3" r:id="rId5"/>
    <sheet name="5. State Production" sheetId="4" r:id="rId6"/>
    <sheet name="6. Breweries by State" sheetId="5" r:id="rId7"/>
    <sheet name="7. 21+ Population Data" sheetId="6" r:id="rId8"/>
    <sheet name="8. TTB State Permit Data" sheetId="7" r:id="rId9"/>
    <sheet name="9. Do Not Publish List" sheetId="10" r:id="rId10"/>
  </sheets>
  <definedNames>
    <definedName name="_xlnm._FilterDatabase" localSheetId="3" hidden="1">'3. Craft Control Group Data'!$A$2:$E$7848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5" i="6" l="1"/>
  <c r="D5" i="6"/>
  <c r="D9" i="6"/>
  <c r="D13" i="6"/>
  <c r="D17" i="6"/>
  <c r="D21" i="6"/>
  <c r="D25" i="6"/>
  <c r="D29" i="6"/>
  <c r="D33" i="6"/>
  <c r="D37" i="6"/>
  <c r="D41" i="6"/>
  <c r="D45" i="6"/>
  <c r="D46" i="6"/>
  <c r="D49" i="6"/>
  <c r="D53" i="6"/>
  <c r="D2" i="6"/>
  <c r="E41" i="6"/>
  <c r="E53" i="6"/>
  <c r="E52" i="6"/>
  <c r="D52" i="6" s="1"/>
  <c r="E51" i="6"/>
  <c r="D51" i="6" s="1"/>
  <c r="E50" i="6"/>
  <c r="D50" i="6" s="1"/>
  <c r="E49" i="6"/>
  <c r="E48" i="6"/>
  <c r="D48" i="6" s="1"/>
  <c r="E47" i="6"/>
  <c r="D47" i="6" s="1"/>
  <c r="E46" i="6"/>
  <c r="E45" i="6"/>
  <c r="E44" i="6"/>
  <c r="D44" i="6" s="1"/>
  <c r="E43" i="6"/>
  <c r="D43" i="6" s="1"/>
  <c r="E42" i="6"/>
  <c r="D42" i="6" s="1"/>
  <c r="E40" i="6"/>
  <c r="D40" i="6" s="1"/>
  <c r="E39" i="6"/>
  <c r="D39" i="6" s="1"/>
  <c r="E38" i="6"/>
  <c r="D38" i="6" s="1"/>
  <c r="E37" i="6"/>
  <c r="E36" i="6"/>
  <c r="D36" i="6" s="1"/>
  <c r="E35" i="6"/>
  <c r="D35" i="6" s="1"/>
  <c r="E34" i="6"/>
  <c r="D34" i="6" s="1"/>
  <c r="E33" i="6"/>
  <c r="E32" i="6"/>
  <c r="D32" i="6" s="1"/>
  <c r="E31" i="6"/>
  <c r="D31" i="6" s="1"/>
  <c r="E30" i="6"/>
  <c r="D30" i="6" s="1"/>
  <c r="E29" i="6"/>
  <c r="E28" i="6"/>
  <c r="D28" i="6" s="1"/>
  <c r="E27" i="6"/>
  <c r="D27" i="6" s="1"/>
  <c r="E26" i="6"/>
  <c r="D26" i="6" s="1"/>
  <c r="E25" i="6"/>
  <c r="E24" i="6"/>
  <c r="D24" i="6" s="1"/>
  <c r="E23" i="6"/>
  <c r="D23" i="6" s="1"/>
  <c r="E22" i="6"/>
  <c r="D22" i="6" s="1"/>
  <c r="E21" i="6"/>
  <c r="E20" i="6"/>
  <c r="D20" i="6" s="1"/>
  <c r="E19" i="6"/>
  <c r="D19" i="6" s="1"/>
  <c r="E18" i="6"/>
  <c r="D18" i="6" s="1"/>
  <c r="E17" i="6"/>
  <c r="E16" i="6"/>
  <c r="D16" i="6" s="1"/>
  <c r="E15" i="6"/>
  <c r="D15" i="6" s="1"/>
  <c r="E14" i="6"/>
  <c r="D14" i="6" s="1"/>
  <c r="E13" i="6"/>
  <c r="E12" i="6"/>
  <c r="D12" i="6" s="1"/>
  <c r="E11" i="6"/>
  <c r="D11" i="6" s="1"/>
  <c r="E10" i="6"/>
  <c r="D10" i="6" s="1"/>
  <c r="E9" i="6"/>
  <c r="E8" i="6"/>
  <c r="D8" i="6" s="1"/>
  <c r="E7" i="6"/>
  <c r="D7" i="6" s="1"/>
  <c r="E6" i="6"/>
  <c r="D6" i="6" s="1"/>
  <c r="E5" i="6"/>
  <c r="E4" i="6"/>
  <c r="D4" i="6" s="1"/>
  <c r="E3" i="6"/>
  <c r="D3" i="6" s="1"/>
  <c r="E2" i="6"/>
  <c r="L41" i="5"/>
  <c r="M41" i="5"/>
  <c r="G41" i="5"/>
  <c r="H41" i="5"/>
  <c r="T55" i="4"/>
  <c r="T53" i="4"/>
  <c r="T52" i="4"/>
  <c r="T51" i="4"/>
  <c r="T50" i="4"/>
  <c r="T49" i="4"/>
  <c r="T48" i="4"/>
  <c r="T47" i="4"/>
  <c r="T46" i="4"/>
  <c r="T45" i="4"/>
  <c r="T44" i="4"/>
  <c r="T43" i="4"/>
  <c r="T42" i="4"/>
  <c r="T41" i="4"/>
  <c r="T40" i="4"/>
  <c r="T39" i="4"/>
  <c r="T38" i="4"/>
  <c r="T37" i="4"/>
  <c r="T36" i="4"/>
  <c r="T35" i="4"/>
  <c r="T34" i="4"/>
  <c r="T33" i="4"/>
  <c r="T32" i="4"/>
  <c r="T31" i="4"/>
  <c r="T30" i="4"/>
  <c r="T29" i="4"/>
  <c r="T28" i="4"/>
  <c r="T27" i="4"/>
  <c r="T26" i="4"/>
  <c r="T25" i="4"/>
  <c r="T24" i="4"/>
  <c r="T23" i="4"/>
  <c r="T22" i="4"/>
  <c r="T21" i="4"/>
  <c r="T20" i="4"/>
  <c r="T19" i="4"/>
  <c r="T18" i="4"/>
  <c r="T17" i="4"/>
  <c r="T16" i="4"/>
  <c r="T15" i="4"/>
  <c r="T14" i="4"/>
  <c r="T13" i="4"/>
  <c r="T12" i="4"/>
  <c r="T11" i="4"/>
  <c r="T10" i="4"/>
  <c r="T9" i="4"/>
  <c r="T8" i="4"/>
  <c r="T7" i="4"/>
  <c r="T6" i="4"/>
  <c r="T5" i="4"/>
  <c r="T4" i="4"/>
  <c r="T3" i="4"/>
  <c r="D55" i="4"/>
  <c r="E55" i="4"/>
  <c r="K27" i="3"/>
  <c r="J27" i="3"/>
  <c r="I27" i="3"/>
  <c r="H27" i="3"/>
  <c r="K26" i="3"/>
  <c r="J26" i="3"/>
  <c r="I26" i="3"/>
  <c r="H26" i="3"/>
  <c r="J25" i="3"/>
  <c r="I25" i="3"/>
  <c r="H25" i="3"/>
  <c r="G25" i="3"/>
  <c r="K25" i="3" s="1"/>
  <c r="K24" i="3"/>
  <c r="J24" i="3"/>
  <c r="I24" i="3"/>
  <c r="H24" i="3"/>
  <c r="J23" i="3"/>
  <c r="I23" i="3"/>
  <c r="H23" i="3"/>
  <c r="F23" i="3"/>
  <c r="H22" i="3"/>
  <c r="G22" i="3"/>
  <c r="G23" i="3" s="1"/>
  <c r="K23" i="3" s="1"/>
  <c r="E22" i="3"/>
  <c r="E28" i="3" s="1"/>
  <c r="I28" i="3" s="1"/>
  <c r="D22" i="3"/>
  <c r="D28" i="3" s="1"/>
  <c r="C22" i="3"/>
  <c r="C28" i="3" s="1"/>
  <c r="K21" i="3"/>
  <c r="J21" i="3"/>
  <c r="I21" i="3"/>
  <c r="K20" i="3"/>
  <c r="J20" i="3"/>
  <c r="I20" i="3"/>
  <c r="H20" i="3"/>
  <c r="K19" i="3"/>
  <c r="J19" i="3"/>
  <c r="I19" i="3"/>
  <c r="H19" i="3"/>
  <c r="K18" i="3"/>
  <c r="J18" i="3"/>
  <c r="I18" i="3"/>
  <c r="H18" i="3"/>
  <c r="K17" i="3"/>
  <c r="J17" i="3"/>
  <c r="I17" i="3"/>
  <c r="H17" i="3"/>
  <c r="K16" i="3"/>
  <c r="J16" i="3"/>
  <c r="I16" i="3"/>
  <c r="H16" i="3"/>
  <c r="I15" i="3"/>
  <c r="H15" i="3"/>
  <c r="F15" i="3"/>
  <c r="K15" i="3" s="1"/>
  <c r="K14" i="3"/>
  <c r="J14" i="3"/>
  <c r="I14" i="3"/>
  <c r="H14" i="3"/>
  <c r="K13" i="3"/>
  <c r="J13" i="3"/>
  <c r="I13" i="3"/>
  <c r="H13" i="3"/>
  <c r="J12" i="3"/>
  <c r="I12" i="3"/>
  <c r="H12" i="3"/>
  <c r="G12" i="3"/>
  <c r="K11" i="3"/>
  <c r="J11" i="3"/>
  <c r="I11" i="3"/>
  <c r="H11" i="3"/>
  <c r="K10" i="3"/>
  <c r="J10" i="3"/>
  <c r="I10" i="3"/>
  <c r="H10" i="3"/>
  <c r="J9" i="3"/>
  <c r="I9" i="3"/>
  <c r="H9" i="3"/>
  <c r="G9" i="3"/>
  <c r="K9" i="3" s="1"/>
  <c r="F9" i="3"/>
  <c r="E9" i="3"/>
  <c r="D9" i="3"/>
  <c r="K8" i="3"/>
  <c r="J8" i="3"/>
  <c r="I8" i="3"/>
  <c r="H8" i="3"/>
  <c r="K7" i="3"/>
  <c r="J7" i="3"/>
  <c r="I7" i="3"/>
  <c r="H7" i="3"/>
  <c r="G7" i="3"/>
  <c r="K6" i="3"/>
  <c r="J6" i="3"/>
  <c r="I6" i="3"/>
  <c r="H6" i="3"/>
  <c r="K5" i="3"/>
  <c r="J5" i="3"/>
  <c r="I5" i="3"/>
  <c r="H5" i="3"/>
  <c r="K4" i="3"/>
  <c r="J4" i="3"/>
  <c r="I4" i="3"/>
  <c r="H4" i="3"/>
  <c r="G4" i="3"/>
  <c r="F4" i="3"/>
  <c r="D4" i="3"/>
  <c r="G28" i="3" l="1"/>
  <c r="J15" i="3"/>
  <c r="K22" i="3"/>
  <c r="I22" i="3"/>
  <c r="F12" i="3"/>
  <c r="J22" i="3"/>
  <c r="F28" i="3" l="1"/>
  <c r="J28" i="3" s="1"/>
  <c r="K12" i="3"/>
  <c r="K28" i="3" l="1"/>
  <c r="B11" i="2" l="1"/>
  <c r="E14" i="2"/>
  <c r="D16" i="8"/>
  <c r="B16" i="8"/>
  <c r="D15" i="8"/>
  <c r="E15" i="8" s="1"/>
  <c r="B15" i="8"/>
  <c r="B27" i="2" l="1"/>
  <c r="B26" i="2"/>
  <c r="B25" i="2"/>
  <c r="B24" i="2"/>
  <c r="B21" i="2"/>
  <c r="B13" i="2" l="1"/>
  <c r="B8" i="2"/>
  <c r="X58" i="7" l="1"/>
  <c r="W58" i="7"/>
  <c r="V58" i="7"/>
  <c r="U58" i="7"/>
  <c r="T58" i="7"/>
  <c r="S58" i="7"/>
  <c r="R58" i="7"/>
  <c r="Q58" i="7"/>
  <c r="P58" i="7"/>
  <c r="O58" i="7"/>
  <c r="N58" i="7"/>
  <c r="M58" i="7"/>
  <c r="L58" i="7"/>
  <c r="K58" i="7"/>
  <c r="J58" i="7"/>
  <c r="I58" i="7"/>
  <c r="H58" i="7"/>
  <c r="G58" i="7"/>
  <c r="F58" i="7"/>
  <c r="E58" i="7"/>
  <c r="D58" i="7"/>
  <c r="C58" i="7"/>
  <c r="Z58" i="7"/>
  <c r="Y58" i="7"/>
  <c r="E55" i="6" l="1"/>
  <c r="C55" i="6"/>
  <c r="K55" i="5"/>
  <c r="F55" i="5"/>
  <c r="L53" i="5"/>
  <c r="L52" i="5"/>
  <c r="L51" i="5"/>
  <c r="L50" i="5"/>
  <c r="L49" i="5"/>
  <c r="L48" i="5"/>
  <c r="L47" i="5"/>
  <c r="L46" i="5"/>
  <c r="L45" i="5"/>
  <c r="L44" i="5"/>
  <c r="L43" i="5"/>
  <c r="L42" i="5"/>
  <c r="L40" i="5"/>
  <c r="L39" i="5"/>
  <c r="L38" i="5"/>
  <c r="L37"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L8" i="5"/>
  <c r="L7" i="5"/>
  <c r="L6" i="5"/>
  <c r="L5" i="5"/>
  <c r="L4" i="5"/>
  <c r="L3" i="5"/>
  <c r="L2" i="5"/>
  <c r="D53" i="5"/>
  <c r="H53" i="5" s="1"/>
  <c r="D52" i="5"/>
  <c r="H52" i="5" s="1"/>
  <c r="D51" i="5"/>
  <c r="M51" i="5" s="1"/>
  <c r="D50" i="5"/>
  <c r="M50" i="5" s="1"/>
  <c r="D49" i="5"/>
  <c r="M49" i="5" s="1"/>
  <c r="D48" i="5"/>
  <c r="M48" i="5" s="1"/>
  <c r="D47" i="5"/>
  <c r="H47" i="5" s="1"/>
  <c r="D46" i="5"/>
  <c r="H46" i="5" s="1"/>
  <c r="D45" i="5"/>
  <c r="H45" i="5" s="1"/>
  <c r="D44" i="5"/>
  <c r="H44" i="5" s="1"/>
  <c r="D43" i="5"/>
  <c r="M43" i="5" s="1"/>
  <c r="D42" i="5"/>
  <c r="M42" i="5" s="1"/>
  <c r="D40" i="5"/>
  <c r="M40" i="5" s="1"/>
  <c r="D39" i="5"/>
  <c r="M39" i="5" s="1"/>
  <c r="D38" i="5"/>
  <c r="H38" i="5" s="1"/>
  <c r="D37" i="5"/>
  <c r="H37" i="5" s="1"/>
  <c r="D36" i="5"/>
  <c r="H36" i="5" s="1"/>
  <c r="D35" i="5"/>
  <c r="H35" i="5" s="1"/>
  <c r="D34" i="5"/>
  <c r="M34" i="5" s="1"/>
  <c r="D33" i="5"/>
  <c r="M33" i="5" s="1"/>
  <c r="D32" i="5"/>
  <c r="M32" i="5" s="1"/>
  <c r="D31" i="5"/>
  <c r="M31" i="5" s="1"/>
  <c r="D30" i="5"/>
  <c r="H30" i="5" s="1"/>
  <c r="D29" i="5"/>
  <c r="H29" i="5" s="1"/>
  <c r="D28" i="5"/>
  <c r="H28" i="5" s="1"/>
  <c r="D27" i="5"/>
  <c r="H27" i="5" s="1"/>
  <c r="D26" i="5"/>
  <c r="M26" i="5" s="1"/>
  <c r="D25" i="5"/>
  <c r="M25" i="5" s="1"/>
  <c r="D24" i="5"/>
  <c r="M24" i="5" s="1"/>
  <c r="D23" i="5"/>
  <c r="M23" i="5" s="1"/>
  <c r="D22" i="5"/>
  <c r="H22" i="5" s="1"/>
  <c r="D21" i="5"/>
  <c r="H21" i="5" s="1"/>
  <c r="D20" i="5"/>
  <c r="H20" i="5" s="1"/>
  <c r="D19" i="5"/>
  <c r="H19" i="5" s="1"/>
  <c r="D18" i="5"/>
  <c r="M18" i="5" s="1"/>
  <c r="D17" i="5"/>
  <c r="M17" i="5" s="1"/>
  <c r="D16" i="5"/>
  <c r="M16" i="5" s="1"/>
  <c r="D15" i="5"/>
  <c r="M15" i="5" s="1"/>
  <c r="D14" i="5"/>
  <c r="H14" i="5" s="1"/>
  <c r="D13" i="5"/>
  <c r="H13" i="5" s="1"/>
  <c r="D12" i="5"/>
  <c r="H12" i="5" s="1"/>
  <c r="D11" i="5"/>
  <c r="H11" i="5" s="1"/>
  <c r="D10" i="5"/>
  <c r="M10" i="5" s="1"/>
  <c r="D9" i="5"/>
  <c r="M9" i="5" s="1"/>
  <c r="D8" i="5"/>
  <c r="M8" i="5" s="1"/>
  <c r="D7" i="5"/>
  <c r="M7" i="5" s="1"/>
  <c r="D6" i="5"/>
  <c r="H6" i="5" s="1"/>
  <c r="D5" i="5"/>
  <c r="H5" i="5" s="1"/>
  <c r="D4" i="5"/>
  <c r="H4" i="5" s="1"/>
  <c r="D3" i="5"/>
  <c r="H3" i="5" s="1"/>
  <c r="D2" i="5"/>
  <c r="M2" i="5" s="1"/>
  <c r="H48" i="5" l="1"/>
  <c r="M27" i="5"/>
  <c r="H39" i="5"/>
  <c r="M35" i="5"/>
  <c r="M44" i="5"/>
  <c r="M52" i="5"/>
  <c r="H7" i="5"/>
  <c r="H15" i="5"/>
  <c r="M3" i="5"/>
  <c r="H23" i="5"/>
  <c r="M11" i="5"/>
  <c r="H31" i="5"/>
  <c r="M19" i="5"/>
  <c r="H8" i="5"/>
  <c r="H16" i="5"/>
  <c r="H24" i="5"/>
  <c r="H32" i="5"/>
  <c r="H40" i="5"/>
  <c r="H49" i="5"/>
  <c r="M4" i="5"/>
  <c r="N41" i="5" s="1"/>
  <c r="M12" i="5"/>
  <c r="M20" i="5"/>
  <c r="M28" i="5"/>
  <c r="M36" i="5"/>
  <c r="M45" i="5"/>
  <c r="M53" i="5"/>
  <c r="H9" i="5"/>
  <c r="H17" i="5"/>
  <c r="H25" i="5"/>
  <c r="H33" i="5"/>
  <c r="H42" i="5"/>
  <c r="H50" i="5"/>
  <c r="M5" i="5"/>
  <c r="M13" i="5"/>
  <c r="M21" i="5"/>
  <c r="M29" i="5"/>
  <c r="M37" i="5"/>
  <c r="M46" i="5"/>
  <c r="H2" i="5"/>
  <c r="H10" i="5"/>
  <c r="H18" i="5"/>
  <c r="H26" i="5"/>
  <c r="H34" i="5"/>
  <c r="H43" i="5"/>
  <c r="H51" i="5"/>
  <c r="M6" i="5"/>
  <c r="M14" i="5"/>
  <c r="M22" i="5"/>
  <c r="M30" i="5"/>
  <c r="M38" i="5"/>
  <c r="M47" i="5"/>
  <c r="I41" i="5" l="1"/>
  <c r="N21" i="5"/>
  <c r="N38" i="5"/>
  <c r="I9" i="5"/>
  <c r="I3" i="5"/>
  <c r="I26" i="5"/>
  <c r="N2" i="5"/>
  <c r="I31" i="5"/>
  <c r="I18" i="5"/>
  <c r="I49" i="5"/>
  <c r="N49" i="5"/>
  <c r="I28" i="5"/>
  <c r="N15" i="5"/>
  <c r="I47" i="5"/>
  <c r="N25" i="5"/>
  <c r="N10" i="5"/>
  <c r="I11" i="5"/>
  <c r="I15" i="5"/>
  <c r="N53" i="5"/>
  <c r="N40" i="5"/>
  <c r="I19" i="5"/>
  <c r="N7" i="5"/>
  <c r="I38" i="5"/>
  <c r="I7" i="5"/>
  <c r="N9" i="5"/>
  <c r="N42" i="5"/>
  <c r="N26" i="5"/>
  <c r="N44" i="5"/>
  <c r="N4" i="5"/>
  <c r="I50" i="5"/>
  <c r="N32" i="5"/>
  <c r="N33" i="5"/>
  <c r="I21" i="5"/>
  <c r="I30" i="5"/>
  <c r="I46" i="5"/>
  <c r="I53" i="5"/>
  <c r="I48" i="5"/>
  <c r="I27" i="5"/>
  <c r="I10" i="5"/>
  <c r="N14" i="5"/>
  <c r="N3" i="5"/>
  <c r="N36" i="5"/>
  <c r="I24" i="5"/>
  <c r="N24" i="5"/>
  <c r="I23" i="5"/>
  <c r="I20" i="5"/>
  <c r="I22" i="5"/>
  <c r="I37" i="5"/>
  <c r="I45" i="5"/>
  <c r="N51" i="5"/>
  <c r="N23" i="5"/>
  <c r="N13" i="5"/>
  <c r="N5" i="5"/>
  <c r="N11" i="5"/>
  <c r="N45" i="5"/>
  <c r="I42" i="5"/>
  <c r="N46" i="5"/>
  <c r="I33" i="5"/>
  <c r="N28" i="5"/>
  <c r="I16" i="5"/>
  <c r="N16" i="5"/>
  <c r="N48" i="5"/>
  <c r="I35" i="5"/>
  <c r="I6" i="5"/>
  <c r="I29" i="5"/>
  <c r="I4" i="5"/>
  <c r="N43" i="5"/>
  <c r="I13" i="5"/>
  <c r="N30" i="5"/>
  <c r="I40" i="5"/>
  <c r="I32" i="5"/>
  <c r="N35" i="5"/>
  <c r="N27" i="5"/>
  <c r="N19" i="5"/>
  <c r="N37" i="5"/>
  <c r="I25" i="5"/>
  <c r="N20" i="5"/>
  <c r="I8" i="5"/>
  <c r="N8" i="5"/>
  <c r="N39" i="5"/>
  <c r="N18" i="5"/>
  <c r="I36" i="5"/>
  <c r="I5" i="5"/>
  <c r="N34" i="5"/>
  <c r="I52" i="5"/>
  <c r="N22" i="5"/>
  <c r="I2" i="5"/>
  <c r="N6" i="5"/>
  <c r="I51" i="5"/>
  <c r="I43" i="5"/>
  <c r="N47" i="5"/>
  <c r="I34" i="5"/>
  <c r="N29" i="5"/>
  <c r="I17" i="5"/>
  <c r="N12" i="5"/>
  <c r="N52" i="5"/>
  <c r="I14" i="5"/>
  <c r="N31" i="5"/>
  <c r="N17" i="5"/>
  <c r="I44" i="5"/>
  <c r="I12" i="5"/>
  <c r="I39" i="5"/>
  <c r="N50" i="5"/>
  <c r="E14" i="8"/>
  <c r="C21" i="2"/>
  <c r="C27" i="2" l="1"/>
  <c r="C26" i="2"/>
  <c r="C25" i="2"/>
  <c r="C24" i="2"/>
  <c r="C13" i="2"/>
  <c r="C8" i="2" l="1"/>
  <c r="G2" i="5"/>
  <c r="G3" i="5" l="1"/>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2" i="5"/>
  <c r="G43" i="5"/>
  <c r="G44" i="5"/>
  <c r="G45" i="5"/>
  <c r="G46" i="5"/>
  <c r="G47" i="5"/>
  <c r="G48" i="5"/>
  <c r="G49" i="5"/>
  <c r="G50" i="5"/>
  <c r="G51" i="5"/>
  <c r="G52" i="5"/>
  <c r="G53" i="5"/>
  <c r="U3" i="4"/>
  <c r="F55" i="4" l="1"/>
  <c r="E16" i="8" l="1"/>
  <c r="D24" i="2"/>
  <c r="D25" i="2"/>
  <c r="E21" i="2"/>
  <c r="F21" i="2"/>
  <c r="G21" i="2"/>
  <c r="D21" i="2"/>
  <c r="D11" i="2" l="1"/>
  <c r="E11" i="2"/>
  <c r="D27" i="2" l="1"/>
  <c r="D26" i="2"/>
  <c r="E27" i="2" l="1"/>
  <c r="F27" i="2"/>
  <c r="E26" i="2"/>
  <c r="F26" i="2"/>
  <c r="E25" i="2"/>
  <c r="F25" i="2"/>
  <c r="E24" i="2"/>
  <c r="F24" i="2"/>
  <c r="U22" i="4" l="1"/>
  <c r="U30" i="4"/>
  <c r="U38" i="4"/>
  <c r="U46" i="4"/>
  <c r="H55" i="4"/>
  <c r="U40" i="4" l="1"/>
  <c r="U32" i="4"/>
  <c r="U24" i="4"/>
  <c r="U16" i="4"/>
  <c r="U8" i="4"/>
  <c r="U50" i="4"/>
  <c r="U41" i="4"/>
  <c r="U39" i="4"/>
  <c r="U31" i="4"/>
  <c r="U23" i="4"/>
  <c r="U15" i="4"/>
  <c r="U7" i="4"/>
  <c r="U49" i="4"/>
  <c r="U48" i="4"/>
  <c r="U45" i="4"/>
  <c r="U37" i="4"/>
  <c r="U29" i="4"/>
  <c r="U21" i="4"/>
  <c r="U13" i="4"/>
  <c r="U5" i="4"/>
  <c r="U47" i="4"/>
  <c r="U6" i="4"/>
  <c r="U44" i="4"/>
  <c r="U36" i="4"/>
  <c r="U28" i="4"/>
  <c r="U20" i="4"/>
  <c r="U12" i="4"/>
  <c r="U4" i="4"/>
  <c r="U14" i="4"/>
  <c r="U43" i="4"/>
  <c r="U35" i="4"/>
  <c r="U27" i="4"/>
  <c r="U19" i="4"/>
  <c r="U11" i="4"/>
  <c r="U53" i="4"/>
  <c r="U52" i="4"/>
  <c r="U10" i="4"/>
  <c r="U26" i="4"/>
  <c r="U9" i="4"/>
  <c r="U34" i="4"/>
  <c r="U51" i="4"/>
  <c r="U17" i="4"/>
  <c r="U18" i="4"/>
  <c r="U25" i="4"/>
  <c r="U33" i="4"/>
  <c r="U42" i="4"/>
  <c r="G55" i="4"/>
  <c r="D55" i="5" l="1"/>
  <c r="M55" i="5" l="1"/>
  <c r="H55" i="5"/>
  <c r="S55" i="4"/>
  <c r="I55" i="4" l="1"/>
  <c r="K55" i="4" l="1"/>
  <c r="J55" i="4"/>
  <c r="O51" i="4"/>
  <c r="N41" i="4"/>
</calcChain>
</file>

<file path=xl/sharedStrings.xml><?xml version="1.0" encoding="utf-8"?>
<sst xmlns="http://schemas.openxmlformats.org/spreadsheetml/2006/main" count="28092" uniqueCount="11836">
  <si>
    <t>Page</t>
  </si>
  <si>
    <t>Table Name</t>
  </si>
  <si>
    <t>Category Change Per Brewer</t>
  </si>
  <si>
    <t>Craft Control Group Data</t>
  </si>
  <si>
    <t>Large Brewer Regionals (Brands not in data set)</t>
  </si>
  <si>
    <t>Breweries by State</t>
  </si>
  <si>
    <t>21+ Population Data</t>
  </si>
  <si>
    <t>Do Not Publish Brewery List</t>
  </si>
  <si>
    <t>Thanks for being a Brewers Association member!</t>
  </si>
  <si>
    <t>Craft Barrels*</t>
  </si>
  <si>
    <t>Contract</t>
  </si>
  <si>
    <t>Regional</t>
  </si>
  <si>
    <t>Microbrewery</t>
  </si>
  <si>
    <t>Taproom</t>
  </si>
  <si>
    <t>Brewpub</t>
  </si>
  <si>
    <t>Total Craft Barrels</t>
  </si>
  <si>
    <t>Data set Change</t>
  </si>
  <si>
    <t>-677,201 from base</t>
  </si>
  <si>
    <t>-490,000 from base</t>
  </si>
  <si>
    <t>+95,000 to base</t>
  </si>
  <si>
    <t>-912,166 from base</t>
  </si>
  <si>
    <t>-27,000 from base</t>
  </si>
  <si>
    <t>-160,945 from base</t>
  </si>
  <si>
    <t>-303,143 from base</t>
  </si>
  <si>
    <t>- 1,235,463 from base</t>
  </si>
  <si>
    <t>- 438,276 from base</t>
  </si>
  <si>
    <t>+ 3,166,223 to base</t>
  </si>
  <si>
    <t>Barrel Change (Comparable)</t>
  </si>
  <si>
    <t>Percent Volume Growth (Comparable)</t>
  </si>
  <si>
    <t>Craft Brewery Count</t>
  </si>
  <si>
    <t>Total Operating Craft</t>
  </si>
  <si>
    <t>Average Barrels</t>
  </si>
  <si>
    <t>Microbrewery (old definition)</t>
  </si>
  <si>
    <t>Share data</t>
  </si>
  <si>
    <t>Craft Volume Share</t>
  </si>
  <si>
    <t>Import</t>
  </si>
  <si>
    <t>U.S. Non-Craft</t>
  </si>
  <si>
    <t>Craft $ Share</t>
  </si>
  <si>
    <t>Year</t>
  </si>
  <si>
    <t>Growth Rate (%)</t>
  </si>
  <si>
    <t>Production Change Barrels</t>
  </si>
  <si>
    <t>Craft Breweries</t>
  </si>
  <si>
    <t>Change per Brewer</t>
  </si>
  <si>
    <t>Control Group</t>
  </si>
  <si>
    <t>Estimate</t>
  </si>
  <si>
    <t>City</t>
  </si>
  <si>
    <t>State</t>
  </si>
  <si>
    <t>D. G. Yuengling and Son Inc</t>
  </si>
  <si>
    <t/>
  </si>
  <si>
    <t>Pottsville</t>
  </si>
  <si>
    <t>Pennsylvania</t>
  </si>
  <si>
    <t>Boston Beer Co</t>
  </si>
  <si>
    <t>Boston</t>
  </si>
  <si>
    <t>Massachusetts</t>
  </si>
  <si>
    <t>Sierra Nevada Brewing Co</t>
  </si>
  <si>
    <t>Chico</t>
  </si>
  <si>
    <t>California</t>
  </si>
  <si>
    <t>Gambrinus Company</t>
  </si>
  <si>
    <t>San Antonio</t>
  </si>
  <si>
    <t>Texas</t>
  </si>
  <si>
    <t>Firestone Walker Brewing Co</t>
  </si>
  <si>
    <t>Paso Robles</t>
  </si>
  <si>
    <t>Tilray</t>
  </si>
  <si>
    <t>New York</t>
  </si>
  <si>
    <t>Artisanal Brewing Ventures</t>
  </si>
  <si>
    <t>Charlotte</t>
  </si>
  <si>
    <t>North Carolina</t>
  </si>
  <si>
    <t>Brooklyn Brewery</t>
  </si>
  <si>
    <t>Brooklyn</t>
  </si>
  <si>
    <t>Colorado</t>
  </si>
  <si>
    <t>Athletic Brewing Company</t>
  </si>
  <si>
    <t>Milford</t>
  </si>
  <si>
    <t>Connecticut</t>
  </si>
  <si>
    <t>New Glarus Brewing Co</t>
  </si>
  <si>
    <t>New Glarus</t>
  </si>
  <si>
    <t>Wisconsin</t>
  </si>
  <si>
    <t>Deschutes Brewery</t>
  </si>
  <si>
    <t>Bend</t>
  </si>
  <si>
    <t>Oregon</t>
  </si>
  <si>
    <t>Saranac Brewery / Matt Brewing Co</t>
  </si>
  <si>
    <t>Utica</t>
  </si>
  <si>
    <t>Duvel Moortgat USA</t>
  </si>
  <si>
    <t>Missouri</t>
  </si>
  <si>
    <t>Gordon Biersch Brewing Co</t>
  </si>
  <si>
    <t>San Jose</t>
  </si>
  <si>
    <t>Allagash Brewing Company</t>
  </si>
  <si>
    <t>Portland</t>
  </si>
  <si>
    <t>Maine</t>
  </si>
  <si>
    <t>Georgetown Brewing Co</t>
  </si>
  <si>
    <t>Seattle</t>
  </si>
  <si>
    <t>Washington</t>
  </si>
  <si>
    <t>Great Lakes Brewing Company</t>
  </si>
  <si>
    <t>Cleveland</t>
  </si>
  <si>
    <t>Ohio</t>
  </si>
  <si>
    <t>Stevens Point Brewery</t>
  </si>
  <si>
    <t>Stevens Point</t>
  </si>
  <si>
    <t>Three Floyds Brewing</t>
  </si>
  <si>
    <t>Munster</t>
  </si>
  <si>
    <t>Indiana</t>
  </si>
  <si>
    <t>Pittsburgh Brewing Co</t>
  </si>
  <si>
    <t>Creighton</t>
  </si>
  <si>
    <t>Rhinegeist Brewery</t>
  </si>
  <si>
    <t>Cincinnati</t>
  </si>
  <si>
    <t>Narragansett Brewing Co</t>
  </si>
  <si>
    <t>Providence</t>
  </si>
  <si>
    <t>Rhode Island</t>
  </si>
  <si>
    <t>August Schell Brewing Company</t>
  </si>
  <si>
    <t>New Ulm</t>
  </si>
  <si>
    <t>Minnesota</t>
  </si>
  <si>
    <t>Odell Brewing Co</t>
  </si>
  <si>
    <t>Fort Collins</t>
  </si>
  <si>
    <t>Craft ‘Ohana (Maui/Modern Times)</t>
  </si>
  <si>
    <t>Kihei</t>
  </si>
  <si>
    <t>Hawaii</t>
  </si>
  <si>
    <t>Troegs Brewing Co</t>
  </si>
  <si>
    <t>Hershey</t>
  </si>
  <si>
    <t>Fiddlehead Brewing</t>
  </si>
  <si>
    <t>Shelburne</t>
  </si>
  <si>
    <t>Vermont</t>
  </si>
  <si>
    <t>Minhas Craft Brewery</t>
  </si>
  <si>
    <t>Monroe</t>
  </si>
  <si>
    <t>San Diego</t>
  </si>
  <si>
    <t>Alaskan Brewing Co.</t>
  </si>
  <si>
    <t>Juneau</t>
  </si>
  <si>
    <t>Alaska</t>
  </si>
  <si>
    <t>Kona Brewing Hawaii</t>
  </si>
  <si>
    <t>Kailua-Kona</t>
  </si>
  <si>
    <t>Louisiana</t>
  </si>
  <si>
    <t>Creature Comforts Brewing Co.</t>
  </si>
  <si>
    <t>Athens</t>
  </si>
  <si>
    <t>Georgia</t>
  </si>
  <si>
    <t>Great Frontier Holdings</t>
  </si>
  <si>
    <t>BrewDog Brewing Company, LLC</t>
  </si>
  <si>
    <t>Canal Winchester</t>
  </si>
  <si>
    <t>Summit Brewing Co</t>
  </si>
  <si>
    <t>Saint Paul</t>
  </si>
  <si>
    <t>Framingham</t>
  </si>
  <si>
    <t>Revolution Brewing</t>
  </si>
  <si>
    <t>Chicago</t>
  </si>
  <si>
    <t>Illinois</t>
  </si>
  <si>
    <t>Montucky Cold Snacks</t>
  </si>
  <si>
    <t>Bozeman</t>
  </si>
  <si>
    <t>Montana</t>
  </si>
  <si>
    <t>Saint Arnold Brewing Co</t>
  </si>
  <si>
    <t>Houston</t>
  </si>
  <si>
    <t>Lost Coast Brewery and Cafe - Table Bluff Brewing, Inc.</t>
  </si>
  <si>
    <t>Eureka</t>
  </si>
  <si>
    <t>Surly Brewing Company</t>
  </si>
  <si>
    <t>Brooklyn Ctr</t>
  </si>
  <si>
    <t>Rogue Ales Brewery</t>
  </si>
  <si>
    <t>Newport</t>
  </si>
  <si>
    <t>United States Beverage LLC</t>
  </si>
  <si>
    <t>Shipyard Brewing Co</t>
  </si>
  <si>
    <t>Pizza Port</t>
  </si>
  <si>
    <t>Carlsbad</t>
  </si>
  <si>
    <t>Coronado Brewing Co</t>
  </si>
  <si>
    <t>Coronado</t>
  </si>
  <si>
    <t>Berkeley</t>
  </si>
  <si>
    <t>IndieBrew</t>
  </si>
  <si>
    <t>Atlanta</t>
  </si>
  <si>
    <t>Zero Gravity Craft Brewery</t>
  </si>
  <si>
    <t>Burlington</t>
  </si>
  <si>
    <t>Two Roads Brewing Co</t>
  </si>
  <si>
    <t>Stratford</t>
  </si>
  <si>
    <t>Short's Brewing Co - Production Facility</t>
  </si>
  <si>
    <t>Elk Rapids</t>
  </si>
  <si>
    <t>Michigan</t>
  </si>
  <si>
    <t>Fremont Brewing</t>
  </si>
  <si>
    <t>Russian River Brewing Co - Santa Rosa</t>
  </si>
  <si>
    <t>Santa Rosa</t>
  </si>
  <si>
    <t>Made By The Water</t>
  </si>
  <si>
    <t>Montgomery</t>
  </si>
  <si>
    <t>Alabama</t>
  </si>
  <si>
    <t>North Coast Brewing Co Inc.</t>
  </si>
  <si>
    <t>Fort Bragg</t>
  </si>
  <si>
    <t>Santa Fe Brewing Co</t>
  </si>
  <si>
    <t>Santa Fe</t>
  </si>
  <si>
    <t>New Mexico</t>
  </si>
  <si>
    <t>Highland Brewing Co</t>
  </si>
  <si>
    <t>Asheville</t>
  </si>
  <si>
    <t>pFriem Family Brewers</t>
  </si>
  <si>
    <t>Hood River</t>
  </si>
  <si>
    <t>Real Ale Brewing Co</t>
  </si>
  <si>
    <t>Blanco</t>
  </si>
  <si>
    <t>Maine Beer Company</t>
  </si>
  <si>
    <t>Freeport</t>
  </si>
  <si>
    <t>The Florida Brewery</t>
  </si>
  <si>
    <t>Auburndale</t>
  </si>
  <si>
    <t>Florida</t>
  </si>
  <si>
    <t>AleSmith Brewing Co</t>
  </si>
  <si>
    <t>Cape May Brewery</t>
  </si>
  <si>
    <t>Lower Township</t>
  </si>
  <si>
    <t>New Jersey</t>
  </si>
  <si>
    <t>Tree House Brewery</t>
  </si>
  <si>
    <t>Charlton</t>
  </si>
  <si>
    <t>New Trail Brewing Company</t>
  </si>
  <si>
    <t>Williamsport</t>
  </si>
  <si>
    <t>Belching Beaver Brewery</t>
  </si>
  <si>
    <t>Oceanside</t>
  </si>
  <si>
    <t>Toppling Goliath Brewing Co</t>
  </si>
  <si>
    <t>Decorah</t>
  </si>
  <si>
    <t>Iowa</t>
  </si>
  <si>
    <t>New Holland Brewing Company</t>
  </si>
  <si>
    <t>Holland</t>
  </si>
  <si>
    <t>SanTan Brewing Company</t>
  </si>
  <si>
    <t>Chandler</t>
  </si>
  <si>
    <t>Arizona</t>
  </si>
  <si>
    <t>River Horse Brewing Company</t>
  </si>
  <si>
    <t>Ewing</t>
  </si>
  <si>
    <t>Other Half Brewing Company</t>
  </si>
  <si>
    <t>Lion Brewery Inc, The</t>
  </si>
  <si>
    <t>Wilkes Barre</t>
  </si>
  <si>
    <t>Lakefront Brewery</t>
  </si>
  <si>
    <t>Milwaukee</t>
  </si>
  <si>
    <t>Pelican Brewing Company</t>
  </si>
  <si>
    <t>Cloverdale</t>
  </si>
  <si>
    <t>Sloop Brewing</t>
  </si>
  <si>
    <t>East Fishkill</t>
  </si>
  <si>
    <t>Mother Earth Brew Co LLC</t>
  </si>
  <si>
    <t>Vista</t>
  </si>
  <si>
    <t>Pure Madness Brewery Group</t>
  </si>
  <si>
    <t>Jackson</t>
  </si>
  <si>
    <t>Wyoming</t>
  </si>
  <si>
    <t>21st Amendment Brewery</t>
  </si>
  <si>
    <t>San Leandro</t>
  </si>
  <si>
    <t>New Realm Brewing</t>
  </si>
  <si>
    <t>Fort George Brewery</t>
  </si>
  <si>
    <t>Astoria</t>
  </si>
  <si>
    <t>Breakside Brewery &amp; Taproom</t>
  </si>
  <si>
    <t>Milwaukie</t>
  </si>
  <si>
    <t>Everett</t>
  </si>
  <si>
    <t>Ackley Brands</t>
  </si>
  <si>
    <t>Brewery X</t>
  </si>
  <si>
    <t>Anaheim</t>
  </si>
  <si>
    <t>Lexington Brewing &amp; Distilling Co.</t>
  </si>
  <si>
    <t>Lexington</t>
  </si>
  <si>
    <t>Kentucky</t>
  </si>
  <si>
    <t>Columbus Brewing Co</t>
  </si>
  <si>
    <t>Columbus</t>
  </si>
  <si>
    <t>Castle Danger Brewery</t>
  </si>
  <si>
    <t>Two Harbors</t>
  </si>
  <si>
    <t>Sycamore Brewing</t>
  </si>
  <si>
    <t>Big Grove Brewery and Taproom</t>
  </si>
  <si>
    <t>Iowa City</t>
  </si>
  <si>
    <t>Left Hand Brewing Company</t>
  </si>
  <si>
    <t>Longmont</t>
  </si>
  <si>
    <t>Red Oak Brewery</t>
  </si>
  <si>
    <t>Whitsett</t>
  </si>
  <si>
    <t>Big Sky Brewing Co</t>
  </si>
  <si>
    <t>Missoula</t>
  </si>
  <si>
    <t>Sun King Brewing</t>
  </si>
  <si>
    <t>Indianapolis</t>
  </si>
  <si>
    <t>KettleHouse Brewing Co</t>
  </si>
  <si>
    <t>Bonner</t>
  </si>
  <si>
    <t>Reuben's Brews</t>
  </si>
  <si>
    <t>Full Sail Brewing Co</t>
  </si>
  <si>
    <t>Fulton Beer</t>
  </si>
  <si>
    <t>Minneapolis</t>
  </si>
  <si>
    <t>Yards Brewing Company</t>
  </si>
  <si>
    <t>Philadelphia</t>
  </si>
  <si>
    <t>Fort Point Beer Company</t>
  </si>
  <si>
    <t>San Francisco</t>
  </si>
  <si>
    <t>Wiseacre Brewing Co.</t>
  </si>
  <si>
    <t>Memphis</t>
  </si>
  <si>
    <t>Tennessee</t>
  </si>
  <si>
    <t>Huss Brewing Co.</t>
  </si>
  <si>
    <t>Tempe</t>
  </si>
  <si>
    <t>Two Brothers Brewing Co</t>
  </si>
  <si>
    <t>Warrenville</t>
  </si>
  <si>
    <t>Marble Brewery - Production</t>
  </si>
  <si>
    <t>Albuquerque</t>
  </si>
  <si>
    <t>Hampton</t>
  </si>
  <si>
    <t>New Hampshire</t>
  </si>
  <si>
    <t>Coppertail Brewing</t>
  </si>
  <si>
    <t>Tampa</t>
  </si>
  <si>
    <t>Aslin Beer Company</t>
  </si>
  <si>
    <t>Herndon</t>
  </si>
  <si>
    <t>Virginia</t>
  </si>
  <si>
    <t>Urban South Brewery</t>
  </si>
  <si>
    <t>New Orleans</t>
  </si>
  <si>
    <t>Mother Road Brewing Company</t>
  </si>
  <si>
    <t>Flagstaff</t>
  </si>
  <si>
    <t>Beacon</t>
  </si>
  <si>
    <t>Austin</t>
  </si>
  <si>
    <t>Community Beer Co</t>
  </si>
  <si>
    <t>Dallas</t>
  </si>
  <si>
    <t>Schlafly Beer/The Saint Louis Brewery, LLC</t>
  </si>
  <si>
    <t>Saint Louis</t>
  </si>
  <si>
    <t>Denver Beer Co</t>
  </si>
  <si>
    <t>Denver</t>
  </si>
  <si>
    <t>Straub Brewery</t>
  </si>
  <si>
    <t>Saint Marys</t>
  </si>
  <si>
    <t>Dust Bowl Brewing Co</t>
  </si>
  <si>
    <t>Turlock</t>
  </si>
  <si>
    <t>Altamont Beer Works</t>
  </si>
  <si>
    <t>Livermore</t>
  </si>
  <si>
    <t>Monday Night Brewing</t>
  </si>
  <si>
    <t>Parish Brewing Company</t>
  </si>
  <si>
    <t>Broussard</t>
  </si>
  <si>
    <t>Upslope Brewing Company - Lee Hill</t>
  </si>
  <si>
    <t>Boulder</t>
  </si>
  <si>
    <t>Buoy Beer Company</t>
  </si>
  <si>
    <t>4 Hands Brewing Co</t>
  </si>
  <si>
    <t>New England Brewing Co</t>
  </si>
  <si>
    <t>Woodbridge</t>
  </si>
  <si>
    <t>Big Ditch Brewing Company</t>
  </si>
  <si>
    <t>Buffalo</t>
  </si>
  <si>
    <t>Calicraft Brewing Co</t>
  </si>
  <si>
    <t>Walnut Creek</t>
  </si>
  <si>
    <t>Whalers Brewing Company</t>
  </si>
  <si>
    <t>Wakefield</t>
  </si>
  <si>
    <t>Maplewood Brewing Company</t>
  </si>
  <si>
    <t>No-Li Brewhouse</t>
  </si>
  <si>
    <t>Spokane</t>
  </si>
  <si>
    <t>Country Boy Brewing</t>
  </si>
  <si>
    <t>Von Trapp Brewing</t>
  </si>
  <si>
    <t>Stowe</t>
  </si>
  <si>
    <t>Good People Brewing Co</t>
  </si>
  <si>
    <t>Birmingham</t>
  </si>
  <si>
    <t>Worcester</t>
  </si>
  <si>
    <t>Silver City Brewery</t>
  </si>
  <si>
    <t>Bremerton</t>
  </si>
  <si>
    <t>Hardywood Park Craft Brewery</t>
  </si>
  <si>
    <t>Richmond</t>
  </si>
  <si>
    <t>Independence Brewing Co.</t>
  </si>
  <si>
    <t>MadTree Brewing Company</t>
  </si>
  <si>
    <t>HenHouse Brewing Co.</t>
  </si>
  <si>
    <t>Peak Organic Brewing Co</t>
  </si>
  <si>
    <t>Florida Avenue Brewing Co</t>
  </si>
  <si>
    <t>Wesley Chapel</t>
  </si>
  <si>
    <t>SKA Brewing</t>
  </si>
  <si>
    <t>Durango</t>
  </si>
  <si>
    <t>Braxton Brewing Company</t>
  </si>
  <si>
    <t>Covington</t>
  </si>
  <si>
    <t>Great Divide Brewing Co</t>
  </si>
  <si>
    <t>Revision Brewing Company</t>
  </si>
  <si>
    <t>Sparks</t>
  </si>
  <si>
    <t>Nevada</t>
  </si>
  <si>
    <t>Alchemist Cannery</t>
  </si>
  <si>
    <t>Waterbury</t>
  </si>
  <si>
    <t>Crux Fermentation Project</t>
  </si>
  <si>
    <t>Three Notch'd Brewing Company</t>
  </si>
  <si>
    <t>Charlottesville</t>
  </si>
  <si>
    <t>Lone Pine Brewing Company</t>
  </si>
  <si>
    <t>Indeed Brewing Company</t>
  </si>
  <si>
    <t>The Shop Beer Co.</t>
  </si>
  <si>
    <t>Krebs Brewing Co</t>
  </si>
  <si>
    <t>Oklahoma City</t>
  </si>
  <si>
    <t>Oklahoma</t>
  </si>
  <si>
    <t>Dry Dock Brewing Co</t>
  </si>
  <si>
    <t>Aurora</t>
  </si>
  <si>
    <t>Societe Brewing Company</t>
  </si>
  <si>
    <t>Farmers Brewing Co</t>
  </si>
  <si>
    <t>Princeton</t>
  </si>
  <si>
    <t>The Olde Mecklenburg Brewery</t>
  </si>
  <si>
    <t>Kane Brewing Company</t>
  </si>
  <si>
    <t>Ocean</t>
  </si>
  <si>
    <t>Lord Hobo Brewing</t>
  </si>
  <si>
    <t>Woburn</t>
  </si>
  <si>
    <t>La Cumbre Brewing Co</t>
  </si>
  <si>
    <t>Ex Novo Brewing Co</t>
  </si>
  <si>
    <t>Corrales</t>
  </si>
  <si>
    <t>Fall River Brewing Company</t>
  </si>
  <si>
    <t>Redding</t>
  </si>
  <si>
    <t>Latitude 33 Brewing Co</t>
  </si>
  <si>
    <t>Austin Beerworks</t>
  </si>
  <si>
    <t>Topa Topa Brewing Co.  HQ</t>
  </si>
  <si>
    <t>Ventura</t>
  </si>
  <si>
    <t>Starr Hill Brewery LLC</t>
  </si>
  <si>
    <t>Crozet</t>
  </si>
  <si>
    <t>McMenamins Breweries</t>
  </si>
  <si>
    <t>Westminster</t>
  </si>
  <si>
    <t>Wild Leap Brewing Company</t>
  </si>
  <si>
    <t>Lagrange</t>
  </si>
  <si>
    <t>Burlington Beer Company</t>
  </si>
  <si>
    <t>Williston</t>
  </si>
  <si>
    <t>Lost Forty Brewing</t>
  </si>
  <si>
    <t>Little Rock</t>
  </si>
  <si>
    <t>Arkansas</t>
  </si>
  <si>
    <t>Iron Horse Brewery</t>
  </si>
  <si>
    <t>Ellensburg</t>
  </si>
  <si>
    <t>Old Nation Brewing Company</t>
  </si>
  <si>
    <t>Williamston</t>
  </si>
  <si>
    <t>COOP Ale Works</t>
  </si>
  <si>
    <t>Flying Fish Brewing Co</t>
  </si>
  <si>
    <t>Somerdale</t>
  </si>
  <si>
    <t>Tampa Bay Brewing Company</t>
  </si>
  <si>
    <t>Bruery, The</t>
  </si>
  <si>
    <t>Placentia</t>
  </si>
  <si>
    <t>Yazoo Brewing Co</t>
  </si>
  <si>
    <t>Madison</t>
  </si>
  <si>
    <t>Salinas</t>
  </si>
  <si>
    <t>Westbrook Brewing Co</t>
  </si>
  <si>
    <t>Mount Pleasant</t>
  </si>
  <si>
    <t>South Carolina</t>
  </si>
  <si>
    <t>3 Daughters Brewing</t>
  </si>
  <si>
    <t>Saint Petersburg</t>
  </si>
  <si>
    <t>Figueroa Mountain Brewing Co.</t>
  </si>
  <si>
    <t>Buellton</t>
  </si>
  <si>
    <t>Solace Brewing Company</t>
  </si>
  <si>
    <t>Sterling</t>
  </si>
  <si>
    <t>Third Street Brewhouse</t>
  </si>
  <si>
    <t>Cold Spring</t>
  </si>
  <si>
    <t>Altstadt Brewery</t>
  </si>
  <si>
    <t>Fredericksburg</t>
  </si>
  <si>
    <t>MadeWest Brewing Company</t>
  </si>
  <si>
    <t>Norfolk</t>
  </si>
  <si>
    <t>Urban Chestnut Brewing Company - Grove Bierhall</t>
  </si>
  <si>
    <t>Stony Creek Brewery</t>
  </si>
  <si>
    <t>Branford</t>
  </si>
  <si>
    <t>Mammoth Brewing Company</t>
  </si>
  <si>
    <t>Mammoth Lakes</t>
  </si>
  <si>
    <t>Port City Brewing Co.</t>
  </si>
  <si>
    <t>Alexandria</t>
  </si>
  <si>
    <t>Iron Hill Brewery</t>
  </si>
  <si>
    <t>Exton</t>
  </si>
  <si>
    <t>Aviator Brewing Company</t>
  </si>
  <si>
    <t>Fuquay Varina</t>
  </si>
  <si>
    <t>Ellicottville Brewing Co</t>
  </si>
  <si>
    <t>Ellicottville</t>
  </si>
  <si>
    <t>Exile Brewing Co.</t>
  </si>
  <si>
    <t>Des Moines</t>
  </si>
  <si>
    <t>Fieldwork Brewing Co</t>
  </si>
  <si>
    <t>Martin House Brewing Company</t>
  </si>
  <si>
    <t>Fort Worth</t>
  </si>
  <si>
    <t>Trillium Brewing</t>
  </si>
  <si>
    <t>Canton</t>
  </si>
  <si>
    <t>Edmund’s Oast Brewing Co</t>
  </si>
  <si>
    <t>North Charleston</t>
  </si>
  <si>
    <t>Bloomington</t>
  </si>
  <si>
    <t>Sunriver Brewing Company</t>
  </si>
  <si>
    <t>Sunriver</t>
  </si>
  <si>
    <t>Gnarly Barley Brewing</t>
  </si>
  <si>
    <t>Hammond</t>
  </si>
  <si>
    <t>Denali Brewing Company</t>
  </si>
  <si>
    <t>Talkeetna</t>
  </si>
  <si>
    <t>Mighty Squirrel</t>
  </si>
  <si>
    <t>Waltham</t>
  </si>
  <si>
    <t>Pipeworks Brewing Co</t>
  </si>
  <si>
    <t>The Manhattan Project Beer Company</t>
  </si>
  <si>
    <t>DC Brau Brewing Company</t>
  </si>
  <si>
    <t>District of Columbia</t>
  </si>
  <si>
    <t>Blackrocks Brewery</t>
  </si>
  <si>
    <t>Marquette</t>
  </si>
  <si>
    <t>Third Space Brewing</t>
  </si>
  <si>
    <t>MILWAUKEE</t>
  </si>
  <si>
    <t>Baxter Brewing Co, LLC</t>
  </si>
  <si>
    <t>Lewiston</t>
  </si>
  <si>
    <t>3 Sheeps Brewing Co</t>
  </si>
  <si>
    <t>Sheboygan</t>
  </si>
  <si>
    <t>March First Brewing</t>
  </si>
  <si>
    <t>Black Raven Brewing Co</t>
  </si>
  <si>
    <t>Redmond</t>
  </si>
  <si>
    <t>Tasty Liquid Alliance</t>
  </si>
  <si>
    <t>Dorchester</t>
  </si>
  <si>
    <t>Ithaca Beer Co</t>
  </si>
  <si>
    <t>Ithaca</t>
  </si>
  <si>
    <t>Saugatuck Brewing Co</t>
  </si>
  <si>
    <t>Douglas</t>
  </si>
  <si>
    <t>Newport Craft Brewing and Distilling</t>
  </si>
  <si>
    <t>Legion Brewing Company</t>
  </si>
  <si>
    <t>BarrelHouse Brewing Co.</t>
  </si>
  <si>
    <t>Burial Beer Co</t>
  </si>
  <si>
    <t>El Segundo Brewing Co</t>
  </si>
  <si>
    <t>El Segundo</t>
  </si>
  <si>
    <t>GoodLife Brewing Company</t>
  </si>
  <si>
    <t>Tucson</t>
  </si>
  <si>
    <t>4 Noses Brewing Company</t>
  </si>
  <si>
    <t>Broomfield</t>
  </si>
  <si>
    <t>Bent Paddle Brewing Co</t>
  </si>
  <si>
    <t>Duluth</t>
  </si>
  <si>
    <t>South Deerfield</t>
  </si>
  <si>
    <t>Kansas City Bier Company</t>
  </si>
  <si>
    <t>Kansas City</t>
  </si>
  <si>
    <t>Fort Myers Brewing Co</t>
  </si>
  <si>
    <t>Fort Myers</t>
  </si>
  <si>
    <t>Track 7 Brewing Co - Curtis Park</t>
  </si>
  <si>
    <t>Sacramento</t>
  </si>
  <si>
    <t>Icicle Brewing Company</t>
  </si>
  <si>
    <t>Leavenworth</t>
  </si>
  <si>
    <t>Lewis &amp; Clark Brewing Co</t>
  </si>
  <si>
    <t>Helena</t>
  </si>
  <si>
    <t>Knee Deep Brewing Co.</t>
  </si>
  <si>
    <t>Auburn</t>
  </si>
  <si>
    <t>Drekker Brewing Company</t>
  </si>
  <si>
    <t>Fargo</t>
  </si>
  <si>
    <t>North Dakota</t>
  </si>
  <si>
    <t>Keweenaw Brewing Co</t>
  </si>
  <si>
    <t>Houghton</t>
  </si>
  <si>
    <t>Appalachian Mountain Brewery</t>
  </si>
  <si>
    <t>Boone</t>
  </si>
  <si>
    <t>Greater Good Imperial Brewing Co.</t>
  </si>
  <si>
    <t>New Glory Craft Brewery</t>
  </si>
  <si>
    <t>THIMBLE ISLAND BREWING COMPANY</t>
  </si>
  <si>
    <t>Threes Brewing</t>
  </si>
  <si>
    <t>Stoneface Brewing Co</t>
  </si>
  <si>
    <t>Portsmouth</t>
  </si>
  <si>
    <t>Octopi Brewing / Untitled Art</t>
  </si>
  <si>
    <t>Waunakee</t>
  </si>
  <si>
    <t>Bissell Brothers Brewing</t>
  </si>
  <si>
    <t>Yee-Haw Brewing, LLC.</t>
  </si>
  <si>
    <t>Johnson City</t>
  </si>
  <si>
    <t>Sebago Brewing Co</t>
  </si>
  <si>
    <t>Gorham</t>
  </si>
  <si>
    <t>Three Taverns Craft Brewery</t>
  </si>
  <si>
    <t>Decatur</t>
  </si>
  <si>
    <t>Jekyll Brewing</t>
  </si>
  <si>
    <t>Alpharetta</t>
  </si>
  <si>
    <t>Novo Brazil Brewing Company</t>
  </si>
  <si>
    <t>Chula Vista</t>
  </si>
  <si>
    <t>Logboat Brewing Co</t>
  </si>
  <si>
    <t>Columbia</t>
  </si>
  <si>
    <t>Capital Brewery Co Inc</t>
  </si>
  <si>
    <t>Middleton</t>
  </si>
  <si>
    <t>Jackie O's Brewery</t>
  </si>
  <si>
    <t>Epic Brewing Co., LLC</t>
  </si>
  <si>
    <t>Salt Lake City</t>
  </si>
  <si>
    <t>Utah</t>
  </si>
  <si>
    <t>Prost Brewing Company</t>
  </si>
  <si>
    <t>Lone Pint Brewery</t>
  </si>
  <si>
    <t>Magnolia</t>
  </si>
  <si>
    <t>Union Craft Brewing</t>
  </si>
  <si>
    <t>Baltimore</t>
  </si>
  <si>
    <t>Maryland</t>
  </si>
  <si>
    <t>Eagle Park Brewing Company</t>
  </si>
  <si>
    <t>Muskego</t>
  </si>
  <si>
    <t>Eddyline Brewing LLC</t>
  </si>
  <si>
    <t>Buena Vista</t>
  </si>
  <si>
    <t>Great Notion Brewing</t>
  </si>
  <si>
    <t>Grey Sail Brewing Co. LLC</t>
  </si>
  <si>
    <t>Westerly</t>
  </si>
  <si>
    <t>Druthers Brewing Co</t>
  </si>
  <si>
    <t>saratoga Springs</t>
  </si>
  <si>
    <t>Tonewood Brewing</t>
  </si>
  <si>
    <t>Oaklyn</t>
  </si>
  <si>
    <t>Tioga-Sequoia Brewing Co</t>
  </si>
  <si>
    <t>Fresno</t>
  </si>
  <si>
    <t>Kulshan Brewing Co - K2</t>
  </si>
  <si>
    <t>Bellingham</t>
  </si>
  <si>
    <t>Evolution Craft Brewing Co</t>
  </si>
  <si>
    <t>Salisbury</t>
  </si>
  <si>
    <t>Urban Artifact</t>
  </si>
  <si>
    <t>Bosque Brewing Co</t>
  </si>
  <si>
    <t>Bernalillo</t>
  </si>
  <si>
    <t>Smog City Brewing</t>
  </si>
  <si>
    <t>Torrance</t>
  </si>
  <si>
    <t>Central Waters Brewing Co</t>
  </si>
  <si>
    <t>Amherst</t>
  </si>
  <si>
    <t>Live Oak Brewing Co</t>
  </si>
  <si>
    <t>Del Valle</t>
  </si>
  <si>
    <t>Dragoon Brewing Co</t>
  </si>
  <si>
    <t>Hunters Point Brewery LLC</t>
  </si>
  <si>
    <t>SPB Hospitality LLC</t>
  </si>
  <si>
    <t>Tired Hands Brewing Co</t>
  </si>
  <si>
    <t>Ardmore</t>
  </si>
  <si>
    <t>Black Tooth Brewing Co</t>
  </si>
  <si>
    <t>Sheridan</t>
  </si>
  <si>
    <t>Mason Ale Works</t>
  </si>
  <si>
    <t>Escondido</t>
  </si>
  <si>
    <t>Three Weavers Brewing Company</t>
  </si>
  <si>
    <t>Inglewood</t>
  </si>
  <si>
    <t>Tupps Brewery</t>
  </si>
  <si>
    <t>McKinney</t>
  </si>
  <si>
    <t>Four Corners Brewery</t>
  </si>
  <si>
    <t>Noon Whistle Brewing</t>
  </si>
  <si>
    <t>Lombard</t>
  </si>
  <si>
    <t>Barrier Brewing Co</t>
  </si>
  <si>
    <t>Levante Brewing Company</t>
  </si>
  <si>
    <t>West Chester</t>
  </si>
  <si>
    <t>RAR Brewing</t>
  </si>
  <si>
    <t>Cambridge</t>
  </si>
  <si>
    <t>Mast Landing Brewing Company</t>
  </si>
  <si>
    <t>Westbrook</t>
  </si>
  <si>
    <t>Free State Brewing Co - Production</t>
  </si>
  <si>
    <t>Lawrence</t>
  </si>
  <si>
    <t>Kansas</t>
  </si>
  <si>
    <t>Back East Brewing</t>
  </si>
  <si>
    <t>Bloomfield</t>
  </si>
  <si>
    <t>Potosi Brewing Company</t>
  </si>
  <si>
    <t>Potosi</t>
  </si>
  <si>
    <t>Bootstrap Brewing</t>
  </si>
  <si>
    <t>Twisted X Brewing Co</t>
  </si>
  <si>
    <t>Dripping Springs</t>
  </si>
  <si>
    <t>Grand Teton Brewing</t>
  </si>
  <si>
    <t>Victor</t>
  </si>
  <si>
    <t>Idaho</t>
  </si>
  <si>
    <t>Sly Fox Brewing Co</t>
  </si>
  <si>
    <t>Pottstown</t>
  </si>
  <si>
    <t>Harland Brewing Company</t>
  </si>
  <si>
    <t>Karben4 Brewing</t>
  </si>
  <si>
    <t>The Brew Kettle, Taproom and Smokehouse</t>
  </si>
  <si>
    <t>Pryes Brewing Company</t>
  </si>
  <si>
    <t>College Street Brewhouse and Pub</t>
  </si>
  <si>
    <t>Lake Havasu City</t>
  </si>
  <si>
    <t>Castle Island Brewing Co.</t>
  </si>
  <si>
    <t>Norwood</t>
  </si>
  <si>
    <t>Humble Sea Brewing Co</t>
  </si>
  <si>
    <t>Santa Cruz</t>
  </si>
  <si>
    <t>Core Brewing &amp; Distilling Co</t>
  </si>
  <si>
    <t>Springdale</t>
  </si>
  <si>
    <t>MAP Brewing Company</t>
  </si>
  <si>
    <t>Lupulin Brewing Company</t>
  </si>
  <si>
    <t>Big Lake</t>
  </si>
  <si>
    <t>Confluence Brewing Company</t>
  </si>
  <si>
    <t>Sockeye Brewing</t>
  </si>
  <si>
    <t>Boise</t>
  </si>
  <si>
    <t>Telluride Brewing Co</t>
  </si>
  <si>
    <t>Telluride</t>
  </si>
  <si>
    <t>Alewerks Brewing Company</t>
  </si>
  <si>
    <t>Williamsburg</t>
  </si>
  <si>
    <t>Singlecut Beersmiths</t>
  </si>
  <si>
    <t>Queens</t>
  </si>
  <si>
    <t>BrickStone Brewery - Production Facility</t>
  </si>
  <si>
    <t>Bourbonnais</t>
  </si>
  <si>
    <t>Rohrbach Brewing Company</t>
  </si>
  <si>
    <t>Rochester</t>
  </si>
  <si>
    <t>Tuckerman Brewing Co</t>
  </si>
  <si>
    <t>Conway</t>
  </si>
  <si>
    <t>Grayton Beer Company</t>
  </si>
  <si>
    <t>Santa Rosa Beach</t>
  </si>
  <si>
    <t>(512) Brewing Co</t>
  </si>
  <si>
    <t>Matanuska Brewing Company</t>
  </si>
  <si>
    <t>Palmer</t>
  </si>
  <si>
    <t>Swamp Head Brewery</t>
  </si>
  <si>
    <t>Gainesville</t>
  </si>
  <si>
    <t>Beachwood Brewing</t>
  </si>
  <si>
    <t>Huntington Beach</t>
  </si>
  <si>
    <t>Dover</t>
  </si>
  <si>
    <t>Delaware</t>
  </si>
  <si>
    <t>Orpheus Brewing</t>
  </si>
  <si>
    <t>Great Raft Brewing</t>
  </si>
  <si>
    <t>Shreveport</t>
  </si>
  <si>
    <t>Payette Brewing Co</t>
  </si>
  <si>
    <t>Migration Brewing Co</t>
  </si>
  <si>
    <t>Nashville</t>
  </si>
  <si>
    <t>Schilling Beer Co</t>
  </si>
  <si>
    <t>Littleton</t>
  </si>
  <si>
    <t>Orono Brewing Company</t>
  </si>
  <si>
    <t>Orono</t>
  </si>
  <si>
    <t>Bristol Brewing Co</t>
  </si>
  <si>
    <t>Colorado Springs</t>
  </si>
  <si>
    <t>Stonecloud Brewing Co.</t>
  </si>
  <si>
    <t>Cheboygan Brewing Co</t>
  </si>
  <si>
    <t>Cheboygan</t>
  </si>
  <si>
    <t>Back Forty Beer Co</t>
  </si>
  <si>
    <t>Gadsden</t>
  </si>
  <si>
    <t>Goodwood Brewing</t>
  </si>
  <si>
    <t>Louisville</t>
  </si>
  <si>
    <t>Taft's Brewing Co- Brewpourium Cincinnati</t>
  </si>
  <si>
    <t>Moat Mountain Smoke House and Brewing Co</t>
  </si>
  <si>
    <t>North Conway</t>
  </si>
  <si>
    <t>Big Storm Brewing Co.</t>
  </si>
  <si>
    <t>Clearwater</t>
  </si>
  <si>
    <t>Block 15 Brewing Company</t>
  </si>
  <si>
    <t>Corvallis</t>
  </si>
  <si>
    <t>Fifty West Brewing Co</t>
  </si>
  <si>
    <t>Blackhorse Pub and Brewery</t>
  </si>
  <si>
    <t>Clarksville</t>
  </si>
  <si>
    <t>Masthead Brewing Co</t>
  </si>
  <si>
    <t>Eureka Heights Brew Co</t>
  </si>
  <si>
    <t>Land-Grant Brewing Company</t>
  </si>
  <si>
    <t>Draught Works Brewing</t>
  </si>
  <si>
    <t>Frost Beer Works</t>
  </si>
  <si>
    <t>Hinesburg</t>
  </si>
  <si>
    <t>Intuition Ale Works</t>
  </si>
  <si>
    <t>Jacksonville</t>
  </si>
  <si>
    <t>Bayern Brewing Inc. / Edelweiss Bistro</t>
  </si>
  <si>
    <t>2SP Brewing Company</t>
  </si>
  <si>
    <t>Aston</t>
  </si>
  <si>
    <t>Madison River Brewing Co</t>
  </si>
  <si>
    <t>Belgrade</t>
  </si>
  <si>
    <t>Pure Project</t>
  </si>
  <si>
    <t>Wolf's Ridge Brewing</t>
  </si>
  <si>
    <t>Connecticut Valley Brewing Company</t>
  </si>
  <si>
    <t>South Windsor</t>
  </si>
  <si>
    <t>Burgeon Beer Company</t>
  </si>
  <si>
    <t>Kings County Brewers Collective</t>
  </si>
  <si>
    <t>Wild Heaven Beer</t>
  </si>
  <si>
    <t>Wren House Brewing Company</t>
  </si>
  <si>
    <t>Phoenix</t>
  </si>
  <si>
    <t>7 Seas Brewing Co</t>
  </si>
  <si>
    <t>Tacoma</t>
  </si>
  <si>
    <t>Utepils Brewing Co</t>
  </si>
  <si>
    <t>Great North Aleworks</t>
  </si>
  <si>
    <t>Manchester</t>
  </si>
  <si>
    <t>Foam Brewers</t>
  </si>
  <si>
    <t>Grimm Artisanal Ales</t>
  </si>
  <si>
    <t>BROOKLYN</t>
  </si>
  <si>
    <t>Midnight Sun Brewing Co</t>
  </si>
  <si>
    <t>Anchorage</t>
  </si>
  <si>
    <t>Solemn Oath Brewery</t>
  </si>
  <si>
    <t>Naperville</t>
  </si>
  <si>
    <t>Green Man Brewing Co</t>
  </si>
  <si>
    <t>Double Nickel Brewing Company</t>
  </si>
  <si>
    <t>Pennsauken</t>
  </si>
  <si>
    <t>Cahaba Brewing Company</t>
  </si>
  <si>
    <t>Dewey Beer Co.</t>
  </si>
  <si>
    <t>Dewey Beach</t>
  </si>
  <si>
    <t>Oliver Brewing Company</t>
  </si>
  <si>
    <t>Finback Brewery</t>
  </si>
  <si>
    <t>Susquehanna Brewing Co</t>
  </si>
  <si>
    <t>Pittston</t>
  </si>
  <si>
    <t>Seismic Brewing Co</t>
  </si>
  <si>
    <t>Fretboard Brewing Company</t>
  </si>
  <si>
    <t>Blue Ash</t>
  </si>
  <si>
    <t>Bronx</t>
  </si>
  <si>
    <t>Modist Brewing Company</t>
  </si>
  <si>
    <t>Sugar Creek Brewing Co.</t>
  </si>
  <si>
    <t>Zipline Brewing Co</t>
  </si>
  <si>
    <t>Lincoln</t>
  </si>
  <si>
    <t>Nebraska</t>
  </si>
  <si>
    <t>Green Bench Brewing Co</t>
  </si>
  <si>
    <t>Jeremiah Johnson Brewing Company</t>
  </si>
  <si>
    <t>Great Falls</t>
  </si>
  <si>
    <t>Sailfish Brewing Company, llc</t>
  </si>
  <si>
    <t>Fort Pierce</t>
  </si>
  <si>
    <t>Rochester Mills Beer Co</t>
  </si>
  <si>
    <t>Atlas Brew Works</t>
  </si>
  <si>
    <t>Red Lodge Ales Brewing Co</t>
  </si>
  <si>
    <t>Red Lodge</t>
  </si>
  <si>
    <t>Three Creeks Brewing Co</t>
  </si>
  <si>
    <t>Sisters</t>
  </si>
  <si>
    <t>Kros Strain Brewing Company</t>
  </si>
  <si>
    <t>LaVista</t>
  </si>
  <si>
    <t>Islamorada Beer Company</t>
  </si>
  <si>
    <t>Islamorada</t>
  </si>
  <si>
    <t>Wilmington Brewing Company</t>
  </si>
  <si>
    <t>Wilmington</t>
  </si>
  <si>
    <t>Crooked Can Brewing Co</t>
  </si>
  <si>
    <t>Winter Garden</t>
  </si>
  <si>
    <t>Greenport Harbor Brewing Co, LLC</t>
  </si>
  <si>
    <t>Peconic</t>
  </si>
  <si>
    <t>Mother's Brewing Co</t>
  </si>
  <si>
    <t>Springfield</t>
  </si>
  <si>
    <t>Equilibrium Brewery</t>
  </si>
  <si>
    <t>Middletown</t>
  </si>
  <si>
    <t>Hill Farmstead Brewery</t>
  </si>
  <si>
    <t>Greensboro Bend</t>
  </si>
  <si>
    <t>Newburyport Brewing Co</t>
  </si>
  <si>
    <t>Newburyport</t>
  </si>
  <si>
    <t>Kiitos Brewing</t>
  </si>
  <si>
    <t>Metazoa Brewing Company</t>
  </si>
  <si>
    <t>Blue Mountain Brewery</t>
  </si>
  <si>
    <t>Afton</t>
  </si>
  <si>
    <t>Saucy Brew Works</t>
  </si>
  <si>
    <t>Common Roots Brewing Company</t>
  </si>
  <si>
    <t>South Glens Falls</t>
  </si>
  <si>
    <t>Lakewood Brewing Company</t>
  </si>
  <si>
    <t>Garland</t>
  </si>
  <si>
    <t>New Anthem Beer Project</t>
  </si>
  <si>
    <t>Tequesta Brewing Co</t>
  </si>
  <si>
    <t>Tequesta</t>
  </si>
  <si>
    <t>Philadelphia Brewing Co</t>
  </si>
  <si>
    <t>Ellison Brewery &amp; Spirits</t>
  </si>
  <si>
    <t>East Lansing</t>
  </si>
  <si>
    <t>Fullsteam Brewery</t>
  </si>
  <si>
    <t>Durham</t>
  </si>
  <si>
    <t>Santa Monica Brew Works</t>
  </si>
  <si>
    <t>Santa Monica</t>
  </si>
  <si>
    <t>Bohemian Brewery and Grill</t>
  </si>
  <si>
    <t>Tripping Animals Brewing Company</t>
  </si>
  <si>
    <t>Doral</t>
  </si>
  <si>
    <t>Meanwhile Brewing Company</t>
  </si>
  <si>
    <t>Mother Earth Brewing</t>
  </si>
  <si>
    <t>Kinston</t>
  </si>
  <si>
    <t>Granite City Food (Corp)</t>
  </si>
  <si>
    <t>Minnetonka</t>
  </si>
  <si>
    <t>Smoky Mountain Brewery</t>
  </si>
  <si>
    <t>Knoxville</t>
  </si>
  <si>
    <t>Hopworks Urban Brewery</t>
  </si>
  <si>
    <t>18th Street Brewery</t>
  </si>
  <si>
    <t>Gary</t>
  </si>
  <si>
    <t>Big Timber Brewing</t>
  </si>
  <si>
    <t>Elkins</t>
  </si>
  <si>
    <t>West Virginia</t>
  </si>
  <si>
    <t>Holy City Brewing</t>
  </si>
  <si>
    <t>Left Coast Brewing Co.</t>
  </si>
  <si>
    <t>San Clemente</t>
  </si>
  <si>
    <t>Laughing Dog Brewing</t>
  </si>
  <si>
    <t>Ponderay</t>
  </si>
  <si>
    <t>Crooked Stave</t>
  </si>
  <si>
    <t>Sonder Brewing</t>
  </si>
  <si>
    <t>Mason</t>
  </si>
  <si>
    <t>Sudwerk Brewing Co.</t>
  </si>
  <si>
    <t>Davis</t>
  </si>
  <si>
    <t>Goat Island Brewing</t>
  </si>
  <si>
    <t>Stoup Brewing</t>
  </si>
  <si>
    <t>Outer Range Brewing Co</t>
  </si>
  <si>
    <t>Frisco</t>
  </si>
  <si>
    <t>Southern Pines Brewing Company</t>
  </si>
  <si>
    <t>Southern Pines</t>
  </si>
  <si>
    <t>Denizens Brewing Company</t>
  </si>
  <si>
    <t>Riverdale</t>
  </si>
  <si>
    <t>Thomas Hooker Brewing Co LLC</t>
  </si>
  <si>
    <t>Mike Hess Brewing</t>
  </si>
  <si>
    <t>Worthy Brewing Co.</t>
  </si>
  <si>
    <t>Southbound Brewing Co</t>
  </si>
  <si>
    <t>Savannah</t>
  </si>
  <si>
    <t>Waikiki Brewing Company</t>
  </si>
  <si>
    <t>Honolulu</t>
  </si>
  <si>
    <t>Southern Prohibition Brewing</t>
  </si>
  <si>
    <t>Hattiesburg</t>
  </si>
  <si>
    <t>Mississippi</t>
  </si>
  <si>
    <t>Double Mountain Brewery</t>
  </si>
  <si>
    <t>Caldera Brewing Company</t>
  </si>
  <si>
    <t>Ashland</t>
  </si>
  <si>
    <t>Adirondack Pub and Brewery</t>
  </si>
  <si>
    <t>Lazy Magnolia Brewery</t>
  </si>
  <si>
    <t>Kiln</t>
  </si>
  <si>
    <t>Revelry Brewing Co.</t>
  </si>
  <si>
    <t>Charleston</t>
  </si>
  <si>
    <t>Northern United Brewing Co</t>
  </si>
  <si>
    <t>Dexter</t>
  </si>
  <si>
    <t>Carolina Brewery</t>
  </si>
  <si>
    <t>Chapel Hill</t>
  </si>
  <si>
    <t>Aslan Brewing Co.</t>
  </si>
  <si>
    <t>Steel Hands Brewing</t>
  </si>
  <si>
    <t>Cayce</t>
  </si>
  <si>
    <t>Dovetail Brewery</t>
  </si>
  <si>
    <t>Highlander Beer</t>
  </si>
  <si>
    <t>Prison City Brewing</t>
  </si>
  <si>
    <t>Bonesaw Brewing Co.</t>
  </si>
  <si>
    <t>Glassboro</t>
  </si>
  <si>
    <t>TrimTab Brewing co</t>
  </si>
  <si>
    <t>Everybody's Brewing Co</t>
  </si>
  <si>
    <t>White Salmon</t>
  </si>
  <si>
    <t>Twin Peaks Brewery</t>
  </si>
  <si>
    <t>Irving</t>
  </si>
  <si>
    <t>Kinkaider Brewing Co</t>
  </si>
  <si>
    <t>Broken Bow</t>
  </si>
  <si>
    <t>Bentonville Brewing Co</t>
  </si>
  <si>
    <t>Bentonville</t>
  </si>
  <si>
    <t>Woodstock Inn Brewery</t>
  </si>
  <si>
    <t>North Woodstock</t>
  </si>
  <si>
    <t>Fair State Brewing Cooperative</t>
  </si>
  <si>
    <t>Blackstone Brewing Co</t>
  </si>
  <si>
    <t>Backpocket Brewing Co</t>
  </si>
  <si>
    <t>Coralville</t>
  </si>
  <si>
    <t>Bent Water Brewing Company</t>
  </si>
  <si>
    <t>Lynn</t>
  </si>
  <si>
    <t>Garage Brewing Company</t>
  </si>
  <si>
    <t>Marietta</t>
  </si>
  <si>
    <t>Yellowhammer Brewery</t>
  </si>
  <si>
    <t>Huntsville</t>
  </si>
  <si>
    <t>Trophy Brewing Company</t>
  </si>
  <si>
    <t>Raleigh</t>
  </si>
  <si>
    <t>Thorn Brewing Company</t>
  </si>
  <si>
    <t>Pike Brewing Company</t>
  </si>
  <si>
    <t>Legend Brewing Co</t>
  </si>
  <si>
    <t>BlackStack Brewing</t>
  </si>
  <si>
    <t>Hop Butcher For the World</t>
  </si>
  <si>
    <t>Rusty Rail Brewing</t>
  </si>
  <si>
    <t>Mifflinburg</t>
  </si>
  <si>
    <t>Wibby Brewing</t>
  </si>
  <si>
    <t>The Brewing Projekt</t>
  </si>
  <si>
    <t>Eau Claire</t>
  </si>
  <si>
    <t>Ozark Beer Company</t>
  </si>
  <si>
    <t>Rogers</t>
  </si>
  <si>
    <t>Honolulu BeerWorks</t>
  </si>
  <si>
    <t>Bayou Teche Brewing</t>
  </si>
  <si>
    <t>Arnaudville</t>
  </si>
  <si>
    <t>Faction Brewing Co</t>
  </si>
  <si>
    <t>Alameda</t>
  </si>
  <si>
    <t>Middle Ages Brewing Co Ltd</t>
  </si>
  <si>
    <t>Syracuse</t>
  </si>
  <si>
    <t>Boundary Bay Brewery &amp; Bistro</t>
  </si>
  <si>
    <t>TALEA Beer Co</t>
  </si>
  <si>
    <t>New Image Brewing Co</t>
  </si>
  <si>
    <t>Arvada</t>
  </si>
  <si>
    <t>Bitter Root Brewing</t>
  </si>
  <si>
    <t>Hamilton</t>
  </si>
  <si>
    <t>Center of the Universe Brewing Co</t>
  </si>
  <si>
    <t>Birdsong Brewing Co.</t>
  </si>
  <si>
    <t>Bottle Logic Brewing</t>
  </si>
  <si>
    <t>Galveston Island Brewing</t>
  </si>
  <si>
    <t>Galveston</t>
  </si>
  <si>
    <t>Parkway Brewing</t>
  </si>
  <si>
    <t>Salem</t>
  </si>
  <si>
    <t>Hofbrauhaus of America LLC</t>
  </si>
  <si>
    <t>Henderson</t>
  </si>
  <si>
    <t>Sierra Blanca Brewing Co</t>
  </si>
  <si>
    <t>Moriarty</t>
  </si>
  <si>
    <t>Crosstown Brewing Company</t>
  </si>
  <si>
    <t>Seventh Son Brewing Co</t>
  </si>
  <si>
    <t>Mamaroneck</t>
  </si>
  <si>
    <t>Free Will Brewing Company</t>
  </si>
  <si>
    <t>Perkasie</t>
  </si>
  <si>
    <t>Silver Moon Brewing</t>
  </si>
  <si>
    <t>Motorworks Brewing</t>
  </si>
  <si>
    <t>Bradenton</t>
  </si>
  <si>
    <t>Boomtown Brewery</t>
  </si>
  <si>
    <t>Los Angeles</t>
  </si>
  <si>
    <t>Zilker Brewing Company</t>
  </si>
  <si>
    <t>Empyrean Brewing Co</t>
  </si>
  <si>
    <t>Daredevil Brewing Company</t>
  </si>
  <si>
    <t>Deep River Brewing Company</t>
  </si>
  <si>
    <t>Clayton</t>
  </si>
  <si>
    <t>Elevation Beer Company</t>
  </si>
  <si>
    <t>Poncha Springs</t>
  </si>
  <si>
    <t>Fair Winds Brewing Company</t>
  </si>
  <si>
    <t>Lorton</t>
  </si>
  <si>
    <t>Ghost River Brewing</t>
  </si>
  <si>
    <t>Lonerider Brewing Company</t>
  </si>
  <si>
    <t>Straight to Ale</t>
  </si>
  <si>
    <t>Perennial Artisan Ales</t>
  </si>
  <si>
    <t>Device Brewing Company</t>
  </si>
  <si>
    <t>Intracoastal Brewing Company</t>
  </si>
  <si>
    <t>Melbourne</t>
  </si>
  <si>
    <t>Triple Crossing Brewing Company</t>
  </si>
  <si>
    <t>Grand Canyon Brewing Company</t>
  </si>
  <si>
    <t>Williams</t>
  </si>
  <si>
    <t>Bold City Brewery</t>
  </si>
  <si>
    <t>SingleSpeed Brewing</t>
  </si>
  <si>
    <t>Waterloo</t>
  </si>
  <si>
    <t>Bevana</t>
  </si>
  <si>
    <t>Newton</t>
  </si>
  <si>
    <t>Carton Brewing Co</t>
  </si>
  <si>
    <t>Atlantic Highlands</t>
  </si>
  <si>
    <t>Conshohocken Brewing Co.</t>
  </si>
  <si>
    <t>Conshohocken</t>
  </si>
  <si>
    <t>Geary Brewing Co Inc.</t>
  </si>
  <si>
    <t>Proof Brewing Co</t>
  </si>
  <si>
    <t>Tallahassee</t>
  </si>
  <si>
    <t>Reformation Brewery</t>
  </si>
  <si>
    <t>Thomas Creek Brewery</t>
  </si>
  <si>
    <t>Greenville</t>
  </si>
  <si>
    <t>LIC Beer Project</t>
  </si>
  <si>
    <t>Long Island City</t>
  </si>
  <si>
    <t>Ghostfish Brewing Company</t>
  </si>
  <si>
    <t>Pollyanna Brewing Company</t>
  </si>
  <si>
    <t>Lemont</t>
  </si>
  <si>
    <t>Odd Side Ales</t>
  </si>
  <si>
    <t>Grand Haven</t>
  </si>
  <si>
    <t>Lumberyard Brewing Co Taproom and Grille</t>
  </si>
  <si>
    <t>903 Brewers</t>
  </si>
  <si>
    <t>Sherman</t>
  </si>
  <si>
    <t>Ratio Beerworks</t>
  </si>
  <si>
    <t>One Barrel Brewing Company</t>
  </si>
  <si>
    <t>O'Fallon Brewery</t>
  </si>
  <si>
    <t>Maryland Heights</t>
  </si>
  <si>
    <t>Silver Reef Brewing Company</t>
  </si>
  <si>
    <t>Saint George</t>
  </si>
  <si>
    <t>Common Space Brewery</t>
  </si>
  <si>
    <t>Hawthorne</t>
  </si>
  <si>
    <t>Thirsty Planet Brewing Co</t>
  </si>
  <si>
    <t>Cerebral Brewing</t>
  </si>
  <si>
    <t>Hangar 24 Craft Brewery</t>
  </si>
  <si>
    <t>Redlands</t>
  </si>
  <si>
    <t>Hinterland Brewery</t>
  </si>
  <si>
    <t>De Pere</t>
  </si>
  <si>
    <t>Grand Armory Brewing Co</t>
  </si>
  <si>
    <t>Paperback Brewing Company</t>
  </si>
  <si>
    <t>Glendale</t>
  </si>
  <si>
    <t>Bauhaus Brew Labs</t>
  </si>
  <si>
    <t>Right Proper Brewing Company</t>
  </si>
  <si>
    <t>RAM Restaurant &amp; Brewery</t>
  </si>
  <si>
    <t>Lakewood</t>
  </si>
  <si>
    <t>Level Beer</t>
  </si>
  <si>
    <t>Quaff On Brewing Company</t>
  </si>
  <si>
    <t>Haymarket Beer Co</t>
  </si>
  <si>
    <t>First Magnitude Brewing Company</t>
  </si>
  <si>
    <t>Spring House Brewing Co.</t>
  </si>
  <si>
    <t>Lancaster</t>
  </si>
  <si>
    <t>Manor Hill Brewing</t>
  </si>
  <si>
    <t>Ellicott City</t>
  </si>
  <si>
    <t>3 Nations Brewing</t>
  </si>
  <si>
    <t>Carrollton</t>
  </si>
  <si>
    <t>Laughing Monk Brewery</t>
  </si>
  <si>
    <t>Sunnyvale</t>
  </si>
  <si>
    <t>Dru Bru</t>
  </si>
  <si>
    <t>Snoqualmie Pass</t>
  </si>
  <si>
    <t>Cape Cod Beer</t>
  </si>
  <si>
    <t>Hyannis</t>
  </si>
  <si>
    <t>Peticolas Brewing Co</t>
  </si>
  <si>
    <t>Raleigh Brewing Company</t>
  </si>
  <si>
    <t>Pontoon Brewing Company</t>
  </si>
  <si>
    <t>Sandy Springs</t>
  </si>
  <si>
    <t>Sociable Cider Werks</t>
  </si>
  <si>
    <t>Proper Brewing Co</t>
  </si>
  <si>
    <t>Old Bust Head Brewing Company</t>
  </si>
  <si>
    <t>Vint Hill</t>
  </si>
  <si>
    <t>Bozeman Brewing Co</t>
  </si>
  <si>
    <t>Hopewell Brewing Co</t>
  </si>
  <si>
    <t>SLO Brew</t>
  </si>
  <si>
    <t>San Luis Obispo</t>
  </si>
  <si>
    <t>FiftyFifty Brewing Co</t>
  </si>
  <si>
    <t>Truckee</t>
  </si>
  <si>
    <t>New Terrain Brewing Company</t>
  </si>
  <si>
    <t>Golden</t>
  </si>
  <si>
    <t>Frog Alley Brewing</t>
  </si>
  <si>
    <t>Schenectady</t>
  </si>
  <si>
    <t>Prison Pals Brewing Co</t>
  </si>
  <si>
    <t>Martin City Brewing Company</t>
  </si>
  <si>
    <t>Old Ox Brewery LLC</t>
  </si>
  <si>
    <t>Ashburn</t>
  </si>
  <si>
    <t>Scuttlebutt Brewing Co</t>
  </si>
  <si>
    <t>Sketchbook Brewing Company</t>
  </si>
  <si>
    <t>Evanston</t>
  </si>
  <si>
    <t>Cycle Brewing</t>
  </si>
  <si>
    <t>St Petersburg</t>
  </si>
  <si>
    <t>J Wakefield Brewing</t>
  </si>
  <si>
    <t>Miami</t>
  </si>
  <si>
    <t>Helltown Brewing</t>
  </si>
  <si>
    <t>La Quinta Brewing Co</t>
  </si>
  <si>
    <t>Palm Desert</t>
  </si>
  <si>
    <t>Commonwealth Brewing Co.</t>
  </si>
  <si>
    <t>Virginia Beach</t>
  </si>
  <si>
    <t>Barley Brown's Beer</t>
  </si>
  <si>
    <t>Baker City</t>
  </si>
  <si>
    <t>Roosters Brewing Co  (#1)</t>
  </si>
  <si>
    <t>Ogden</t>
  </si>
  <si>
    <t>Asbury Park Brewery LLC</t>
  </si>
  <si>
    <t>Beer'd Brewing Company</t>
  </si>
  <si>
    <t>Stonington</t>
  </si>
  <si>
    <t>Earth Rider Brewery</t>
  </si>
  <si>
    <t>Superior</t>
  </si>
  <si>
    <t>Able Baker Brewing Company</t>
  </si>
  <si>
    <t>Las Vegas</t>
  </si>
  <si>
    <t>Ghost Train Brewing Co</t>
  </si>
  <si>
    <t>Ghost Brewing Company</t>
  </si>
  <si>
    <t>Bay Shore</t>
  </si>
  <si>
    <t>Basic City Beer Co</t>
  </si>
  <si>
    <t>Waynesboro</t>
  </si>
  <si>
    <t>Four Sons Brewing</t>
  </si>
  <si>
    <t>Pearl Street Brewery</t>
  </si>
  <si>
    <t>La Crosse</t>
  </si>
  <si>
    <t>Brothers Craft Brewing</t>
  </si>
  <si>
    <t>Harrisonburg</t>
  </si>
  <si>
    <t>Roughtail Brewing</t>
  </si>
  <si>
    <t>49th State Brewing</t>
  </si>
  <si>
    <t>Healy</t>
  </si>
  <si>
    <t>Church Street Brewing Company</t>
  </si>
  <si>
    <t>Itasca</t>
  </si>
  <si>
    <t>Phase Three  Brewing</t>
  </si>
  <si>
    <t>Lake Zurich</t>
  </si>
  <si>
    <t>Philipsburg Brewing Co</t>
  </si>
  <si>
    <t>Philipsburg</t>
  </si>
  <si>
    <t>Banded Brewing Company</t>
  </si>
  <si>
    <t>Biddeford</t>
  </si>
  <si>
    <t>North Country Brewing Co. LLC</t>
  </si>
  <si>
    <t>Slippery Rock</t>
  </si>
  <si>
    <t>Storm Peak Brewing Company</t>
  </si>
  <si>
    <t>Steamboat Springs</t>
  </si>
  <si>
    <t>Moonlight Brewing Co</t>
  </si>
  <si>
    <t>MORE Brewing Company</t>
  </si>
  <si>
    <t>Huntley</t>
  </si>
  <si>
    <t>Mayflower Brewing Company</t>
  </si>
  <si>
    <t>Plymouth</t>
  </si>
  <si>
    <t>Discretion Brewing</t>
  </si>
  <si>
    <t>Soquel</t>
  </si>
  <si>
    <t>Canandaigua</t>
  </si>
  <si>
    <t>Against the Grain Brewery</t>
  </si>
  <si>
    <t>Asheville Brewing Co</t>
  </si>
  <si>
    <t>Bemidji Brewing Company</t>
  </si>
  <si>
    <t>Bemidji</t>
  </si>
  <si>
    <t>O.H.S.O. Eatery + NanoBrewery</t>
  </si>
  <si>
    <t>Ardent Craft Ales</t>
  </si>
  <si>
    <t>East Brother Beer Company</t>
  </si>
  <si>
    <t>Second Street Brewery</t>
  </si>
  <si>
    <t>Taxman Brewing Co</t>
  </si>
  <si>
    <t>Bargersville</t>
  </si>
  <si>
    <t>Templin Family Brewing</t>
  </si>
  <si>
    <t>Lancaster Brewing Co</t>
  </si>
  <si>
    <t>Meadowlark Brewing</t>
  </si>
  <si>
    <t>Sidney</t>
  </si>
  <si>
    <t>Sibling Revelry Brewing</t>
  </si>
  <si>
    <t>Westlake</t>
  </si>
  <si>
    <t>Fairhope Brewing Co</t>
  </si>
  <si>
    <t>Fairhope</t>
  </si>
  <si>
    <t>Monkish Brewing Co</t>
  </si>
  <si>
    <t>Weyerbacher Brewing Co</t>
  </si>
  <si>
    <t>Easton</t>
  </si>
  <si>
    <t>Door County Brewing Co./ Hacienda Beer Co</t>
  </si>
  <si>
    <t>Baileys Harbor</t>
  </si>
  <si>
    <t>Hamburg Brewing Company</t>
  </si>
  <si>
    <t>Hamburg</t>
  </si>
  <si>
    <t>Brouwerij West</t>
  </si>
  <si>
    <t>San Pedro</t>
  </si>
  <si>
    <t>Icarus Brewing Company</t>
  </si>
  <si>
    <t>Red Rock Brewing Co - Production</t>
  </si>
  <si>
    <t>Notch Brewing</t>
  </si>
  <si>
    <t>Holidaily Brewing Co</t>
  </si>
  <si>
    <t>Broken Tooth Brewing</t>
  </si>
  <si>
    <t>Big Muddy Brewing Co</t>
  </si>
  <si>
    <t>Murphysboro</t>
  </si>
  <si>
    <t>Black Abbey Brewing Company, The</t>
  </si>
  <si>
    <t>7venth Sun Brewery</t>
  </si>
  <si>
    <t>Dunedin</t>
  </si>
  <si>
    <t>Kern River Brewing Co</t>
  </si>
  <si>
    <t>Kernville</t>
  </si>
  <si>
    <t>Newburgh Brewing Company</t>
  </si>
  <si>
    <t>Newburgh</t>
  </si>
  <si>
    <t>Lost Rhino Brewing Co</t>
  </si>
  <si>
    <t>Foreign Objects Beer Company</t>
  </si>
  <si>
    <t>New Paltz</t>
  </si>
  <si>
    <t>Bootleggers Brewery</t>
  </si>
  <si>
    <t>Fullerton</t>
  </si>
  <si>
    <t>Innovation Brewing</t>
  </si>
  <si>
    <t>Sylva</t>
  </si>
  <si>
    <t>Trapezium Brewing Company</t>
  </si>
  <si>
    <t>Petersburg</t>
  </si>
  <si>
    <t>Big Lake Brewing</t>
  </si>
  <si>
    <t>2 Silos Brewing Company</t>
  </si>
  <si>
    <t>Manassas</t>
  </si>
  <si>
    <t>Burley Oak Craft Brewery</t>
  </si>
  <si>
    <t>Berlin</t>
  </si>
  <si>
    <t>High Point Brewing Co, Inc.</t>
  </si>
  <si>
    <t>Butler</t>
  </si>
  <si>
    <t>Seapine Brewing Company</t>
  </si>
  <si>
    <t>Ypsilanti</t>
  </si>
  <si>
    <t>Lost Nation Brewing</t>
  </si>
  <si>
    <t>Morrisville</t>
  </si>
  <si>
    <t>Dancing Gnome Beer</t>
  </si>
  <si>
    <t>Pittsburgh</t>
  </si>
  <si>
    <t>Nocterra Brewing Company</t>
  </si>
  <si>
    <t>Powell</t>
  </si>
  <si>
    <t>Fort Hill Brewery</t>
  </si>
  <si>
    <t>Easthampton</t>
  </si>
  <si>
    <t>Logyard Brewing</t>
  </si>
  <si>
    <t>Kane</t>
  </si>
  <si>
    <t>Sand City Brewing Co.</t>
  </si>
  <si>
    <t>Northport</t>
  </si>
  <si>
    <t>Wild Onion Brewing Co.</t>
  </si>
  <si>
    <t>Lake Barrington</t>
  </si>
  <si>
    <t>Bridger Brewing</t>
  </si>
  <si>
    <t>Maryville</t>
  </si>
  <si>
    <t>Moeller Brew Barn</t>
  </si>
  <si>
    <t>Maria Stein</t>
  </si>
  <si>
    <t>Key Brewing Co.</t>
  </si>
  <si>
    <t>Maumee Bay Brewing Co</t>
  </si>
  <si>
    <t>Toledo</t>
  </si>
  <si>
    <t>Enterprise</t>
  </si>
  <si>
    <t>Triple C Brewing Company</t>
  </si>
  <si>
    <t>Urban Roots Brewing &amp; Smokehouse</t>
  </si>
  <si>
    <t>Wooden Robot</t>
  </si>
  <si>
    <t>Yellow Springs Brewery</t>
  </si>
  <si>
    <t>Yellow Springs</t>
  </si>
  <si>
    <t>Tin Roof Brewing Co</t>
  </si>
  <si>
    <t>Baton Rouge</t>
  </si>
  <si>
    <t>Low Tide Brewing</t>
  </si>
  <si>
    <t>Johns Island</t>
  </si>
  <si>
    <t>Oxbow Brewing Co</t>
  </si>
  <si>
    <t>Newcastle</t>
  </si>
  <si>
    <t>Backwoods Brewing Company</t>
  </si>
  <si>
    <t>Carson</t>
  </si>
  <si>
    <t>Workhorse Brewing Co</t>
  </si>
  <si>
    <t>Blowing Rock Brewing Company</t>
  </si>
  <si>
    <t>Blowing Rock</t>
  </si>
  <si>
    <t>Pizza Boy Brewing Co</t>
  </si>
  <si>
    <t>Enola</t>
  </si>
  <si>
    <t>Ascendant Beer Company</t>
  </si>
  <si>
    <t>Lone Tree Brewing Co</t>
  </si>
  <si>
    <t>Lone Tree</t>
  </si>
  <si>
    <t>1623 Brewing Company, LLC</t>
  </si>
  <si>
    <t>Sykesville</t>
  </si>
  <si>
    <t>PHX Beer Co.</t>
  </si>
  <si>
    <t>Fate Brewing Company</t>
  </si>
  <si>
    <t>Scottsdale</t>
  </si>
  <si>
    <t>Great Dane Pub and Brewing Co - Downtown</t>
  </si>
  <si>
    <t>Big Oyster Brewery</t>
  </si>
  <si>
    <t>Lewes</t>
  </si>
  <si>
    <t>26 Degree Brewing Company</t>
  </si>
  <si>
    <t>Pompano Beach</t>
  </si>
  <si>
    <t>Crooked Run Fermentation</t>
  </si>
  <si>
    <t>Leesburg</t>
  </si>
  <si>
    <t>Mankato Brewery</t>
  </si>
  <si>
    <t>North Mankato</t>
  </si>
  <si>
    <t>Toms River Brewing</t>
  </si>
  <si>
    <t>Toms River</t>
  </si>
  <si>
    <t>Naked Dove Brewing Company</t>
  </si>
  <si>
    <t>Ola Brew Co.</t>
  </si>
  <si>
    <t>Kailua Kona</t>
  </si>
  <si>
    <t>Rouleur Brewing Company</t>
  </si>
  <si>
    <t>Resonate Brewery + Pizzeria</t>
  </si>
  <si>
    <t>Bellevue</t>
  </si>
  <si>
    <t>Tamarack Brewing Co</t>
  </si>
  <si>
    <t>Lakeside</t>
  </si>
  <si>
    <t>Fall Brewing Company</t>
  </si>
  <si>
    <t>Anthem Brewing Co</t>
  </si>
  <si>
    <t>Silver Branch Brewing Company</t>
  </si>
  <si>
    <t>SILVER SPRING</t>
  </si>
  <si>
    <t>Dangerous Man Brewing Co</t>
  </si>
  <si>
    <t>Old Caz Beer</t>
  </si>
  <si>
    <t>Rohnert Park</t>
  </si>
  <si>
    <t>EBBS Brewing Co.</t>
  </si>
  <si>
    <t>Pisgah Brewing Co</t>
  </si>
  <si>
    <t>Black Mountain</t>
  </si>
  <si>
    <t>Central 28 Beer Company</t>
  </si>
  <si>
    <t>Debary</t>
  </si>
  <si>
    <t>Freetail Brewing Co - Brewpub</t>
  </si>
  <si>
    <t>Alamo Beer Company</t>
  </si>
  <si>
    <t>Community Beer Works</t>
  </si>
  <si>
    <t>The Tank Brewing Company</t>
  </si>
  <si>
    <t>4204 Main Street Brewing Co</t>
  </si>
  <si>
    <t>Belleville</t>
  </si>
  <si>
    <t>Chuckanut Brewery</t>
  </si>
  <si>
    <t>Harvest Moon Brewing</t>
  </si>
  <si>
    <t>Belt</t>
  </si>
  <si>
    <t>Lost Cabin Beer Co.</t>
  </si>
  <si>
    <t>Rapid City</t>
  </si>
  <si>
    <t>South Dakota</t>
  </si>
  <si>
    <t>Artifex Brewing Company</t>
  </si>
  <si>
    <t>Ever Grain Brewing Co.</t>
  </si>
  <si>
    <t>Camp Hill</t>
  </si>
  <si>
    <t>Love City Brewing Company</t>
  </si>
  <si>
    <t>Alter Brewing Company</t>
  </si>
  <si>
    <t>Downers Grove</t>
  </si>
  <si>
    <t>SpindleTap Brewery</t>
  </si>
  <si>
    <t>Jailbreak Brewing Company</t>
  </si>
  <si>
    <t>Laurel</t>
  </si>
  <si>
    <t>Ipswich Ale Brewery</t>
  </si>
  <si>
    <t>Ipswich</t>
  </si>
  <si>
    <t>Crooked Hammock Brewery</t>
  </si>
  <si>
    <t>Fox River Brewing Co</t>
  </si>
  <si>
    <t>Oshkosh</t>
  </si>
  <si>
    <t>Hellbent Brewing Company</t>
  </si>
  <si>
    <t>Steel Toe Brewing</t>
  </si>
  <si>
    <t>St Louis Park</t>
  </si>
  <si>
    <t>Eppig Brewing</t>
  </si>
  <si>
    <t>Meier's Creek Brewing Co.</t>
  </si>
  <si>
    <t>Cazenovia</t>
  </si>
  <si>
    <t>Southern Grist Brewing Company</t>
  </si>
  <si>
    <t>Widowmaker Brewing</t>
  </si>
  <si>
    <t>Braintree</t>
  </si>
  <si>
    <t>BuckleDown Brewing</t>
  </si>
  <si>
    <t>Lyons</t>
  </si>
  <si>
    <t>Blackfoot River Brewing Co</t>
  </si>
  <si>
    <t>Greenbrier Valley Brewing Company</t>
  </si>
  <si>
    <t>Maxwelton</t>
  </si>
  <si>
    <t>Mountain State Brewing Co</t>
  </si>
  <si>
    <t>Thomas</t>
  </si>
  <si>
    <t>Wise Man Brewing</t>
  </si>
  <si>
    <t>Winston-Salem</t>
  </si>
  <si>
    <t>Xul Beer Company</t>
  </si>
  <si>
    <t>Austin Brothers' Beer Company</t>
  </si>
  <si>
    <t>Alpena</t>
  </si>
  <si>
    <t>Czig Meister Brewing Co.</t>
  </si>
  <si>
    <t>Hackettstown</t>
  </si>
  <si>
    <t>New York Beer Project</t>
  </si>
  <si>
    <t>Lockport</t>
  </si>
  <si>
    <t>Black Hog Brewing Co</t>
  </si>
  <si>
    <t>Oxford</t>
  </si>
  <si>
    <t>Brew Detroit</t>
  </si>
  <si>
    <t>Detroit</t>
  </si>
  <si>
    <t>Columbia Craft LLC</t>
  </si>
  <si>
    <t>Memphis Made Brewing Co.</t>
  </si>
  <si>
    <t>Morgan Territory Brewing</t>
  </si>
  <si>
    <t>Tracy</t>
  </si>
  <si>
    <t>New Sarum Brewing</t>
  </si>
  <si>
    <t>Berryessa Brewing Co</t>
  </si>
  <si>
    <t>Winters</t>
  </si>
  <si>
    <t>Steel Bender Brewyard</t>
  </si>
  <si>
    <t>Une Année Brewery LLC</t>
  </si>
  <si>
    <t>Niles</t>
  </si>
  <si>
    <t>Port Orleans Brewing Company</t>
  </si>
  <si>
    <t>Wyndridge Farm Brewing</t>
  </si>
  <si>
    <t>Dallastown</t>
  </si>
  <si>
    <t>Emmaus</t>
  </si>
  <si>
    <t>Fernson Brewing Company</t>
  </si>
  <si>
    <t>Sioux Falls</t>
  </si>
  <si>
    <t>Fargo Brewing Co</t>
  </si>
  <si>
    <t>Swine City Brewing Company</t>
  </si>
  <si>
    <t>Fairfield</t>
  </si>
  <si>
    <t>MobCraft Beer</t>
  </si>
  <si>
    <t>Moody Tongue Brewing Company</t>
  </si>
  <si>
    <t>Petoskey Brewing</t>
  </si>
  <si>
    <t>Petoskey</t>
  </si>
  <si>
    <t>Mill House Brewing Company</t>
  </si>
  <si>
    <t>Poughkeepsie</t>
  </si>
  <si>
    <t>14th Star Brewing Co.</t>
  </si>
  <si>
    <t>Saint Albans</t>
  </si>
  <si>
    <t>Pennsylvania Brewing Co</t>
  </si>
  <si>
    <t>Chandeleur Island Brewing Company</t>
  </si>
  <si>
    <t>Gulfport</t>
  </si>
  <si>
    <t>Oakshire Brewing</t>
  </si>
  <si>
    <t>Eugene</t>
  </si>
  <si>
    <t>Untold Brewing</t>
  </si>
  <si>
    <t>Scituate</t>
  </si>
  <si>
    <t>Falling Knife Brewing Company</t>
  </si>
  <si>
    <t>Gigantic Brewing Co</t>
  </si>
  <si>
    <t>Wild Ride Brewing</t>
  </si>
  <si>
    <t>Sarasota</t>
  </si>
  <si>
    <t>East Rock Brewing Company</t>
  </si>
  <si>
    <t>New Haven</t>
  </si>
  <si>
    <t>Paradigm Brewing Co</t>
  </si>
  <si>
    <t>Tomball</t>
  </si>
  <si>
    <t>Nebraska Brewing Company - La Vista</t>
  </si>
  <si>
    <t>La Vista</t>
  </si>
  <si>
    <t>Outlaw Brewing Co</t>
  </si>
  <si>
    <t>Adroit Theory Brewing Company</t>
  </si>
  <si>
    <t>Purcellville</t>
  </si>
  <si>
    <t>Civil Life Brewing Company</t>
  </si>
  <si>
    <t>Saint Louis, MO</t>
  </si>
  <si>
    <t>Grand Rapids</t>
  </si>
  <si>
    <t>Appalachian Brewing Co - Harrisburg</t>
  </si>
  <si>
    <t>Harrisburg</t>
  </si>
  <si>
    <t>Interboro Spirits And Ales</t>
  </si>
  <si>
    <t>Imprint Beer Company</t>
  </si>
  <si>
    <t>Hatfield</t>
  </si>
  <si>
    <t>Riggs Beer Company</t>
  </si>
  <si>
    <t>Urbana</t>
  </si>
  <si>
    <t>Omnium Brewing</t>
  </si>
  <si>
    <t>Somersworth</t>
  </si>
  <si>
    <t>Royal Docks Brewing Co.</t>
  </si>
  <si>
    <t>Arizona Wilderness Brewing</t>
  </si>
  <si>
    <t>Gilbert</t>
  </si>
  <si>
    <t>Gizmo Brew Works</t>
  </si>
  <si>
    <t>Duck Foot Brewing Co.</t>
  </si>
  <si>
    <t>Diamond Knot Brewing Co.</t>
  </si>
  <si>
    <t>Mukilteo</t>
  </si>
  <si>
    <t>Tommyknocker Brewery &amp; Pub</t>
  </si>
  <si>
    <t>Idaho Springs</t>
  </si>
  <si>
    <t>Peabody Heights Brewery</t>
  </si>
  <si>
    <t>Big Dog's Brewing Co</t>
  </si>
  <si>
    <t>Crystal Lake Brewing</t>
  </si>
  <si>
    <t>Crystal Lake</t>
  </si>
  <si>
    <t>Hamilton Family Brewery</t>
  </si>
  <si>
    <t>Rancho Cucamonga</t>
  </si>
  <si>
    <t>Hidden Springs Ale Works</t>
  </si>
  <si>
    <t>Magnanimous Brewing</t>
  </si>
  <si>
    <t>Resident Culture</t>
  </si>
  <si>
    <t>West Side Brewing</t>
  </si>
  <si>
    <t>Badger State Brewing Company</t>
  </si>
  <si>
    <t>Green Bay</t>
  </si>
  <si>
    <t>Palisade Brewing Company</t>
  </si>
  <si>
    <t>Palisade</t>
  </si>
  <si>
    <t>Mt. Carmel Brewing Co</t>
  </si>
  <si>
    <t>Abnormal Beer Company</t>
  </si>
  <si>
    <t>11 Below Brewing Company</t>
  </si>
  <si>
    <t>Red Leg Brewing Company</t>
  </si>
  <si>
    <t>Marshall Brewing Co, LLC</t>
  </si>
  <si>
    <t>Tulsa</t>
  </si>
  <si>
    <t>Enegren Brewing Co</t>
  </si>
  <si>
    <t>Moorpark</t>
  </si>
  <si>
    <t>Saltwater Brewery</t>
  </si>
  <si>
    <t>Delray Beach</t>
  </si>
  <si>
    <t>New South Brewing Co</t>
  </si>
  <si>
    <t>Myrtle Beach</t>
  </si>
  <si>
    <t>Defiance Brewing Co.</t>
  </si>
  <si>
    <t>Hays</t>
  </si>
  <si>
    <t>Young Blood Beer Company</t>
  </si>
  <si>
    <t>Smartmouth Brewing Co</t>
  </si>
  <si>
    <t>Equal Parts Brewing</t>
  </si>
  <si>
    <t>Palm City Brewing</t>
  </si>
  <si>
    <t>Gate City Brewing Company</t>
  </si>
  <si>
    <t>Roswell</t>
  </si>
  <si>
    <t>Hop And Sting Brewing Company</t>
  </si>
  <si>
    <t>Grapevine</t>
  </si>
  <si>
    <t>Temescal Brewing</t>
  </si>
  <si>
    <t>Oakland</t>
  </si>
  <si>
    <t>Cellarmaker Brewing Company</t>
  </si>
  <si>
    <t>Titletown Brewing Co</t>
  </si>
  <si>
    <t>City Barrel Brewing Co</t>
  </si>
  <si>
    <t>Lake Placid</t>
  </si>
  <si>
    <t>Short Fuse Brewing Company</t>
  </si>
  <si>
    <t>Schiller Park</t>
  </si>
  <si>
    <t>Millcreek Brewing Company</t>
  </si>
  <si>
    <t>Nolensville</t>
  </si>
  <si>
    <t>Proclamation Ale Company</t>
  </si>
  <si>
    <t>Warwick</t>
  </si>
  <si>
    <t>Hoof Hearted Brewing</t>
  </si>
  <si>
    <t>Marengo</t>
  </si>
  <si>
    <t>Resident Brewing Co.</t>
  </si>
  <si>
    <t>Amherst Brewing Co / Hangar Pub and Grill</t>
  </si>
  <si>
    <t>Spellbound Brewing</t>
  </si>
  <si>
    <t>Mount Holly</t>
  </si>
  <si>
    <t>Salty Turtle Beer Company</t>
  </si>
  <si>
    <t>Surf City</t>
  </si>
  <si>
    <t>Great Rhythm Brewing Co.</t>
  </si>
  <si>
    <t>Booze Brothers Brewing Co.</t>
  </si>
  <si>
    <t>Definitive Brewing Company</t>
  </si>
  <si>
    <t>Lynnwood Grill &amp; Brewing Concern</t>
  </si>
  <si>
    <t>Booneshine Brewing Company</t>
  </si>
  <si>
    <t>Bolero Snort Brewery</t>
  </si>
  <si>
    <t>Carlstadt</t>
  </si>
  <si>
    <t>Fonta Flora Brewery</t>
  </si>
  <si>
    <t>Morganton</t>
  </si>
  <si>
    <t>Wynkoop Brewing Co</t>
  </si>
  <si>
    <t>Third Eye Brewing Company</t>
  </si>
  <si>
    <t>Sprecher Brewing Co</t>
  </si>
  <si>
    <t>Cricket Hill Brewing Co. Inc.</t>
  </si>
  <si>
    <t>Vail Brewing Company</t>
  </si>
  <si>
    <t>Vail</t>
  </si>
  <si>
    <t>Old Stove Brewing Company</t>
  </si>
  <si>
    <t>Crooked Lane Brewing Co</t>
  </si>
  <si>
    <t>Pedal Haus Brewery</t>
  </si>
  <si>
    <t>chandler</t>
  </si>
  <si>
    <t>St. Elmo Brewing Company</t>
  </si>
  <si>
    <t>Shovel Town Brewery, Inc.</t>
  </si>
  <si>
    <t>North Easton</t>
  </si>
  <si>
    <t>Cabarrus Brewing Company</t>
  </si>
  <si>
    <t>Concord</t>
  </si>
  <si>
    <t>Commonhouse Aleworks</t>
  </si>
  <si>
    <t>Mispillion River Brewing</t>
  </si>
  <si>
    <t>Florida Keys Brewing Co.</t>
  </si>
  <si>
    <t>Mirror Twin Brewing</t>
  </si>
  <si>
    <t>Hobbs Tavern &amp; Brewing Co.</t>
  </si>
  <si>
    <t>West Ossipee</t>
  </si>
  <si>
    <t>Walking Tree Brewery</t>
  </si>
  <si>
    <t>Vero Beach</t>
  </si>
  <si>
    <t>Big Top Brewing Company</t>
  </si>
  <si>
    <t>Brick West Brewing Company</t>
  </si>
  <si>
    <t>Central Coast Brewing Co</t>
  </si>
  <si>
    <t>Los Angeles Ale Works</t>
  </si>
  <si>
    <t>Omaha Brewing Company</t>
  </si>
  <si>
    <t>Omaha</t>
  </si>
  <si>
    <t>E9 Brewing Co.</t>
  </si>
  <si>
    <t>Pigeon Hill Brewing Company</t>
  </si>
  <si>
    <t>Muskegon</t>
  </si>
  <si>
    <t>Tractor Brewing Co</t>
  </si>
  <si>
    <t>Art History Brewing Inc</t>
  </si>
  <si>
    <t>Geneva</t>
  </si>
  <si>
    <t>Baerlic Brewing Co</t>
  </si>
  <si>
    <t>Energy City Brewing</t>
  </si>
  <si>
    <t>Batavia</t>
  </si>
  <si>
    <t>Idiom Brewing Company</t>
  </si>
  <si>
    <t>Frederick</t>
  </si>
  <si>
    <t>Pensacola Bay Brewery</t>
  </si>
  <si>
    <t>Pensacola</t>
  </si>
  <si>
    <t>Four Day Ray Brewing</t>
  </si>
  <si>
    <t>Fishers</t>
  </si>
  <si>
    <t>Peace Tree Brewing Company</t>
  </si>
  <si>
    <t>Remedy Brewing Company</t>
  </si>
  <si>
    <t>Woodland Empire Ale Craft</t>
  </si>
  <si>
    <t>Wrightsville Beach Brewery</t>
  </si>
  <si>
    <t>Occidental Brewing</t>
  </si>
  <si>
    <t>Oak Creek Brewing Co</t>
  </si>
  <si>
    <t>Sedona</t>
  </si>
  <si>
    <t>Naked River Brewing</t>
  </si>
  <si>
    <t>Chattanooga</t>
  </si>
  <si>
    <t>Long Ireland Brewing Co</t>
  </si>
  <si>
    <t>Riverhead</t>
  </si>
  <si>
    <t>Spiteful Brewing</t>
  </si>
  <si>
    <t>Vitamin Sea Brewing</t>
  </si>
  <si>
    <t>East Weymouth</t>
  </si>
  <si>
    <t>Granite Falls Brewing Co.</t>
  </si>
  <si>
    <t>Granite Falls</t>
  </si>
  <si>
    <t>Veterans United Craft Brewery</t>
  </si>
  <si>
    <t>Coachella Valley Brewing Co</t>
  </si>
  <si>
    <t>Thousand Palms</t>
  </si>
  <si>
    <t>Narrows Brewing Company</t>
  </si>
  <si>
    <t>Steamworks Brewing Co</t>
  </si>
  <si>
    <t>Brix City Brewing</t>
  </si>
  <si>
    <t>Little Ferry</t>
  </si>
  <si>
    <t>Insight Brewing Company</t>
  </si>
  <si>
    <t>Grains of Wrath Brewing</t>
  </si>
  <si>
    <t>Camas</t>
  </si>
  <si>
    <t>Grist House Craft Brewery</t>
  </si>
  <si>
    <t>HighGrain Brewing Co.</t>
  </si>
  <si>
    <t>Bent River Brewing Co.</t>
  </si>
  <si>
    <t>Moline</t>
  </si>
  <si>
    <t>North Park Beer Co.</t>
  </si>
  <si>
    <t>Ursa Minor Brewing</t>
  </si>
  <si>
    <t>Noble Ale Works</t>
  </si>
  <si>
    <t>Miami Brewing Co</t>
  </si>
  <si>
    <t>Homestead</t>
  </si>
  <si>
    <t>Bonn Place Brewing</t>
  </si>
  <si>
    <t>Bethlehem</t>
  </si>
  <si>
    <t>Boojum Brewing Company</t>
  </si>
  <si>
    <t>Waynesville</t>
  </si>
  <si>
    <t>Modern Brewery</t>
  </si>
  <si>
    <t>Bravus Brewing Company</t>
  </si>
  <si>
    <t>Hilo Brewing, CO</t>
  </si>
  <si>
    <t>Hilo</t>
  </si>
  <si>
    <t>Station 26 Brewing Co</t>
  </si>
  <si>
    <t>Hi Sign Brewing</t>
  </si>
  <si>
    <t>Van Henion Brewing Company</t>
  </si>
  <si>
    <t>Highland Park Brewery</t>
  </si>
  <si>
    <t>Southern Barrel Brewing Company</t>
  </si>
  <si>
    <t>Bluffton</t>
  </si>
  <si>
    <t>Strike Brewing Company LLC</t>
  </si>
  <si>
    <t>Escape Brewing Company</t>
  </si>
  <si>
    <t>New Port Richey</t>
  </si>
  <si>
    <t>Springfield Brewing Co</t>
  </si>
  <si>
    <t>Claremont Craft Ales</t>
  </si>
  <si>
    <t>Claremont</t>
  </si>
  <si>
    <t>Goat Patch Brewing Co.</t>
  </si>
  <si>
    <t>Angry Hank's Microbrewery</t>
  </si>
  <si>
    <t>Billings</t>
  </si>
  <si>
    <t>Illuminated Brew Works</t>
  </si>
  <si>
    <t>Yard Owl Craft Brewery</t>
  </si>
  <si>
    <t>Gardiner</t>
  </si>
  <si>
    <t>Cinderlands Warehouse</t>
  </si>
  <si>
    <t>Jester King Brewery</t>
  </si>
  <si>
    <t>Walnut River Brewing Company</t>
  </si>
  <si>
    <t>El Dorado</t>
  </si>
  <si>
    <t>Old Stump Brewing Co.</t>
  </si>
  <si>
    <t>Pomona</t>
  </si>
  <si>
    <t>Wayfinder Beer</t>
  </si>
  <si>
    <t>COAST Brewing Company</t>
  </si>
  <si>
    <t>Excelsior Brewing Company</t>
  </si>
  <si>
    <t>Excelsior</t>
  </si>
  <si>
    <t>Hillman Beer, LLC</t>
  </si>
  <si>
    <t>Horse &amp; Dragon Brewing Company</t>
  </si>
  <si>
    <t>Lucky Luke Brewing Company</t>
  </si>
  <si>
    <t>Palmdale</t>
  </si>
  <si>
    <t>Bunker Brewing Co</t>
  </si>
  <si>
    <t>Chapman's Brewing Company</t>
  </si>
  <si>
    <t>Angola</t>
  </si>
  <si>
    <t>Headlands Brewing</t>
  </si>
  <si>
    <t>Lafayette</t>
  </si>
  <si>
    <t>Source Brewing</t>
  </si>
  <si>
    <t>Jersey Girl Brewing Company</t>
  </si>
  <si>
    <t>Thick-N-Thin Brewing Company</t>
  </si>
  <si>
    <t>Hagerstown</t>
  </si>
  <si>
    <t>Bier Brewery and Taproom</t>
  </si>
  <si>
    <t>Kansas Territory Brewing</t>
  </si>
  <si>
    <t>Wiley Roots Brewing Co</t>
  </si>
  <si>
    <t>Greeley</t>
  </si>
  <si>
    <t>Captain Fatty's</t>
  </si>
  <si>
    <t>Goleta</t>
  </si>
  <si>
    <t>Little Miss Brewing</t>
  </si>
  <si>
    <t>Ivanhoe Park Brewing Company</t>
  </si>
  <si>
    <t>Orlando</t>
  </si>
  <si>
    <t>Bingo Beer Company</t>
  </si>
  <si>
    <t>Crow &amp; Wolf Brewing Company</t>
  </si>
  <si>
    <t>Clovis</t>
  </si>
  <si>
    <t>Keegan Ales</t>
  </si>
  <si>
    <t>Kingston</t>
  </si>
  <si>
    <t>Transmission Brewing Company</t>
  </si>
  <si>
    <t>Shades Brewing</t>
  </si>
  <si>
    <t>South Salt Lake</t>
  </si>
  <si>
    <t>Gruvi</t>
  </si>
  <si>
    <t>Alarmist Brewing</t>
  </si>
  <si>
    <t>Fort Rock Brewing</t>
  </si>
  <si>
    <t>Rancho Cordova</t>
  </si>
  <si>
    <t>Frothy Beard Brewing Co</t>
  </si>
  <si>
    <t>There Does Not Exist</t>
  </si>
  <si>
    <t>Brewmasters Brewing Services</t>
  </si>
  <si>
    <t>M.Special Brewing Company</t>
  </si>
  <si>
    <t>Historic Brewing Company</t>
  </si>
  <si>
    <t>Holy Mountain Brewing Co</t>
  </si>
  <si>
    <t>Stubborn Beauty Brewing</t>
  </si>
  <si>
    <t>Tighthead Brewing Co</t>
  </si>
  <si>
    <t>Mundelein</t>
  </si>
  <si>
    <t>Northwoods Brewing Co</t>
  </si>
  <si>
    <t>Northwood</t>
  </si>
  <si>
    <t>Geaghan's Pub &amp; Craft Brewery</t>
  </si>
  <si>
    <t>Bangor</t>
  </si>
  <si>
    <t>Biscayne Bay Brewing Company</t>
  </si>
  <si>
    <t>Pawtucket</t>
  </si>
  <si>
    <t>Texas Beer Company</t>
  </si>
  <si>
    <t>Taylor</t>
  </si>
  <si>
    <t>Ketch Brewing</t>
  </si>
  <si>
    <t>Ten Sleep Brewing Company</t>
  </si>
  <si>
    <t>Ten Sleep</t>
  </si>
  <si>
    <t>Civil Society Brewing Co</t>
  </si>
  <si>
    <t>Jupiter</t>
  </si>
  <si>
    <t>Celis Brewery</t>
  </si>
  <si>
    <t>Fox Farm Brewery</t>
  </si>
  <si>
    <t>Erie Brewing Company</t>
  </si>
  <si>
    <t>Erie</t>
  </si>
  <si>
    <t>Millersburg Brewing Company</t>
  </si>
  <si>
    <t>Millersburg</t>
  </si>
  <si>
    <t>Bierstadt Lagerhaus</t>
  </si>
  <si>
    <t>Barley's Casino and Brewing Co</t>
  </si>
  <si>
    <t>Sterling Pig Brewery</t>
  </si>
  <si>
    <t>Media</t>
  </si>
  <si>
    <t>Urban Family Brewing</t>
  </si>
  <si>
    <t>Varietal Beer Company</t>
  </si>
  <si>
    <t>Sunnyside</t>
  </si>
  <si>
    <t>Iowa Brewing</t>
  </si>
  <si>
    <t>Cedar Rapids</t>
  </si>
  <si>
    <t>Ferment Brewing Company</t>
  </si>
  <si>
    <t>Stormcloud Brewing Company</t>
  </si>
  <si>
    <t>Frankfort</t>
  </si>
  <si>
    <t>High Hops Brewery</t>
  </si>
  <si>
    <t>Windsor</t>
  </si>
  <si>
    <t>Turning Point Beer</t>
  </si>
  <si>
    <t>Bedford</t>
  </si>
  <si>
    <t>42 North Brewing Company</t>
  </si>
  <si>
    <t>East Aurora</t>
  </si>
  <si>
    <t>Lengthwise Brewing Co</t>
  </si>
  <si>
    <t>Bakersfield</t>
  </si>
  <si>
    <t>Ritual Brewing Co</t>
  </si>
  <si>
    <t>Ellis Island Casino, Hotel &amp; Brewery</t>
  </si>
  <si>
    <t>Wallenpaupack Brewing Company</t>
  </si>
  <si>
    <t>Hawley</t>
  </si>
  <si>
    <t>Red Bear Brewing Co</t>
  </si>
  <si>
    <t>Caboose Brewing Co.</t>
  </si>
  <si>
    <t>Vienna</t>
  </si>
  <si>
    <t>Salt Flats Brewing</t>
  </si>
  <si>
    <t>Copperpoint Brewing Company</t>
  </si>
  <si>
    <t>Boynton Beach</t>
  </si>
  <si>
    <t>Living the Dream Brewing Co.</t>
  </si>
  <si>
    <t>Bike Dog Brewing Co</t>
  </si>
  <si>
    <t>West Sacramento</t>
  </si>
  <si>
    <t>Dry County Brewing Company</t>
  </si>
  <si>
    <t>kennesaw</t>
  </si>
  <si>
    <t>Stone Bridge Brewing Company</t>
  </si>
  <si>
    <t>Johnstown</t>
  </si>
  <si>
    <t>Tombstone Brewing Company</t>
  </si>
  <si>
    <t>Tombstone</t>
  </si>
  <si>
    <t>East End Brewing Co</t>
  </si>
  <si>
    <t>Destin Brewery</t>
  </si>
  <si>
    <t>Destin</t>
  </si>
  <si>
    <t>Falls City Brewing Company</t>
  </si>
  <si>
    <t>New Province Brewing Company</t>
  </si>
  <si>
    <t>Soulcraft Brewing</t>
  </si>
  <si>
    <t>Salida</t>
  </si>
  <si>
    <t>8th Wonder Brewery</t>
  </si>
  <si>
    <t>Cushwa Brewing Co</t>
  </si>
  <si>
    <t>Wander Brewing</t>
  </si>
  <si>
    <t>Joymongers Brewing Co.</t>
  </si>
  <si>
    <t>Greensboro</t>
  </si>
  <si>
    <t>Sante Adairius Rustic Ales</t>
  </si>
  <si>
    <t>Capitola</t>
  </si>
  <si>
    <t>Henniker Brewing Company, LLC</t>
  </si>
  <si>
    <t>Henniker</t>
  </si>
  <si>
    <t>Right Brain Brewery</t>
  </si>
  <si>
    <t>Traverse City</t>
  </si>
  <si>
    <t>Alibi Ale Works</t>
  </si>
  <si>
    <t>Incline Village</t>
  </si>
  <si>
    <t>R. Shea Brewing</t>
  </si>
  <si>
    <t>Akron</t>
  </si>
  <si>
    <t>Ottos Pub &amp; Brewery</t>
  </si>
  <si>
    <t>State College</t>
  </si>
  <si>
    <t>Southern Range Brewing</t>
  </si>
  <si>
    <t>Outer Light Brewing Company</t>
  </si>
  <si>
    <t>Groton</t>
  </si>
  <si>
    <t>Wiedemann Brewing Co, LLC</t>
  </si>
  <si>
    <t>AquaBrew</t>
  </si>
  <si>
    <t>San Marcos</t>
  </si>
  <si>
    <t>Human Robot</t>
  </si>
  <si>
    <t>Lumberbeard Brewing, LLC</t>
  </si>
  <si>
    <t>Middle James Brewing Company</t>
  </si>
  <si>
    <t>Pineville</t>
  </si>
  <si>
    <t>Trademark Brewing</t>
  </si>
  <si>
    <t>Long Beach</t>
  </si>
  <si>
    <t>Oyster Bay Brewing</t>
  </si>
  <si>
    <t>Oyster Bay</t>
  </si>
  <si>
    <t>Protagonist Beer</t>
  </si>
  <si>
    <t>River North Brewery</t>
  </si>
  <si>
    <t>Finkel &amp; Garf Brewing Co.</t>
  </si>
  <si>
    <t>Southern Brewing Company</t>
  </si>
  <si>
    <t>Troon Brewing</t>
  </si>
  <si>
    <t>Hopewell</t>
  </si>
  <si>
    <t>Millstream Brewing Co</t>
  </si>
  <si>
    <t>Amana</t>
  </si>
  <si>
    <t>Long Beach Beer Lab</t>
  </si>
  <si>
    <t>Single Hill Brewing Company</t>
  </si>
  <si>
    <t>Yakima</t>
  </si>
  <si>
    <t>Nepenthe Brewing Co.</t>
  </si>
  <si>
    <t>Lodi</t>
  </si>
  <si>
    <t>Fannin Brewing</t>
  </si>
  <si>
    <t>Blue Ridge</t>
  </si>
  <si>
    <t>Mad Anthony Brewing Co</t>
  </si>
  <si>
    <t>Fort Wayne</t>
  </si>
  <si>
    <t>East Nashville Beer Works</t>
  </si>
  <si>
    <t>Kindred Spirit Brewing</t>
  </si>
  <si>
    <t>Marz Community Brewing</t>
  </si>
  <si>
    <t>Idyll Hounds Brewing Company</t>
  </si>
  <si>
    <t>Barrel Mountain Brewing</t>
  </si>
  <si>
    <t>Battle Ground</t>
  </si>
  <si>
    <t>Lickinghole Creek Craft Brewery</t>
  </si>
  <si>
    <t>Goochland</t>
  </si>
  <si>
    <t>The Flagship Brewing Company</t>
  </si>
  <si>
    <t>Staten Island</t>
  </si>
  <si>
    <t>South County Brewing Co</t>
  </si>
  <si>
    <t>Fawn Grove</t>
  </si>
  <si>
    <t>Black Flag Brewing Company, LLC</t>
  </si>
  <si>
    <t>West O Beer</t>
  </si>
  <si>
    <t>MickDuff's Brewing Co</t>
  </si>
  <si>
    <t>Sandpoint</t>
  </si>
  <si>
    <t>Apocalypse Ale Works</t>
  </si>
  <si>
    <t>Forest</t>
  </si>
  <si>
    <t>BAD SONS Beer Co</t>
  </si>
  <si>
    <t>Derby</t>
  </si>
  <si>
    <t>Fossil Cove Brewing Co</t>
  </si>
  <si>
    <t>Fayetteville</t>
  </si>
  <si>
    <t>Cloudburst Brewing</t>
  </si>
  <si>
    <t>Texas Ale Project</t>
  </si>
  <si>
    <t>Precarious Beer Project</t>
  </si>
  <si>
    <t>Harmonic Brewing</t>
  </si>
  <si>
    <t>Seaquake Brewing</t>
  </si>
  <si>
    <t>Crescent City</t>
  </si>
  <si>
    <t>Saloon Door Brewing Co</t>
  </si>
  <si>
    <t>Webster</t>
  </si>
  <si>
    <t>Battery Steele Brewing</t>
  </si>
  <si>
    <t>Whitestone Brewery</t>
  </si>
  <si>
    <t>Cedar Park</t>
  </si>
  <si>
    <t>Mudshark Brewing Co</t>
  </si>
  <si>
    <t>Blue Owl Brewing</t>
  </si>
  <si>
    <t>Dark Sky Brewing Co.</t>
  </si>
  <si>
    <t>Vintage Brewing Co</t>
  </si>
  <si>
    <t>Shadow Puppet Brewing Company</t>
  </si>
  <si>
    <t>Jackrabbit Brewing Co</t>
  </si>
  <si>
    <t>Persimmon Hollow Brewing</t>
  </si>
  <si>
    <t>Deland</t>
  </si>
  <si>
    <t>Dock Street Brewery</t>
  </si>
  <si>
    <t>Glacier Brewhouse</t>
  </si>
  <si>
    <t>War Horse Brewing Company</t>
  </si>
  <si>
    <t>HailStorm Brewing Company</t>
  </si>
  <si>
    <t>Tinley Park</t>
  </si>
  <si>
    <t>Hitchhiker Brewing Co.</t>
  </si>
  <si>
    <t>Whiner Beer Company</t>
  </si>
  <si>
    <t>French Broad River Brewing Co</t>
  </si>
  <si>
    <t>Arches Brewing</t>
  </si>
  <si>
    <t>Concord Craft Brewery</t>
  </si>
  <si>
    <t>The Brewer's Cabinet</t>
  </si>
  <si>
    <t>Reno</t>
  </si>
  <si>
    <t>Earnest Brew Works</t>
  </si>
  <si>
    <t>Ponysaurus Brewing Company</t>
  </si>
  <si>
    <t>Munkle Brewing Company</t>
  </si>
  <si>
    <t>Wolverine State Brewing Co</t>
  </si>
  <si>
    <t>Ann Arbor</t>
  </si>
  <si>
    <t>Back Pew Brewing</t>
  </si>
  <si>
    <t>Porter</t>
  </si>
  <si>
    <t>The Alementary</t>
  </si>
  <si>
    <t>Hackensack</t>
  </si>
  <si>
    <t>Skydance Brewing Co.</t>
  </si>
  <si>
    <t>Duck Rabbit Craft Brewery</t>
  </si>
  <si>
    <t>Farmville</t>
  </si>
  <si>
    <t>Cushnoc Brewing Company</t>
  </si>
  <si>
    <t>Augusta</t>
  </si>
  <si>
    <t>K2 Brothers Brewing</t>
  </si>
  <si>
    <t>Sturgis Brewing Co</t>
  </si>
  <si>
    <t>Sturgis</t>
  </si>
  <si>
    <t>20 Corners Brewing LLC</t>
  </si>
  <si>
    <t>Woodinville</t>
  </si>
  <si>
    <t>Big Lug Brewing Co</t>
  </si>
  <si>
    <t>Checkerspot Brewing Company</t>
  </si>
  <si>
    <t>Grind City Brewing Company</t>
  </si>
  <si>
    <t>Other Brother Beer Co.</t>
  </si>
  <si>
    <t>Seaside</t>
  </si>
  <si>
    <t>Radiant Beer Co.</t>
  </si>
  <si>
    <t>O'so Brewing</t>
  </si>
  <si>
    <t>Plover</t>
  </si>
  <si>
    <t>Flying Machine Brewing Company</t>
  </si>
  <si>
    <t>Western Collective Beer</t>
  </si>
  <si>
    <t>Garden City</t>
  </si>
  <si>
    <t>Chapman Crafted Beer</t>
  </si>
  <si>
    <t>Orange</t>
  </si>
  <si>
    <t>Crane Brewing Company</t>
  </si>
  <si>
    <t>Raytown</t>
  </si>
  <si>
    <t>Second Line Brewing</t>
  </si>
  <si>
    <t>Standard Deviant Brewing</t>
  </si>
  <si>
    <t>Ventura Coast Brewing Company</t>
  </si>
  <si>
    <t>Torch &amp; Crown Brewing Company</t>
  </si>
  <si>
    <t>Boothbay Craft Brewery, Inc</t>
  </si>
  <si>
    <t>Boothbay</t>
  </si>
  <si>
    <t>River Dog Brewing Co</t>
  </si>
  <si>
    <t>Ridgeland</t>
  </si>
  <si>
    <t>Mainstay Independent Brewing Co.</t>
  </si>
  <si>
    <t>Evil Twin Brewing</t>
  </si>
  <si>
    <t>Ridgewood</t>
  </si>
  <si>
    <t>Oaken Barrel Brewing Co</t>
  </si>
  <si>
    <t>Greenwood</t>
  </si>
  <si>
    <t>Six Bridges Brewing</t>
  </si>
  <si>
    <t>Johns Creek</t>
  </si>
  <si>
    <t>Voyageur Brewing Co</t>
  </si>
  <si>
    <t>Grand Marais</t>
  </si>
  <si>
    <t>Fall Line Brewing Co.</t>
  </si>
  <si>
    <t>Macon</t>
  </si>
  <si>
    <t>Hollywood Brewing Co</t>
  </si>
  <si>
    <t>Hollywood</t>
  </si>
  <si>
    <t>Currahee Brewing Company</t>
  </si>
  <si>
    <t>Franklin</t>
  </si>
  <si>
    <t>Ludington Bay Brewing Co</t>
  </si>
  <si>
    <t>Ludington</t>
  </si>
  <si>
    <t>OMNI Brewing Company</t>
  </si>
  <si>
    <t>Maple Grove</t>
  </si>
  <si>
    <t>Wissahickon Brewing Company</t>
  </si>
  <si>
    <t>TailGate Brewery</t>
  </si>
  <si>
    <t>Bad Beat Brewing</t>
  </si>
  <si>
    <t>Urban Growler Brewing Co</t>
  </si>
  <si>
    <t>Homestead Beer Co.</t>
  </si>
  <si>
    <t>NoFo Brew Co</t>
  </si>
  <si>
    <t>Cumming</t>
  </si>
  <si>
    <t>Queens Brewery</t>
  </si>
  <si>
    <t>Three Roads Brewing Company</t>
  </si>
  <si>
    <t>Inlet Brewing Co</t>
  </si>
  <si>
    <t>4 By 4 Brewing Company</t>
  </si>
  <si>
    <t>Lavery Brewing Co</t>
  </si>
  <si>
    <t>King State Beer</t>
  </si>
  <si>
    <t>Barn Town Brewing Co.</t>
  </si>
  <si>
    <t>West Des Moines</t>
  </si>
  <si>
    <t>Sanitas Brewing Co</t>
  </si>
  <si>
    <t>Dirtbag Ales Brewery and Taproom</t>
  </si>
  <si>
    <t>Front Street Brewery - IA</t>
  </si>
  <si>
    <t>Davenport</t>
  </si>
  <si>
    <t>Tivoli Brewing Company</t>
  </si>
  <si>
    <t>West Kill Brewing</t>
  </si>
  <si>
    <t>West Kill</t>
  </si>
  <si>
    <t>Zuni Street Brewing Company</t>
  </si>
  <si>
    <t>Fisher Brewing Company</t>
  </si>
  <si>
    <t>First State Brewing Company</t>
  </si>
  <si>
    <t>Deadbeach Brewery</t>
  </si>
  <si>
    <t>El Paso</t>
  </si>
  <si>
    <t>Twin Fork Beer Company</t>
  </si>
  <si>
    <t>Infusion Brewing Company</t>
  </si>
  <si>
    <t>Loomis Basin Brewing Co</t>
  </si>
  <si>
    <t>Loomis</t>
  </si>
  <si>
    <t>Suffolk Punch Brewing</t>
  </si>
  <si>
    <t>Wolf Hollow Brewing Company</t>
  </si>
  <si>
    <t>3 Sons Brewing Co.</t>
  </si>
  <si>
    <t>Dania</t>
  </si>
  <si>
    <t>Keg Creek Brewing Company</t>
  </si>
  <si>
    <t>Glenwood</t>
  </si>
  <si>
    <t>Zwei Brewing Co</t>
  </si>
  <si>
    <t>Crow Peak Brewing Company</t>
  </si>
  <si>
    <t>Spearfish</t>
  </si>
  <si>
    <t>Broadway Brewery</t>
  </si>
  <si>
    <t>Zion Brewery</t>
  </si>
  <si>
    <t>Narrow Gauge Brewing Company</t>
  </si>
  <si>
    <t>Florissant</t>
  </si>
  <si>
    <t>Gruner Brothers Brewing</t>
  </si>
  <si>
    <t>Casper</t>
  </si>
  <si>
    <t>Wasserhund Brewing Company</t>
  </si>
  <si>
    <t>Stone Arch Brewpub</t>
  </si>
  <si>
    <t>Appleton</t>
  </si>
  <si>
    <t>Lovelady Brewing Company</t>
  </si>
  <si>
    <t>Boise Brewing</t>
  </si>
  <si>
    <t>Canteen Brewhouse</t>
  </si>
  <si>
    <t>Old Schoolhouse Brewery</t>
  </si>
  <si>
    <t>Winthrop</t>
  </si>
  <si>
    <t>3rd Planet Brewing Inc</t>
  </si>
  <si>
    <t>Niceville</t>
  </si>
  <si>
    <t>Mustang Sally Brewing Co</t>
  </si>
  <si>
    <t>Chantilly</t>
  </si>
  <si>
    <t>Unsung Brewing Company</t>
  </si>
  <si>
    <t>Tustin</t>
  </si>
  <si>
    <t>South Lake Brewing Company</t>
  </si>
  <si>
    <t>South Lake Tahoe</t>
  </si>
  <si>
    <t>Gravely Brewing Co.</t>
  </si>
  <si>
    <t>Legal Remedy Brewing</t>
  </si>
  <si>
    <t>Rock Hill</t>
  </si>
  <si>
    <t>Buzzrock Brewing Co.</t>
  </si>
  <si>
    <t>Emmett's Brewing Co - West Dundee</t>
  </si>
  <si>
    <t>West Dundee</t>
  </si>
  <si>
    <t>Family Business Beer Company</t>
  </si>
  <si>
    <t>Maritime Pacific Brewing Co</t>
  </si>
  <si>
    <t>Somewhere In Particular Brewing</t>
  </si>
  <si>
    <t>Cascade Brewing</t>
  </si>
  <si>
    <t>Dragonmead Microbrewery</t>
  </si>
  <si>
    <t>Warren</t>
  </si>
  <si>
    <t>Cold Harbor Brewing Company</t>
  </si>
  <si>
    <t>Westborough</t>
  </si>
  <si>
    <t>Temblor Brewing Company</t>
  </si>
  <si>
    <t>Lion's Tail Brewing</t>
  </si>
  <si>
    <t>Neenah</t>
  </si>
  <si>
    <t>San Juan Island Brewing Company</t>
  </si>
  <si>
    <t>Friday Harbor</t>
  </si>
  <si>
    <t>Vault Brewing Company</t>
  </si>
  <si>
    <t>Yardley</t>
  </si>
  <si>
    <t>Flathead Lake Brewing Co</t>
  </si>
  <si>
    <t>Bigfork</t>
  </si>
  <si>
    <t>Peekskill</t>
  </si>
  <si>
    <t>Dayton Beer Co Production Brewery &amp; Bierhall</t>
  </si>
  <si>
    <t>Dayton</t>
  </si>
  <si>
    <t>Antietam Brewery,LLC</t>
  </si>
  <si>
    <t>Bear Chase Brewing Company</t>
  </si>
  <si>
    <t>Bluemont</t>
  </si>
  <si>
    <t>Braided River Brewing Company</t>
  </si>
  <si>
    <t>Mobile</t>
  </si>
  <si>
    <t>Rincon Brewery</t>
  </si>
  <si>
    <t>Santa Barbara</t>
  </si>
  <si>
    <t>The Lost Abbey</t>
  </si>
  <si>
    <t>Riip Beer Company</t>
  </si>
  <si>
    <t>High Cotton Brewing</t>
  </si>
  <si>
    <t>Mountain Sun Pub and Brewery</t>
  </si>
  <si>
    <t>Heavy Riff Brewing Company</t>
  </si>
  <si>
    <t>Deciduous Brewing Company</t>
  </si>
  <si>
    <t>Ancestry Brewery</t>
  </si>
  <si>
    <t>Tualatin</t>
  </si>
  <si>
    <t>Bay City Brewing Co.</t>
  </si>
  <si>
    <t>Bend Brewing Co</t>
  </si>
  <si>
    <t>Lion Bridge Brewing Company</t>
  </si>
  <si>
    <t>West Reading</t>
  </si>
  <si>
    <t>Jack Pine Brewery</t>
  </si>
  <si>
    <t>Baxter</t>
  </si>
  <si>
    <t>HOMES Brewery</t>
  </si>
  <si>
    <t>Stemma Brewing Company Inc.</t>
  </si>
  <si>
    <t>Lost Province Brewing Company, LLC</t>
  </si>
  <si>
    <t>Mocama Beer Company</t>
  </si>
  <si>
    <t>Fernandina Beach</t>
  </si>
  <si>
    <t>Black Market Brewing Co</t>
  </si>
  <si>
    <t>Temecula</t>
  </si>
  <si>
    <t>Georgia Beer Co</t>
  </si>
  <si>
    <t>Valdosta</t>
  </si>
  <si>
    <t>Stoneyard Brewing Company</t>
  </si>
  <si>
    <t>Railhouse Brewery, LLC</t>
  </si>
  <si>
    <t>Aberdeen</t>
  </si>
  <si>
    <t>Redwood Curtain Brewing Co</t>
  </si>
  <si>
    <t>Arcata</t>
  </si>
  <si>
    <t>Hana Koa Brewing Co.</t>
  </si>
  <si>
    <t>Silver Bluff Brewing Co</t>
  </si>
  <si>
    <t>Brunswick</t>
  </si>
  <si>
    <t>Hillsboro Brewing Company</t>
  </si>
  <si>
    <t>Hillsboro</t>
  </si>
  <si>
    <t>Slack Tide Brewing Company</t>
  </si>
  <si>
    <t>Fanatic Brewing Company</t>
  </si>
  <si>
    <t>Ocelot Brewing Co</t>
  </si>
  <si>
    <t>Dulles</t>
  </si>
  <si>
    <t>Flyway Brewing Co</t>
  </si>
  <si>
    <t>North Little Rock</t>
  </si>
  <si>
    <t>McGuire's Irish Pub and Brewery - Pensacola</t>
  </si>
  <si>
    <t>Crystal Springs Brewing Co</t>
  </si>
  <si>
    <t>81Bay Brewing Company</t>
  </si>
  <si>
    <t>Barrel Brothers Brewing Company, LLC</t>
  </si>
  <si>
    <t>Freehouse Brewery</t>
  </si>
  <si>
    <t>Green Cheek Beer Company</t>
  </si>
  <si>
    <t>Ship Bottom Brewery</t>
  </si>
  <si>
    <t>Beach Haven</t>
  </si>
  <si>
    <t>Downtown Grill &amp; Brewery / Woodruff Brewing</t>
  </si>
  <si>
    <t>Incendiary Brewing Company</t>
  </si>
  <si>
    <t>Winston Salem</t>
  </si>
  <si>
    <t>StormBreaker Brewing</t>
  </si>
  <si>
    <t>Riley's Brewing Co</t>
  </si>
  <si>
    <t>Madera</t>
  </si>
  <si>
    <t>LaBelle Brewing Company</t>
  </si>
  <si>
    <t>Amador Brewing Company</t>
  </si>
  <si>
    <t>Kent Falls Brewing Company</t>
  </si>
  <si>
    <t>Kent</t>
  </si>
  <si>
    <t>Lake Time Brewery</t>
  </si>
  <si>
    <t>Clear Lake</t>
  </si>
  <si>
    <t>Bad Weather Brewing LLC</t>
  </si>
  <si>
    <t>Heist Brewery</t>
  </si>
  <si>
    <t>Living Haus Beer Co.</t>
  </si>
  <si>
    <t>Bike Rack Brewing Co</t>
  </si>
  <si>
    <t>Bone Hook Brewing Company</t>
  </si>
  <si>
    <t>Naples</t>
  </si>
  <si>
    <t>Dryhop Brewers</t>
  </si>
  <si>
    <t>Hop Haus Brewing Co</t>
  </si>
  <si>
    <t>Verona</t>
  </si>
  <si>
    <t>Hoppin' Frog Brewing</t>
  </si>
  <si>
    <t>Key City Brewing Co.</t>
  </si>
  <si>
    <t>Vicksburg</t>
  </si>
  <si>
    <t>Mason's Brewing Company</t>
  </si>
  <si>
    <t>Brewer</t>
  </si>
  <si>
    <t>Scarlet Lane Brewing Company LLC</t>
  </si>
  <si>
    <t>McCordsville</t>
  </si>
  <si>
    <t>Halfway Crooks Beer</t>
  </si>
  <si>
    <t>Lost Grove Brewing LLC</t>
  </si>
  <si>
    <t>Blacklist Brewing Co.</t>
  </si>
  <si>
    <t>Bricktown Brewery</t>
  </si>
  <si>
    <t>Magnify Brewing Company</t>
  </si>
  <si>
    <t>Little Beast Brewing</t>
  </si>
  <si>
    <t>Clackamas</t>
  </si>
  <si>
    <t>Start Line Brewing Company</t>
  </si>
  <si>
    <t>State 48 Brewery</t>
  </si>
  <si>
    <t>Surprise</t>
  </si>
  <si>
    <t>Venn Brewing Company</t>
  </si>
  <si>
    <t>Oak Park Brewing Co.</t>
  </si>
  <si>
    <t>Trustworthy Brewing Co</t>
  </si>
  <si>
    <t>Burbank</t>
  </si>
  <si>
    <t>Inbound Brewco</t>
  </si>
  <si>
    <t>Ceria Brewing Company</t>
  </si>
  <si>
    <t>ARVADA</t>
  </si>
  <si>
    <t>7 Locks Brewing</t>
  </si>
  <si>
    <t>Rockville</t>
  </si>
  <si>
    <t>12 West Brewing Company</t>
  </si>
  <si>
    <t>Stable 12 Brewing Company</t>
  </si>
  <si>
    <t>Phoenixville</t>
  </si>
  <si>
    <t>Aardwolf Brewing Company</t>
  </si>
  <si>
    <t>Twenty-Six Acres Brewing Company</t>
  </si>
  <si>
    <t>Witch's Hat Brewing Co.</t>
  </si>
  <si>
    <t>South Lyon</t>
  </si>
  <si>
    <t>The Mitten Brewing Co</t>
  </si>
  <si>
    <t>Foley Brothers Brewing Co.</t>
  </si>
  <si>
    <t>Brandon</t>
  </si>
  <si>
    <t>Mason Jar Lager Co.</t>
  </si>
  <si>
    <t>Trap Door Brewing</t>
  </si>
  <si>
    <t>Vancouver</t>
  </si>
  <si>
    <t>The Brew Brothers/Eldorado Hotel and Casino</t>
  </si>
  <si>
    <t>The Post Brewing Co</t>
  </si>
  <si>
    <t>Forgotten Boardwalk Brewing</t>
  </si>
  <si>
    <t>Cherry Hill</t>
  </si>
  <si>
    <t>Nod Hill Brewery</t>
  </si>
  <si>
    <t>Ridgefield</t>
  </si>
  <si>
    <t>Neptunes Brewery</t>
  </si>
  <si>
    <t>Livingston</t>
  </si>
  <si>
    <t>Charles Towne Fermentory</t>
  </si>
  <si>
    <t>TRVE Brewing Co</t>
  </si>
  <si>
    <t>Divine Barrel Brewing</t>
  </si>
  <si>
    <t>Dead Armadillo Brewery</t>
  </si>
  <si>
    <t>Tall City Brewing Co.</t>
  </si>
  <si>
    <t>Midland</t>
  </si>
  <si>
    <t>Brickway Brewery &amp; Distillery</t>
  </si>
  <si>
    <t>Goldwater Brewing Co</t>
  </si>
  <si>
    <t>Sawtooth Brewery</t>
  </si>
  <si>
    <t>Hailey</t>
  </si>
  <si>
    <t>Red Horn Brewing Co.</t>
  </si>
  <si>
    <t>Mare Island Brewing Co., LLC</t>
  </si>
  <si>
    <t>Vallejo</t>
  </si>
  <si>
    <t>McCall Brewing Co</t>
  </si>
  <si>
    <t>McCall</t>
  </si>
  <si>
    <t>House Of Pendragon Brewing Co</t>
  </si>
  <si>
    <t>Sanger</t>
  </si>
  <si>
    <t>Shortway Brewing Company</t>
  </si>
  <si>
    <t>Wild River Brewing and Pizza Co</t>
  </si>
  <si>
    <t>Grants Pass</t>
  </si>
  <si>
    <t>Narrative Fermentations</t>
  </si>
  <si>
    <t>Last Name Brewing</t>
  </si>
  <si>
    <t>Upland</t>
  </si>
  <si>
    <t>902 Brewing Co</t>
  </si>
  <si>
    <t>Jersey City</t>
  </si>
  <si>
    <t>Collision Bend Brewing Co</t>
  </si>
  <si>
    <t>Inside The Five Brewing</t>
  </si>
  <si>
    <t>Sylvania</t>
  </si>
  <si>
    <t>Peoples Brewing Co</t>
  </si>
  <si>
    <t>Pig Minds Brewing Co</t>
  </si>
  <si>
    <t>Machesney Park</t>
  </si>
  <si>
    <t>Piney River Brewing Company</t>
  </si>
  <si>
    <t>BUCYRUS</t>
  </si>
  <si>
    <t>Royal Bliss Brewing Co.</t>
  </si>
  <si>
    <t>South Shore Brewery</t>
  </si>
  <si>
    <t>Frankenmuth Brewing Co</t>
  </si>
  <si>
    <t>Frankenmuth</t>
  </si>
  <si>
    <t>Verboten Brewing</t>
  </si>
  <si>
    <t>Loveland</t>
  </si>
  <si>
    <t>Gilgamesh Brewing Co</t>
  </si>
  <si>
    <t>Brew Gentlemen</t>
  </si>
  <si>
    <t>Braddock</t>
  </si>
  <si>
    <t>Sacred Waters Brewing Company</t>
  </si>
  <si>
    <t>Kalispell</t>
  </si>
  <si>
    <t>One Well Brewing</t>
  </si>
  <si>
    <t>Kalamazoo</t>
  </si>
  <si>
    <t>Hidden River Brewing Company</t>
  </si>
  <si>
    <t>Douglassville</t>
  </si>
  <si>
    <t>Brueprint Brewing Company LLC</t>
  </si>
  <si>
    <t>Apex</t>
  </si>
  <si>
    <t>Idle Hands Craft Ales</t>
  </si>
  <si>
    <t>Malden</t>
  </si>
  <si>
    <t>Tangled Roots Brewing Company</t>
  </si>
  <si>
    <t>Ottawa</t>
  </si>
  <si>
    <t>Brewery Bhavana</t>
  </si>
  <si>
    <t>Docent Brewing</t>
  </si>
  <si>
    <t>San Juan Capistrano</t>
  </si>
  <si>
    <t>Great Flood Brewing</t>
  </si>
  <si>
    <t>Future Primitive Brewing Company</t>
  </si>
  <si>
    <t>Rush River Brewing Co</t>
  </si>
  <si>
    <t>River Falls</t>
  </si>
  <si>
    <t>Mikerphone Brewing</t>
  </si>
  <si>
    <t>Elk Grove Village</t>
  </si>
  <si>
    <t>Devil's Canyon Brewing Company</t>
  </si>
  <si>
    <t>San Carlos</t>
  </si>
  <si>
    <t>Gold Buckle Brewing Company</t>
  </si>
  <si>
    <t>Southern Star Brewing</t>
  </si>
  <si>
    <t>Conroe</t>
  </si>
  <si>
    <t>Elm Creek Brewing Co</t>
  </si>
  <si>
    <t>Champlin</t>
  </si>
  <si>
    <t>Benchtop Brewing Company</t>
  </si>
  <si>
    <t>Around the Bend Beer Co.</t>
  </si>
  <si>
    <t>Wicked Barley Brewing Company</t>
  </si>
  <si>
    <t>Sawyer Brewing Company</t>
  </si>
  <si>
    <t>Laughing Sun Brewing Company</t>
  </si>
  <si>
    <t>Bismarck</t>
  </si>
  <si>
    <t>Suarez Family Brewery</t>
  </si>
  <si>
    <t>Hudson</t>
  </si>
  <si>
    <t>Bow and Arrow Brewing Co</t>
  </si>
  <si>
    <t>Independent Brewing Company</t>
  </si>
  <si>
    <t>Bel Air</t>
  </si>
  <si>
    <t>Blaze Brewing Company</t>
  </si>
  <si>
    <t>Camden</t>
  </si>
  <si>
    <t>Hunga Dunga Brewing</t>
  </si>
  <si>
    <t>Moscow</t>
  </si>
  <si>
    <t>Portage Brewing Company</t>
  </si>
  <si>
    <t>Rock Art Brewery</t>
  </si>
  <si>
    <t>Post Falls</t>
  </si>
  <si>
    <t>Assembly Brewing</t>
  </si>
  <si>
    <t>Gunwhale Ales</t>
  </si>
  <si>
    <t>Costa Mesa</t>
  </si>
  <si>
    <t>Dorcol Distilling and Brewing CO</t>
  </si>
  <si>
    <t>Hub City Brewing LLC</t>
  </si>
  <si>
    <t>Everywhere Beer Co.</t>
  </si>
  <si>
    <t>Greenbush Brewing Co</t>
  </si>
  <si>
    <t>Sawyer</t>
  </si>
  <si>
    <t>Kenai River Brewing Co</t>
  </si>
  <si>
    <t>Soldotna</t>
  </si>
  <si>
    <t>Island Brewing Co</t>
  </si>
  <si>
    <t>Carpinteria</t>
  </si>
  <si>
    <t>Lakebottom Brewery And Distillery</t>
  </si>
  <si>
    <t>Corcoran</t>
  </si>
  <si>
    <t>Moylan's Brewery &amp; Restaurant</t>
  </si>
  <si>
    <t>Novato</t>
  </si>
  <si>
    <t>Begyle Brewing</t>
  </si>
  <si>
    <t>Big Ugly Brewing</t>
  </si>
  <si>
    <t>Chesapeake</t>
  </si>
  <si>
    <t>Englewood Brewing</t>
  </si>
  <si>
    <t>Hummelstown</t>
  </si>
  <si>
    <t>JULIUS LEHRKIND BREWING</t>
  </si>
  <si>
    <t>Pub Dog Brewing Company</t>
  </si>
  <si>
    <t>RoHa Brewing Project</t>
  </si>
  <si>
    <t>The Explorium Brewpub</t>
  </si>
  <si>
    <t>Greendale</t>
  </si>
  <si>
    <t>MotoSonora Brewing Company</t>
  </si>
  <si>
    <t>Epidemic Ales</t>
  </si>
  <si>
    <t>Maxline Brewing</t>
  </si>
  <si>
    <t>Bravery Brewing</t>
  </si>
  <si>
    <t>Gulf Stream Brewing Company, LLC</t>
  </si>
  <si>
    <t>Fort Lauderdale</t>
  </si>
  <si>
    <t>Burning Barrel Brewing Company</t>
  </si>
  <si>
    <t>Luce Line Brewing Co</t>
  </si>
  <si>
    <t>13 Stripes Brewery</t>
  </si>
  <si>
    <t>Taylors</t>
  </si>
  <si>
    <t>Lenny Boy Brewing Co</t>
  </si>
  <si>
    <t>Davidson Brothers Restaurant and Brewery</t>
  </si>
  <si>
    <t>Glens Falls</t>
  </si>
  <si>
    <t>Texas Leaguer Brewing Company</t>
  </si>
  <si>
    <t>Missouri City</t>
  </si>
  <si>
    <t>105 West Brewing Co</t>
  </si>
  <si>
    <t>Castle Rock</t>
  </si>
  <si>
    <t>Long Live Beerworks</t>
  </si>
  <si>
    <t>No Label Brewing Co</t>
  </si>
  <si>
    <t>Katy</t>
  </si>
  <si>
    <t>City Lights Brewing Co.</t>
  </si>
  <si>
    <t>5x5 Brewing Co.</t>
  </si>
  <si>
    <t>Mission</t>
  </si>
  <si>
    <t>Ministry of Brewing</t>
  </si>
  <si>
    <t>Abandoned Building Brewery</t>
  </si>
  <si>
    <t>Crowns &amp; Hops Brewing Co.</t>
  </si>
  <si>
    <t>Fifth Hammer Brewing Company</t>
  </si>
  <si>
    <t>Woodcock Brothers Brewing</t>
  </si>
  <si>
    <t>Wilson</t>
  </si>
  <si>
    <t>Auburn Alehouse</t>
  </si>
  <si>
    <t>Second Rodeo Brewing</t>
  </si>
  <si>
    <t>Wild East Brewing Co.</t>
  </si>
  <si>
    <t>Great American Restaurants, Sweetwater Tavern</t>
  </si>
  <si>
    <t>Centreville</t>
  </si>
  <si>
    <t>Knotted Root Brewing Company</t>
  </si>
  <si>
    <t>Nederland</t>
  </si>
  <si>
    <t>Liquid Mechanics Brewing Company</t>
  </si>
  <si>
    <t>Celestial Beerworks</t>
  </si>
  <si>
    <t>Stadium Pizza - Wildomar</t>
  </si>
  <si>
    <t>Wildomar</t>
  </si>
  <si>
    <t>Destination Unknown Beer Company</t>
  </si>
  <si>
    <t>Tyranena Brewing Co</t>
  </si>
  <si>
    <t>Lake Mills</t>
  </si>
  <si>
    <t>Cabin Boys Brewery</t>
  </si>
  <si>
    <t>Raquette River Brewing</t>
  </si>
  <si>
    <t>Tupper Lake</t>
  </si>
  <si>
    <t>Sand Creek Brewing Co</t>
  </si>
  <si>
    <t>Black River Falls</t>
  </si>
  <si>
    <t>Diamondback Brewing Company</t>
  </si>
  <si>
    <t>Oliphant Brewing</t>
  </si>
  <si>
    <t>Somerset</t>
  </si>
  <si>
    <t>Amor Artis Brewing</t>
  </si>
  <si>
    <t>Fort Mill</t>
  </si>
  <si>
    <t>56 Brewing</t>
  </si>
  <si>
    <t>Fiddlin' Fish Brewing Company</t>
  </si>
  <si>
    <t>Hairless Dog Brewing LLC</t>
  </si>
  <si>
    <t>Beer Tree Brew Co</t>
  </si>
  <si>
    <t>Port Crane</t>
  </si>
  <si>
    <t>Oak Highlands Brewery</t>
  </si>
  <si>
    <t>Glasstown Brewing</t>
  </si>
  <si>
    <t>Millville</t>
  </si>
  <si>
    <t>Marsh Island Brewing Company</t>
  </si>
  <si>
    <t>Liquid Nation Brewing</t>
  </si>
  <si>
    <t>Claim 52 Brewing</t>
  </si>
  <si>
    <t>Fountain Square Brew Co</t>
  </si>
  <si>
    <t>Old 690 Brewing Co</t>
  </si>
  <si>
    <t>Tidal Creek Brewhouse</t>
  </si>
  <si>
    <t>Tobacco Wood Brewing Company</t>
  </si>
  <si>
    <t>Fire Maker Brewing Company</t>
  </si>
  <si>
    <t>Lansing Brewing Company</t>
  </si>
  <si>
    <t>Lansing</t>
  </si>
  <si>
    <t>Oozlefinch Beers &amp; Blending</t>
  </si>
  <si>
    <t>Fort Monroe</t>
  </si>
  <si>
    <t>Border X</t>
  </si>
  <si>
    <t>Bell</t>
  </si>
  <si>
    <t>Eleventh Hour Brewing Co</t>
  </si>
  <si>
    <t>Lone Oak Farm Brewing Company</t>
  </si>
  <si>
    <t>Olney</t>
  </si>
  <si>
    <t>Avon Brewing Company</t>
  </si>
  <si>
    <t>Avon</t>
  </si>
  <si>
    <t>Chainline Brewing Company</t>
  </si>
  <si>
    <t>Kirkland</t>
  </si>
  <si>
    <t>Pearl Street Grill and Brewery</t>
  </si>
  <si>
    <t>Ravinia Brewing Company</t>
  </si>
  <si>
    <t>The St. George Brewing Company</t>
  </si>
  <si>
    <t>Hourglass Brewing</t>
  </si>
  <si>
    <t>Longwood</t>
  </si>
  <si>
    <t>Lil Beaver Brewery</t>
  </si>
  <si>
    <t>Progression Brewing Company</t>
  </si>
  <si>
    <t>Northampton</t>
  </si>
  <si>
    <t>HopLife Brewing Company</t>
  </si>
  <si>
    <t>Port Saint Lucie</t>
  </si>
  <si>
    <t>Brevard Brewing Co</t>
  </si>
  <si>
    <t>Brevard</t>
  </si>
  <si>
    <t>Mighty Mo Brew Co</t>
  </si>
  <si>
    <t>Thirsty Street Brewing Company</t>
  </si>
  <si>
    <t>Arts District Brewing Company</t>
  </si>
  <si>
    <t>True Symmetry Brewing Company</t>
  </si>
  <si>
    <t>Suisun City</t>
  </si>
  <si>
    <t>von C Brewing Co.</t>
  </si>
  <si>
    <t>Norristown</t>
  </si>
  <si>
    <t>Little Miami Brewing Company</t>
  </si>
  <si>
    <t>Ten Pin Brewing - Production Facility</t>
  </si>
  <si>
    <t>Moses Lake</t>
  </si>
  <si>
    <t>Woods Boss Brewing Company</t>
  </si>
  <si>
    <t>6 Bears &amp; A Goat Brewing Company, LLC</t>
  </si>
  <si>
    <t>Anchorage Brewing Co</t>
  </si>
  <si>
    <t>Beer Lab HI</t>
  </si>
  <si>
    <t>Big Choice Brewing Co</t>
  </si>
  <si>
    <t>Brighton</t>
  </si>
  <si>
    <t>Billsburg Brewery</t>
  </si>
  <si>
    <t>ReUnion Brewery</t>
  </si>
  <si>
    <t>Postdoc Brewing Company</t>
  </si>
  <si>
    <t>Twin Elephant Brewing Company</t>
  </si>
  <si>
    <t>BirdFish Brewing Co</t>
  </si>
  <si>
    <t>Columbiana</t>
  </si>
  <si>
    <t>Ice Harbor Brewing Co</t>
  </si>
  <si>
    <t>Kennewick</t>
  </si>
  <si>
    <t>Keg Grove Brewing Company</t>
  </si>
  <si>
    <t>King's Road Brewing Company</t>
  </si>
  <si>
    <t>Haddonfield</t>
  </si>
  <si>
    <t>Blue Blaze Brewing</t>
  </si>
  <si>
    <t>Butternuts Beer</t>
  </si>
  <si>
    <t>Garrattsville</t>
  </si>
  <si>
    <t>Buzzards Bay Brewing Co</t>
  </si>
  <si>
    <t>Westport</t>
  </si>
  <si>
    <t>Cambridge Brewing Co</t>
  </si>
  <si>
    <t>Lincoln Beer Company</t>
  </si>
  <si>
    <t>Jellyfish Brewing Company</t>
  </si>
  <si>
    <t>Tucker Brewing Company</t>
  </si>
  <si>
    <t>Tucker</t>
  </si>
  <si>
    <t>Evans Brewing Co.</t>
  </si>
  <si>
    <t>Corona</t>
  </si>
  <si>
    <t>Cooper River Brewing Company</t>
  </si>
  <si>
    <t>Rio Bravo Brewing Company</t>
  </si>
  <si>
    <t>Elliott Bay Brewery &amp;  Pub - West Seattle</t>
  </si>
  <si>
    <t>Ornery Beer Company</t>
  </si>
  <si>
    <t>Fairfax</t>
  </si>
  <si>
    <t>White Bluffs Brewing</t>
  </si>
  <si>
    <t>Richland</t>
  </si>
  <si>
    <t>450 North Brewing Company @ Simmons Winery</t>
  </si>
  <si>
    <t>Arkose Brewery</t>
  </si>
  <si>
    <t>Pint Nine Brewing Company</t>
  </si>
  <si>
    <t>Thirsty Monk Brewery</t>
  </si>
  <si>
    <t>Town Brewing Company</t>
  </si>
  <si>
    <t>Big Island Brewhaus</t>
  </si>
  <si>
    <t>Kamuela</t>
  </si>
  <si>
    <t>Invictus Brewing Co</t>
  </si>
  <si>
    <t>Blaine</t>
  </si>
  <si>
    <t>The Brewer's Art / Old Line Brewers LLC</t>
  </si>
  <si>
    <t>Lucky Hare Brewing Company, Inc.</t>
  </si>
  <si>
    <t>Hector</t>
  </si>
  <si>
    <t>Liability Brewing Co.</t>
  </si>
  <si>
    <t>Lakeville Brewing Co., LLC</t>
  </si>
  <si>
    <t>Lakeville</t>
  </si>
  <si>
    <t>Last Wave Brewing Company</t>
  </si>
  <si>
    <t>Point Pleasant Beach</t>
  </si>
  <si>
    <t>Level Crossing Brewing Company</t>
  </si>
  <si>
    <t>Modestman Brewing</t>
  </si>
  <si>
    <t>Keene</t>
  </si>
  <si>
    <t>Odyssey Beerwerks</t>
  </si>
  <si>
    <t>Half Full Brewery</t>
  </si>
  <si>
    <t>Stamford</t>
  </si>
  <si>
    <t>Monkless Belgian Ales</t>
  </si>
  <si>
    <t>June Lake Brewing</t>
  </si>
  <si>
    <t>June Lake</t>
  </si>
  <si>
    <t>Alternate Ending Beer Co</t>
  </si>
  <si>
    <t>Matawan</t>
  </si>
  <si>
    <t>Great Heights Brewing Company</t>
  </si>
  <si>
    <t>Irwin Brewing Company</t>
  </si>
  <si>
    <t>Crested Butte</t>
  </si>
  <si>
    <t>Pulpit Rock Brewing Co.</t>
  </si>
  <si>
    <t>Sanford</t>
  </si>
  <si>
    <t>Talking Cedar Brewing</t>
  </si>
  <si>
    <t>Tarpon River Brewing</t>
  </si>
  <si>
    <t>Comrade Brewing Company</t>
  </si>
  <si>
    <t>Lone Eagle Brewing</t>
  </si>
  <si>
    <t>Flemington</t>
  </si>
  <si>
    <t>Half Moon Bay Brewing Co</t>
  </si>
  <si>
    <t>Half Moon Bay</t>
  </si>
  <si>
    <t>Voltron Brewing Company</t>
  </si>
  <si>
    <t>Vanish Farmwoods Brewery</t>
  </si>
  <si>
    <t>Fly Llama Brewing</t>
  </si>
  <si>
    <t>Biloxi</t>
  </si>
  <si>
    <t>FireTruck Brewing Company</t>
  </si>
  <si>
    <t>McKenzie Brew House</t>
  </si>
  <si>
    <t>Glen Mills</t>
  </si>
  <si>
    <t>Farmstrong Brewing Co</t>
  </si>
  <si>
    <t>Mount Vernon</t>
  </si>
  <si>
    <t>White Lion Brewing Company</t>
  </si>
  <si>
    <t>Edge Brewing Company</t>
  </si>
  <si>
    <t>Bristol</t>
  </si>
  <si>
    <t>HUDL Brewing Company</t>
  </si>
  <si>
    <t>Nonesuch River Brewing</t>
  </si>
  <si>
    <t>Scarborough</t>
  </si>
  <si>
    <t>THAT Brewery</t>
  </si>
  <si>
    <t>Pine</t>
  </si>
  <si>
    <t>Gilman Brewing Company</t>
  </si>
  <si>
    <t>Adventure Brewing Co</t>
  </si>
  <si>
    <t>Double Wing Brewing Co</t>
  </si>
  <si>
    <t>Streetside Brewery</t>
  </si>
  <si>
    <t>Unmapped Brewing Co.</t>
  </si>
  <si>
    <t>Monument City Brewing Co</t>
  </si>
  <si>
    <t>Ankrolab Brewing Company</t>
  </si>
  <si>
    <t>Saint Boniface Craft Brewing Co</t>
  </si>
  <si>
    <t>Ephrata</t>
  </si>
  <si>
    <t>ShuBrew, LLC</t>
  </si>
  <si>
    <t>Zelienople</t>
  </si>
  <si>
    <t>Thompson Island Brewing Co</t>
  </si>
  <si>
    <t>Rehoboth Beach</t>
  </si>
  <si>
    <t>Heater Allen Brewery</t>
  </si>
  <si>
    <t>McMinnville</t>
  </si>
  <si>
    <t>Whetstone Beer Co.</t>
  </si>
  <si>
    <t>Brattleboro</t>
  </si>
  <si>
    <t>Beach Haus Brewery</t>
  </si>
  <si>
    <t>Belmar</t>
  </si>
  <si>
    <t>Estuary Brewing Company</t>
  </si>
  <si>
    <t>Sonoma Springs Brewing Company LLC</t>
  </si>
  <si>
    <t>Sonoma</t>
  </si>
  <si>
    <t>Grimm Brothers Brewhouse</t>
  </si>
  <si>
    <t>Port Jeff Brewing Co</t>
  </si>
  <si>
    <t>Port Jefferson</t>
  </si>
  <si>
    <t>Blaker Brewing</t>
  </si>
  <si>
    <t>Ceres</t>
  </si>
  <si>
    <t>Culture Brewing Co</t>
  </si>
  <si>
    <t>Solana Beach</t>
  </si>
  <si>
    <t>English Ales Brewery</t>
  </si>
  <si>
    <t>Marina</t>
  </si>
  <si>
    <t>Hand of Fate Brewing Co</t>
  </si>
  <si>
    <t>Drafting Table Brewing Company</t>
  </si>
  <si>
    <t>Wixom</t>
  </si>
  <si>
    <t>Triplehorn Brewing Co</t>
  </si>
  <si>
    <t>Rising Storm Brewing Company</t>
  </si>
  <si>
    <t>Broken Compass Brewing</t>
  </si>
  <si>
    <t>Joyride Brewing Co</t>
  </si>
  <si>
    <t>Edgewater</t>
  </si>
  <si>
    <t>Saint Paul Brewing</t>
  </si>
  <si>
    <t>Stillmank Brewing Co.</t>
  </si>
  <si>
    <t>Grass Valley</t>
  </si>
  <si>
    <t>Little Fish Brewing Company</t>
  </si>
  <si>
    <t>Lake of the Woods Brewing Company</t>
  </si>
  <si>
    <t>Warroad</t>
  </si>
  <si>
    <t>Coastal Empire Beer Co</t>
  </si>
  <si>
    <t>Craftsman Brewing Co</t>
  </si>
  <si>
    <t>Pasadena</t>
  </si>
  <si>
    <t>Crafty Bastard Brewery</t>
  </si>
  <si>
    <t>Zaftig Brewing Company</t>
  </si>
  <si>
    <t>Axemann Brewery</t>
  </si>
  <si>
    <t>Bellefonte</t>
  </si>
  <si>
    <t>River Bluff Brewing</t>
  </si>
  <si>
    <t>Saint Joseph</t>
  </si>
  <si>
    <t>Ghost Monkey Brewery</t>
  </si>
  <si>
    <t>Barrel Theory Beer Company</t>
  </si>
  <si>
    <t>Bearpaw River Brewing Co</t>
  </si>
  <si>
    <t>Wasilla</t>
  </si>
  <si>
    <t>Mad Mole Brewing LLC</t>
  </si>
  <si>
    <t>Bare Hands Brewery</t>
  </si>
  <si>
    <t>Granger</t>
  </si>
  <si>
    <t>Calfkiller Brewing Co</t>
  </si>
  <si>
    <t>Sparta</t>
  </si>
  <si>
    <t>Rushing Duck Brewing Co</t>
  </si>
  <si>
    <t>Chester</t>
  </si>
  <si>
    <t>Diamond Bear Brewing Co</t>
  </si>
  <si>
    <t>Lithermans Limited Brewery</t>
  </si>
  <si>
    <t>Ranch Hand Brewing</t>
  </si>
  <si>
    <t>Eloy</t>
  </si>
  <si>
    <t>Rocket Republic Brewing Company</t>
  </si>
  <si>
    <t>Sacred Profane</t>
  </si>
  <si>
    <t>Pipe Dream Brewing</t>
  </si>
  <si>
    <t>Londonderry</t>
  </si>
  <si>
    <t>Alewife Brewing</t>
  </si>
  <si>
    <t>Blind Pig Brewery - Production Facility</t>
  </si>
  <si>
    <t>Champaign</t>
  </si>
  <si>
    <t>Greenpoint Beer</t>
  </si>
  <si>
    <t>Clouds Brewing</t>
  </si>
  <si>
    <t>CraftHaus Brewery</t>
  </si>
  <si>
    <t>Guggman Haus Brewing Co.</t>
  </si>
  <si>
    <t>Hopfusion Ale Works</t>
  </si>
  <si>
    <t>Pretoria Fields Collective</t>
  </si>
  <si>
    <t>Albany</t>
  </si>
  <si>
    <t>Brothers Cascadia Brewing</t>
  </si>
  <si>
    <t>Blue Stallion Brewing Company</t>
  </si>
  <si>
    <t>Fiction Beer Company</t>
  </si>
  <si>
    <t>Spiral Brewery</t>
  </si>
  <si>
    <t>Hastings</t>
  </si>
  <si>
    <t>Angry Chair Brewing, LLC.</t>
  </si>
  <si>
    <t>Jacked Up Brewery</t>
  </si>
  <si>
    <t>Southern Swells Brewing Company</t>
  </si>
  <si>
    <t>Jacksonville Beach</t>
  </si>
  <si>
    <t>Goodfire Brewing Company</t>
  </si>
  <si>
    <t>Minneapolis Town Hall Brewery</t>
  </si>
  <si>
    <t>Ohio Brewing Company</t>
  </si>
  <si>
    <t>Cuyahoga Falls</t>
  </si>
  <si>
    <t>Playalinda Brewing Company</t>
  </si>
  <si>
    <t>Titusville</t>
  </si>
  <si>
    <t>Back Channel Brewing</t>
  </si>
  <si>
    <t>Spring Park</t>
  </si>
  <si>
    <t>Forgotten Star Brewing Company</t>
  </si>
  <si>
    <t>Chattanooga Brewing Co</t>
  </si>
  <si>
    <t>GameCraft Brewing</t>
  </si>
  <si>
    <t>Laguna Hills</t>
  </si>
  <si>
    <t>Great Central Brewing Company</t>
  </si>
  <si>
    <t>Solvang Brewing Co</t>
  </si>
  <si>
    <t>Solvang</t>
  </si>
  <si>
    <t>Eight &amp; Sand Beer Co</t>
  </si>
  <si>
    <t>Woodbury</t>
  </si>
  <si>
    <t>Thunderhead Brewing Co</t>
  </si>
  <si>
    <t>Kearney</t>
  </si>
  <si>
    <t>Beer Research Institute, The</t>
  </si>
  <si>
    <t>Mesa</t>
  </si>
  <si>
    <t>Hexagon Brewing Co</t>
  </si>
  <si>
    <t>Bearded Tang Brewery LLC</t>
  </si>
  <si>
    <t>Stanton</t>
  </si>
  <si>
    <t>Girdwood Brewing Company</t>
  </si>
  <si>
    <t>Girdwood</t>
  </si>
  <si>
    <t>Midnight Brewery</t>
  </si>
  <si>
    <t>Rockaway Brewing Company</t>
  </si>
  <si>
    <t>Mayday Brewery</t>
  </si>
  <si>
    <t>Murfreesboro</t>
  </si>
  <si>
    <t>WanderLinger Brewing Co</t>
  </si>
  <si>
    <t>The Fermentorium Beverage Co.</t>
  </si>
  <si>
    <t>Cedarburg</t>
  </si>
  <si>
    <t>Laurelwood Public House and Brewery</t>
  </si>
  <si>
    <t>Central Machine Works Brewery</t>
  </si>
  <si>
    <t>Kettlehead Brewing Company</t>
  </si>
  <si>
    <t>Tilton</t>
  </si>
  <si>
    <t>Spyglass Brewing</t>
  </si>
  <si>
    <t>Nashua</t>
  </si>
  <si>
    <t>Grainworks Brewing Company</t>
  </si>
  <si>
    <t>Kennesaw</t>
  </si>
  <si>
    <t>Remnant Brewing</t>
  </si>
  <si>
    <t>Somerville</t>
  </si>
  <si>
    <t>RJ Rockers Brewing Co</t>
  </si>
  <si>
    <t>Spartanburg</t>
  </si>
  <si>
    <t>Sapwood Cellars</t>
  </si>
  <si>
    <t>Lazy Hiker Brewing Co.</t>
  </si>
  <si>
    <t>Commerce Brewing</t>
  </si>
  <si>
    <t>Largo</t>
  </si>
  <si>
    <t>Pariah Brewing Company</t>
  </si>
  <si>
    <t>Ironfire Brewing Company</t>
  </si>
  <si>
    <t>Higherground Brewing Co</t>
  </si>
  <si>
    <t>Tall Tales Brewing Co. LLC</t>
  </si>
  <si>
    <t>Parsonsburg</t>
  </si>
  <si>
    <t>Clock House Brewing</t>
  </si>
  <si>
    <t>Ambitious Ales</t>
  </si>
  <si>
    <t>Black Dog Brewing Company</t>
  </si>
  <si>
    <t>Mooresville</t>
  </si>
  <si>
    <t>Bull &amp; Bush Brewery</t>
  </si>
  <si>
    <t>Crank Arm Brewing Company</t>
  </si>
  <si>
    <t>Culmination Brewing Co</t>
  </si>
  <si>
    <t>Findlay Brewing Co.</t>
  </si>
  <si>
    <t>Findlay</t>
  </si>
  <si>
    <t>Lua Brewing</t>
  </si>
  <si>
    <t>Paonia United Brewing Company</t>
  </si>
  <si>
    <t>Paonia</t>
  </si>
  <si>
    <t>South O Brewing Company</t>
  </si>
  <si>
    <t>Two Docs Brewing Co.</t>
  </si>
  <si>
    <t>Lubbock</t>
  </si>
  <si>
    <t>8 Bit Brewing Company</t>
  </si>
  <si>
    <t>Murrieta</t>
  </si>
  <si>
    <t>16 Lots Brewing</t>
  </si>
  <si>
    <t>Monnik Beer Company</t>
  </si>
  <si>
    <t>Rally Cap Brewing Company</t>
  </si>
  <si>
    <t>Bur Oak Brewing</t>
  </si>
  <si>
    <t>Combustion Brewery &amp; Taproom</t>
  </si>
  <si>
    <t>Pickerington</t>
  </si>
  <si>
    <t>DankHouse Brewing Company</t>
  </si>
  <si>
    <t>Newark</t>
  </si>
  <si>
    <t>Protector Brewery LLC</t>
  </si>
  <si>
    <t>Werk Force Brewing Co</t>
  </si>
  <si>
    <t>Plainfield</t>
  </si>
  <si>
    <t>False Idol Brewing</t>
  </si>
  <si>
    <t>North Richland Hills</t>
  </si>
  <si>
    <t>Haw River Farmhouse Ales</t>
  </si>
  <si>
    <t>Saxapahaw</t>
  </si>
  <si>
    <t>Pale Fire Brewing Co</t>
  </si>
  <si>
    <t>Stable Craft Brewing</t>
  </si>
  <si>
    <t>Bigelow Brewing Company</t>
  </si>
  <si>
    <t>Skowhegan</t>
  </si>
  <si>
    <t>American Solera</t>
  </si>
  <si>
    <t>Beerternational</t>
  </si>
  <si>
    <t>Lively Beerworks</t>
  </si>
  <si>
    <t>Firehouse Brewing Co</t>
  </si>
  <si>
    <t>Missing Mountain Brewing Company</t>
  </si>
  <si>
    <t>Revival Foodworks and Brewery</t>
  </si>
  <si>
    <t>Cranston</t>
  </si>
  <si>
    <t>Buckeye Lake Brewery</t>
  </si>
  <si>
    <t>Buckeye Lake</t>
  </si>
  <si>
    <t>New Heights Brewing Co</t>
  </si>
  <si>
    <t>Lucky Envelope Brewing</t>
  </si>
  <si>
    <t>Park Pizza &amp; Brewing Co.</t>
  </si>
  <si>
    <t>Warwick Farm Brewing</t>
  </si>
  <si>
    <t>Jamison</t>
  </si>
  <si>
    <t>Strange Roots Experimental Ales</t>
  </si>
  <si>
    <t>Fields &amp; Ivy Brewery</t>
  </si>
  <si>
    <t>Hudson Valley Brewery</t>
  </si>
  <si>
    <t>Amplified Ale Works</t>
  </si>
  <si>
    <t>Obed &amp; Isaac's</t>
  </si>
  <si>
    <t>McFleshman's Brewing Co</t>
  </si>
  <si>
    <t>Oddstory Brewing Co</t>
  </si>
  <si>
    <t>Cotton House Craft Brewers</t>
  </si>
  <si>
    <t>Cary</t>
  </si>
  <si>
    <t>Snowshoe Brewing Company</t>
  </si>
  <si>
    <t>Arnold</t>
  </si>
  <si>
    <t>Round Barn Winery &amp; Estate</t>
  </si>
  <si>
    <t>Baroda</t>
  </si>
  <si>
    <t>Galveston Bay Brewing</t>
  </si>
  <si>
    <t>Kemah</t>
  </si>
  <si>
    <t>Golden City Brewery</t>
  </si>
  <si>
    <t>Wet Coast Brewing Co.</t>
  </si>
  <si>
    <t>Gig Harbor</t>
  </si>
  <si>
    <t>Conflux Brewing Company</t>
  </si>
  <si>
    <t>Riverlands Brewing Company</t>
  </si>
  <si>
    <t>Saint Charles</t>
  </si>
  <si>
    <t>Gravity Heights</t>
  </si>
  <si>
    <t>Mad Duck Craft Brewing Company</t>
  </si>
  <si>
    <t>Imperial Oak Brewing</t>
  </si>
  <si>
    <t>Willow Springs</t>
  </si>
  <si>
    <t>E.J. Phair Brewing Co.</t>
  </si>
  <si>
    <t>Pittsburg</t>
  </si>
  <si>
    <t>Gritty McDuffs - Portland</t>
  </si>
  <si>
    <t>Puesto Cerveceria</t>
  </si>
  <si>
    <t>Badger Hill Brewing</t>
  </si>
  <si>
    <t>Shakopee</t>
  </si>
  <si>
    <t>Funkytown Brewery</t>
  </si>
  <si>
    <t>Bellevue Brewing Co</t>
  </si>
  <si>
    <t>All Season Brewing Company</t>
  </si>
  <si>
    <t>Icebox Brewing LC</t>
  </si>
  <si>
    <t>Las Cruces</t>
  </si>
  <si>
    <t>Oconee Brewing Company</t>
  </si>
  <si>
    <t>Hold Out Brewing</t>
  </si>
  <si>
    <t>Platt Park Brewing Co.</t>
  </si>
  <si>
    <t>Forward Brewing</t>
  </si>
  <si>
    <t>Annapolis</t>
  </si>
  <si>
    <t>Ragged Island Brewing Company</t>
  </si>
  <si>
    <t>Books &amp; Brews</t>
  </si>
  <si>
    <t>Barreled Souls Brewing Company LLC</t>
  </si>
  <si>
    <t>Saco</t>
  </si>
  <si>
    <t>Arch Rock Brewing Co</t>
  </si>
  <si>
    <t>Gold Beach</t>
  </si>
  <si>
    <t>Miskatonic Brewing Company</t>
  </si>
  <si>
    <t>Darien</t>
  </si>
  <si>
    <t>Riff Raff Brewing Company</t>
  </si>
  <si>
    <t>Pagosa Springs</t>
  </si>
  <si>
    <t>Fortside Brewing Company</t>
  </si>
  <si>
    <t>Absolution Brewing Co</t>
  </si>
  <si>
    <t>Flying Heart Brewing</t>
  </si>
  <si>
    <t>Bossier City</t>
  </si>
  <si>
    <t>Ope Brewing Co</t>
  </si>
  <si>
    <t>West Allis</t>
  </si>
  <si>
    <t>Pond Farm Brewing Company</t>
  </si>
  <si>
    <t>San Rafael</t>
  </si>
  <si>
    <t>Moon Hill Brewing Co., Inc.</t>
  </si>
  <si>
    <t>Gardner</t>
  </si>
  <si>
    <t>Pug Ryan's Brewing Company</t>
  </si>
  <si>
    <t>Dillon</t>
  </si>
  <si>
    <t>12 Gates Brewing Company</t>
  </si>
  <si>
    <t>Williamsville</t>
  </si>
  <si>
    <t>Weathered Souls Brewing Company LLC</t>
  </si>
  <si>
    <t>Brotherton Brewing Company</t>
  </si>
  <si>
    <t>Atco</t>
  </si>
  <si>
    <t>Water's End Brewery</t>
  </si>
  <si>
    <t>Lake Ridge</t>
  </si>
  <si>
    <t>Four Mile Brewing</t>
  </si>
  <si>
    <t>Olean</t>
  </si>
  <si>
    <t>7 Devils Brewing Co</t>
  </si>
  <si>
    <t>Coos Bay</t>
  </si>
  <si>
    <t>American Icon Brewery</t>
  </si>
  <si>
    <t>Olfactory Brewing</t>
  </si>
  <si>
    <t>Chilly Water Brewing Company</t>
  </si>
  <si>
    <t>Defiant Brewing Co</t>
  </si>
  <si>
    <t>Pearl River</t>
  </si>
  <si>
    <t>Lock 27 Brewing</t>
  </si>
  <si>
    <t>Centerville</t>
  </si>
  <si>
    <t>Waterline Brewing Co.</t>
  </si>
  <si>
    <t>5ive Cities Brewing</t>
  </si>
  <si>
    <t>Bettendorf</t>
  </si>
  <si>
    <t>Back Bay Brewing Company</t>
  </si>
  <si>
    <t>Kassik's Brewery</t>
  </si>
  <si>
    <t>Kenai</t>
  </si>
  <si>
    <t>Eastern Shore Brewing</t>
  </si>
  <si>
    <t>Saint Michaels</t>
  </si>
  <si>
    <t>Broken Bow Brewery</t>
  </si>
  <si>
    <t>Tuckahoe</t>
  </si>
  <si>
    <t>Kit NA Brewing</t>
  </si>
  <si>
    <t>Crossroads Brewing Company</t>
  </si>
  <si>
    <t>Catskill</t>
  </si>
  <si>
    <t>HEAVY Beer Co.</t>
  </si>
  <si>
    <t>Upstate Brewing Company</t>
  </si>
  <si>
    <t>Corralitos Brewing Co</t>
  </si>
  <si>
    <t>Watsonville</t>
  </si>
  <si>
    <t>Crooked Goat Brewing</t>
  </si>
  <si>
    <t>Sebastopol</t>
  </si>
  <si>
    <t>Hog Island Beer Company</t>
  </si>
  <si>
    <t>Orleans</t>
  </si>
  <si>
    <t>Solid Ground Brewing</t>
  </si>
  <si>
    <t>Diamond Springs</t>
  </si>
  <si>
    <t>Armada Brewing</t>
  </si>
  <si>
    <t>East Haven</t>
  </si>
  <si>
    <t>Call To Arms Brewing Company</t>
  </si>
  <si>
    <t>Casa Agria Specialty Ales</t>
  </si>
  <si>
    <t>Oxnard</t>
  </si>
  <si>
    <t>Pueblo Vida Brewing Company</t>
  </si>
  <si>
    <t>Vicious Fishes Brewery</t>
  </si>
  <si>
    <t>Flying Tiger Brewery</t>
  </si>
  <si>
    <t>Bear King Brewing Company</t>
  </si>
  <si>
    <t>Marble Falls</t>
  </si>
  <si>
    <t>Shaidzon Beer Company</t>
  </si>
  <si>
    <t>West Kingston</t>
  </si>
  <si>
    <t>Suncreek Brewery</t>
  </si>
  <si>
    <t>Clermont</t>
  </si>
  <si>
    <t>Able Ebenezer Brewing Company</t>
  </si>
  <si>
    <t>Merrimack</t>
  </si>
  <si>
    <t>Ghost Hawk Brewing Company</t>
  </si>
  <si>
    <t>Clifton</t>
  </si>
  <si>
    <t>Side Project Brewing</t>
  </si>
  <si>
    <t>Waconia Brewing Company</t>
  </si>
  <si>
    <t>Waconia</t>
  </si>
  <si>
    <t>Hackensack Brewing Company</t>
  </si>
  <si>
    <t>Metier Brewing Company</t>
  </si>
  <si>
    <t>Morgan Ridge Vineyards &amp; Brewhouse</t>
  </si>
  <si>
    <t>Gold Hill</t>
  </si>
  <si>
    <t>Twin Lights Brewing</t>
  </si>
  <si>
    <t>Funkwerks</t>
  </si>
  <si>
    <t>Slice Beer Company</t>
  </si>
  <si>
    <t>Boss Rambler Beer Club</t>
  </si>
  <si>
    <t>Locavore Beer Works</t>
  </si>
  <si>
    <t>Mile Wide Beer Co.</t>
  </si>
  <si>
    <t>Olde Mother Brewing, LLC</t>
  </si>
  <si>
    <t>Outerbelt Brewing Company</t>
  </si>
  <si>
    <t>Carroll</t>
  </si>
  <si>
    <t>River Roost Brewery</t>
  </si>
  <si>
    <t>White River Junction</t>
  </si>
  <si>
    <t>Something Brewery</t>
  </si>
  <si>
    <t>The Star Spangled Brewing Co.</t>
  </si>
  <si>
    <t>Two Tides Brewing Company</t>
  </si>
  <si>
    <t>HeadFlyer Brewing</t>
  </si>
  <si>
    <t>York</t>
  </si>
  <si>
    <t>Fort Brewery and Pizza</t>
  </si>
  <si>
    <t>TapRoom Beer Company</t>
  </si>
  <si>
    <t>Hoops Brewing</t>
  </si>
  <si>
    <t>Belmont Brewing Co</t>
  </si>
  <si>
    <t>Bonneville Brewing Company</t>
  </si>
  <si>
    <t>Tooele</t>
  </si>
  <si>
    <t>Grand Strand Brewing Company</t>
  </si>
  <si>
    <t>Saucony Creek Brewing Company</t>
  </si>
  <si>
    <t>Kutztown</t>
  </si>
  <si>
    <t>The Austin Beer Garden Brewing Co</t>
  </si>
  <si>
    <t>Olde Salem Brewing Company</t>
  </si>
  <si>
    <t>Save The World Brewing Co</t>
  </si>
  <si>
    <t>Pondaseta Brewing Co.</t>
  </si>
  <si>
    <t>Amarillo</t>
  </si>
  <si>
    <t>La Cabra Brewing</t>
  </si>
  <si>
    <t>Berwyn</t>
  </si>
  <si>
    <t>NewSylum Brewing Co.</t>
  </si>
  <si>
    <t>Newtown</t>
  </si>
  <si>
    <t>Roscoe Brewing Company</t>
  </si>
  <si>
    <t>Roscoe</t>
  </si>
  <si>
    <t>Woodstock Brewing</t>
  </si>
  <si>
    <t>Phoenicia</t>
  </si>
  <si>
    <t>Heathen Brewing</t>
  </si>
  <si>
    <t>Burn'Em Brewing</t>
  </si>
  <si>
    <t>Michigan City</t>
  </si>
  <si>
    <t>San Francisco Brewing Co</t>
  </si>
  <si>
    <t>True Anomaly Brewing Co.</t>
  </si>
  <si>
    <t>HopSaint Brewing Company</t>
  </si>
  <si>
    <t>Ludlam Island Brewery</t>
  </si>
  <si>
    <t>Ocean View</t>
  </si>
  <si>
    <t>Lincoln and South Brewing Co.</t>
  </si>
  <si>
    <t>Hilton Head Island</t>
  </si>
  <si>
    <t>Snafu Brewing Company</t>
  </si>
  <si>
    <t>Spice Trade Brewing</t>
  </si>
  <si>
    <t>Greenwood Village</t>
  </si>
  <si>
    <t>Magnetic South Brewery</t>
  </si>
  <si>
    <t>Anderson</t>
  </si>
  <si>
    <t>Drastic Measures Brewing</t>
  </si>
  <si>
    <t>Wadena</t>
  </si>
  <si>
    <t>Listermann Brewing Company</t>
  </si>
  <si>
    <t>Cowtown Brewing Company</t>
  </si>
  <si>
    <t>Sequoia Brewing Co - Tower District</t>
  </si>
  <si>
    <t>Northern Row Brewery</t>
  </si>
  <si>
    <t>Off Square Brewing</t>
  </si>
  <si>
    <t>Crown Point</t>
  </si>
  <si>
    <t>Pinehurst Brewing Company</t>
  </si>
  <si>
    <t>Pinehurst</t>
  </si>
  <si>
    <t>Big Wood Brewery</t>
  </si>
  <si>
    <t>Skookum Brewery LLC</t>
  </si>
  <si>
    <t>ARLINGTON</t>
  </si>
  <si>
    <t>GoodWater Brewery</t>
  </si>
  <si>
    <t>Union Bear Brewing Co.</t>
  </si>
  <si>
    <t>Plano</t>
  </si>
  <si>
    <t>Dicks Brewing Co</t>
  </si>
  <si>
    <t>Centralia</t>
  </si>
  <si>
    <t>Ground Breaker Brewing</t>
  </si>
  <si>
    <t>Transient Artisan Ales</t>
  </si>
  <si>
    <t>Bridgman</t>
  </si>
  <si>
    <t>Ranger Creek Brewing</t>
  </si>
  <si>
    <t>Hilton Head Brewing Co</t>
  </si>
  <si>
    <t>Limitless Brewing</t>
  </si>
  <si>
    <t>Lenexa</t>
  </si>
  <si>
    <t>Riptide Brewing Company</t>
  </si>
  <si>
    <t>Woven Water Brewing Company</t>
  </si>
  <si>
    <t>Angry James Brewing Co</t>
  </si>
  <si>
    <t>Silverthorne</t>
  </si>
  <si>
    <t>Burning Beard Brewing</t>
  </si>
  <si>
    <t>El Cajon</t>
  </si>
  <si>
    <t>Powderhaus Brewing</t>
  </si>
  <si>
    <t>Huntersville</t>
  </si>
  <si>
    <t>Michael Waltrip Brewing Co</t>
  </si>
  <si>
    <t>The Southern Growl</t>
  </si>
  <si>
    <t>Greer</t>
  </si>
  <si>
    <t>Tradition Brewing Company</t>
  </si>
  <si>
    <t>Newport News</t>
  </si>
  <si>
    <t>Departed Soles Brewing</t>
  </si>
  <si>
    <t>Big Boss Brewing Co</t>
  </si>
  <si>
    <t>The Old Bakery Beer Company</t>
  </si>
  <si>
    <t>Alton</t>
  </si>
  <si>
    <t>Rapscallion Ales</t>
  </si>
  <si>
    <t>Sturbridge</t>
  </si>
  <si>
    <t>Fegley's Brew Works</t>
  </si>
  <si>
    <t>Allentown</t>
  </si>
  <si>
    <t>Kohola Brewery</t>
  </si>
  <si>
    <t>Liquid State Brewing Company</t>
  </si>
  <si>
    <t>Old Irving Brewing Co.</t>
  </si>
  <si>
    <t>Stellwagen Beer Company</t>
  </si>
  <si>
    <t>Marshfield</t>
  </si>
  <si>
    <t>Stone Corral Brewery</t>
  </si>
  <si>
    <t>Oakland United Beerworks</t>
  </si>
  <si>
    <t>Local Craft Beer, Tehachapi</t>
  </si>
  <si>
    <t>Tehachapi</t>
  </si>
  <si>
    <t>Wedge Brewing Co</t>
  </si>
  <si>
    <t>Blind Tiger Brewery &amp; Restaurant</t>
  </si>
  <si>
    <t>Topeka</t>
  </si>
  <si>
    <t>Canyon Creek Brewing</t>
  </si>
  <si>
    <t>Equinox Brewing</t>
  </si>
  <si>
    <t>Loveland Aleworks</t>
  </si>
  <si>
    <t>Paradox Beer Co</t>
  </si>
  <si>
    <t>Divide</t>
  </si>
  <si>
    <t>The Tap Brewery</t>
  </si>
  <si>
    <t>Westhampton Beach Brewing Company</t>
  </si>
  <si>
    <t>Westhampton Beach</t>
  </si>
  <si>
    <t>Diebolt Brewing</t>
  </si>
  <si>
    <t>Liars Bench Beer Company</t>
  </si>
  <si>
    <t>Launch Pad Brewery</t>
  </si>
  <si>
    <t>Broken Bat Brewing Company, LLC</t>
  </si>
  <si>
    <t>Carters Brewing</t>
  </si>
  <si>
    <t>Brazos Valley Brewing Company</t>
  </si>
  <si>
    <t>Brenham</t>
  </si>
  <si>
    <t>Rockwell Beer Company</t>
  </si>
  <si>
    <t>Weston Brewing Co / O'Malley's Pub</t>
  </si>
  <si>
    <t>Weston</t>
  </si>
  <si>
    <t>Ormond Brewing</t>
  </si>
  <si>
    <t>Ormond Beach</t>
  </si>
  <si>
    <t>Two-Shy Brewing</t>
  </si>
  <si>
    <t>Roseburg</t>
  </si>
  <si>
    <t>Armored Cow Brewing Co.</t>
  </si>
  <si>
    <t>Birdsmouth Beer</t>
  </si>
  <si>
    <t>Oceanport</t>
  </si>
  <si>
    <t>BKS Artisan Ales</t>
  </si>
  <si>
    <t>Caius Farm Brewery</t>
  </si>
  <si>
    <t>Hazywater Brewery, LLC.</t>
  </si>
  <si>
    <t>Turner</t>
  </si>
  <si>
    <t>Idletyme Brewing Company</t>
  </si>
  <si>
    <t>New Jersey Beer Company</t>
  </si>
  <si>
    <t>North Bergen</t>
  </si>
  <si>
    <t>Pax Verum Brewing</t>
  </si>
  <si>
    <t>Lapel</t>
  </si>
  <si>
    <t>Rooftop Brewing Co</t>
  </si>
  <si>
    <t>Ruhstaller Beer</t>
  </si>
  <si>
    <t>Salty Bear Brewing Co.</t>
  </si>
  <si>
    <t>Strap Tank Brewing Co.</t>
  </si>
  <si>
    <t>Springville</t>
  </si>
  <si>
    <t>Lost Tavern Brewing</t>
  </si>
  <si>
    <t>Hellertown</t>
  </si>
  <si>
    <t>Salmon River Brewery</t>
  </si>
  <si>
    <t>Casita Brewing Company</t>
  </si>
  <si>
    <t>Savage Craft Ale Works</t>
  </si>
  <si>
    <t>West Columbia</t>
  </si>
  <si>
    <t>Shoe Tree Brewing Co.</t>
  </si>
  <si>
    <t>Carson City</t>
  </si>
  <si>
    <t>Backyard Brewery</t>
  </si>
  <si>
    <t>Ben's Brewing Co</t>
  </si>
  <si>
    <t>Yankton</t>
  </si>
  <si>
    <t>Beach Chalet Brewing Co</t>
  </si>
  <si>
    <t>Fogbelt Brewing Co</t>
  </si>
  <si>
    <t>Three Rivers Eatery and Brewery</t>
  </si>
  <si>
    <t>Farmington</t>
  </si>
  <si>
    <t>Blacksmith Brewing Co</t>
  </si>
  <si>
    <t>Stevensville</t>
  </si>
  <si>
    <t>Wagner Valley Brewing Co</t>
  </si>
  <si>
    <t>De Garde Brewing</t>
  </si>
  <si>
    <t>Tillamook</t>
  </si>
  <si>
    <t>Elkhorn</t>
  </si>
  <si>
    <t>Pour Man's Brewing Company</t>
  </si>
  <si>
    <t>Staunton</t>
  </si>
  <si>
    <t>Prairie Street Brewing Co.</t>
  </si>
  <si>
    <t>Rockford</t>
  </si>
  <si>
    <t>Delta Beer Lab</t>
  </si>
  <si>
    <t>Fitchburg</t>
  </si>
  <si>
    <t>Cinder Block Brewery</t>
  </si>
  <si>
    <t>BearWaters Brewing - Riverside</t>
  </si>
  <si>
    <t>Devil's Logic Brewing</t>
  </si>
  <si>
    <t>Lake Arrowhead Brewing Company</t>
  </si>
  <si>
    <t>Lake Arrowhead</t>
  </si>
  <si>
    <t>Maverick Ales &amp; Lagers, LLC dba Midwest Coast Brewing Company</t>
  </si>
  <si>
    <t>Levity Brewing Co</t>
  </si>
  <si>
    <t>Strangeways Brewing - RVA</t>
  </si>
  <si>
    <t>Red Hare Brewing Company</t>
  </si>
  <si>
    <t>BrewBilt Brewing</t>
  </si>
  <si>
    <t>Wet Dog Cafe &amp; Brewery</t>
  </si>
  <si>
    <t>Parliament Brewing Co, LLC</t>
  </si>
  <si>
    <t>Starbase Brewing</t>
  </si>
  <si>
    <t>Wonderland Brewing Company</t>
  </si>
  <si>
    <t>Bad Astronaut Brewing Company</t>
  </si>
  <si>
    <t>Centerpoint Brewing</t>
  </si>
  <si>
    <t>The Phoenix Brewing Company</t>
  </si>
  <si>
    <t>Mansfield</t>
  </si>
  <si>
    <t>Kinsmen Brewing</t>
  </si>
  <si>
    <t>Big Beach Brewing Company</t>
  </si>
  <si>
    <t>Gulf Shores</t>
  </si>
  <si>
    <t>Midland Brewing Co</t>
  </si>
  <si>
    <t>Rek-Lis Brewing Company</t>
  </si>
  <si>
    <t>Marker 48 Brewing LLC</t>
  </si>
  <si>
    <t>Brooksville</t>
  </si>
  <si>
    <t>Turtle Mountain Brewing Co</t>
  </si>
  <si>
    <t>Rio Rancho</t>
  </si>
  <si>
    <t>Bradley Brew Project</t>
  </si>
  <si>
    <t>Bradley Beach</t>
  </si>
  <si>
    <t>Camino Brewing Co LLC</t>
  </si>
  <si>
    <t>District Brewing Company</t>
  </si>
  <si>
    <t>Bainbridge Island Brewing</t>
  </si>
  <si>
    <t>Barrel House Z</t>
  </si>
  <si>
    <t>Weymouth</t>
  </si>
  <si>
    <t>Soul &amp; Spirits</t>
  </si>
  <si>
    <t>Torn Label Brewing Company</t>
  </si>
  <si>
    <t>Ferus Artisan Ales</t>
  </si>
  <si>
    <t>Trussville</t>
  </si>
  <si>
    <t>Flatland Brewing Company</t>
  </si>
  <si>
    <t>Elk Grove</t>
  </si>
  <si>
    <t>Wenatchee Valley Brewing Co.</t>
  </si>
  <si>
    <t>Wenatchee</t>
  </si>
  <si>
    <t>Branch and Blade Brewing</t>
  </si>
  <si>
    <t>Well Crafted Beer Company</t>
  </si>
  <si>
    <t>Lansdale</t>
  </si>
  <si>
    <t>Alameda Island Brewing Company</t>
  </si>
  <si>
    <t>Newgrass Brewing Company</t>
  </si>
  <si>
    <t>Shelby</t>
  </si>
  <si>
    <t>Tilted Barn Brewery</t>
  </si>
  <si>
    <t>Exeter</t>
  </si>
  <si>
    <t>Switchyard Brewing Company</t>
  </si>
  <si>
    <t>White Elm Brewing Co</t>
  </si>
  <si>
    <t>Moose Lake Brewing Company</t>
  </si>
  <si>
    <t>Moose Lake</t>
  </si>
  <si>
    <t>Cypress &amp; Grove Brewing Company</t>
  </si>
  <si>
    <t>Trinity Brewing</t>
  </si>
  <si>
    <t>Hop Dogma Brewing Company</t>
  </si>
  <si>
    <t>Wooden Hill Brewing Company</t>
  </si>
  <si>
    <t>Edina</t>
  </si>
  <si>
    <t>The Freehouse</t>
  </si>
  <si>
    <t>Dual Citizen Brewing Co.</t>
  </si>
  <si>
    <t>Half Batch Brewing</t>
  </si>
  <si>
    <t>Hendersonville</t>
  </si>
  <si>
    <t>Rising Silo Brewery</t>
  </si>
  <si>
    <t>Blacksburg</t>
  </si>
  <si>
    <t>Shoreline Brewery</t>
  </si>
  <si>
    <t>Piece Brewery</t>
  </si>
  <si>
    <t>Reaver Beach Brewing Co</t>
  </si>
  <si>
    <t>New Park Brewing</t>
  </si>
  <si>
    <t>West Hartford</t>
  </si>
  <si>
    <t>Half Brothers Brewing Company</t>
  </si>
  <si>
    <t>Grand Forks</t>
  </si>
  <si>
    <t>Reverie Brewing Company</t>
  </si>
  <si>
    <t>HopFly Brewing Company</t>
  </si>
  <si>
    <t>Ten Mile Creek Brewery</t>
  </si>
  <si>
    <t>Cerberus Brewing Company</t>
  </si>
  <si>
    <t>Fifth Ward Brewing Company</t>
  </si>
  <si>
    <t>Silver Falls Brewery</t>
  </si>
  <si>
    <t>Silverton</t>
  </si>
  <si>
    <t>Deep Brewing Company</t>
  </si>
  <si>
    <t>Elk Creek Cafe + Aleworks</t>
  </si>
  <si>
    <t>Millheim</t>
  </si>
  <si>
    <t>Dillon Dam Brewery</t>
  </si>
  <si>
    <t>Hop &amp; Barrel Brewing Company LLC</t>
  </si>
  <si>
    <t>Lost Barrel Brewing</t>
  </si>
  <si>
    <t>Middleburg</t>
  </si>
  <si>
    <t>Eagle Rock Brewery LLC</t>
  </si>
  <si>
    <t>Edward Teach Brewing</t>
  </si>
  <si>
    <t>Fortnight Brewing Company</t>
  </si>
  <si>
    <t>Hopkins Farm Brewery</t>
  </si>
  <si>
    <t>Havre De Grace</t>
  </si>
  <si>
    <t>Flying Ace Farm</t>
  </si>
  <si>
    <t>Lovettsville</t>
  </si>
  <si>
    <t>The Farm Brewery At Broad Run</t>
  </si>
  <si>
    <t>Broad Run</t>
  </si>
  <si>
    <t>Copper State Brewing Co</t>
  </si>
  <si>
    <t>On Tour Brewing Co.</t>
  </si>
  <si>
    <t>True Vine Brewing Company</t>
  </si>
  <si>
    <t>Tyler</t>
  </si>
  <si>
    <t>Parsons North Brewing Company</t>
  </si>
  <si>
    <t>Green Mountain Beer Company</t>
  </si>
  <si>
    <t>Gatlinburg Brewing Company</t>
  </si>
  <si>
    <t>Blue Note Brewing Company</t>
  </si>
  <si>
    <t>Woodland</t>
  </si>
  <si>
    <t>Wilmington Brew Works</t>
  </si>
  <si>
    <t>MacLeod Ale Brewing Company, LLC</t>
  </si>
  <si>
    <t>Van Nuys</t>
  </si>
  <si>
    <t>Wet Ticket Brewing</t>
  </si>
  <si>
    <t>Rahway</t>
  </si>
  <si>
    <t>Flight Deck Brewing</t>
  </si>
  <si>
    <t>Pigeon Head Brewery</t>
  </si>
  <si>
    <t>Ethereal Brewing</t>
  </si>
  <si>
    <t>2 Row Brewing</t>
  </si>
  <si>
    <t>Midvale</t>
  </si>
  <si>
    <t>Axe And Arrow Brewery</t>
  </si>
  <si>
    <t>Barrow Brewing Company</t>
  </si>
  <si>
    <t>Salado</t>
  </si>
  <si>
    <t>Five Wits Brewing Co.</t>
  </si>
  <si>
    <t>Mother Stewart's Brewing Co</t>
  </si>
  <si>
    <t>Steady Hand Beer Co.</t>
  </si>
  <si>
    <t>Ten Eyck Brewing</t>
  </si>
  <si>
    <t>Queenstown</t>
  </si>
  <si>
    <t>The Seed: A Living Beer Project</t>
  </si>
  <si>
    <t>Atlantic City</t>
  </si>
  <si>
    <t>Rails End Beer Company</t>
  </si>
  <si>
    <t>Stockyards Brewing Company</t>
  </si>
  <si>
    <t>Resolute Brewing Company</t>
  </si>
  <si>
    <t>Centennial</t>
  </si>
  <si>
    <t>Fitger's Brewhouse</t>
  </si>
  <si>
    <t>DogBerry Brewing LLC</t>
  </si>
  <si>
    <t>Lager Heads Brewing Co.</t>
  </si>
  <si>
    <t>Medina</t>
  </si>
  <si>
    <t>Post Falls Brewing</t>
  </si>
  <si>
    <t>Lost Worlds Brewing</t>
  </si>
  <si>
    <t>Cornelius</t>
  </si>
  <si>
    <t>Mojave Brewing Company</t>
  </si>
  <si>
    <t>Roses by the Stairs Brewing</t>
  </si>
  <si>
    <t>Second Pitch Beer Company</t>
  </si>
  <si>
    <t>Vernal Brewing Company</t>
  </si>
  <si>
    <t>Vernal</t>
  </si>
  <si>
    <t>Esoteric Brewing Co.</t>
  </si>
  <si>
    <t>Funky Bow Brewery &amp; Beer Company</t>
  </si>
  <si>
    <t>Lyman</t>
  </si>
  <si>
    <t>Boese Brothers Brewing</t>
  </si>
  <si>
    <t>Crystal Coast Brewing Company</t>
  </si>
  <si>
    <t>Atlantic Beach</t>
  </si>
  <si>
    <t>Four Saints Brewing</t>
  </si>
  <si>
    <t>Asheboro</t>
  </si>
  <si>
    <t>Saddle Mountain Brewing Company</t>
  </si>
  <si>
    <t>Goodyear</t>
  </si>
  <si>
    <t>Spoonwood Brewing Company</t>
  </si>
  <si>
    <t>Seven Sirens Brewing Company</t>
  </si>
  <si>
    <t>Arrow Lodge Brewing</t>
  </si>
  <si>
    <t>Covina</t>
  </si>
  <si>
    <t>Main &amp; Mill Brewing Company</t>
  </si>
  <si>
    <t>Festus</t>
  </si>
  <si>
    <t>Outer Banks Brewing Station</t>
  </si>
  <si>
    <t>Kill Devil Hills</t>
  </si>
  <si>
    <t>Randolph Beer</t>
  </si>
  <si>
    <t>Root Down Brewing Company</t>
  </si>
  <si>
    <t>Benford Brewing Co.</t>
  </si>
  <si>
    <t>Coastal County Brewing Company</t>
  </si>
  <si>
    <t>Flying Goose Brewpub</t>
  </si>
  <si>
    <t>New London</t>
  </si>
  <si>
    <t>Vice Beer</t>
  </si>
  <si>
    <t>Superior Bathhouse Brewery</t>
  </si>
  <si>
    <t>Hot Springs National Park</t>
  </si>
  <si>
    <t>Oregon City Brewing Company</t>
  </si>
  <si>
    <t>Oregon City</t>
  </si>
  <si>
    <t>San Fernando Brewing Co.</t>
  </si>
  <si>
    <t>San Fernando</t>
  </si>
  <si>
    <t>Wandering Hop Brewery</t>
  </si>
  <si>
    <t>Black Spruce Brewing Company</t>
  </si>
  <si>
    <t>Fairbanks</t>
  </si>
  <si>
    <t>Molly Pitcher Brewing Co</t>
  </si>
  <si>
    <t>Carlisle</t>
  </si>
  <si>
    <t>Prohibition Brewing</t>
  </si>
  <si>
    <t>North Jetty Brewing</t>
  </si>
  <si>
    <t>Seaview</t>
  </si>
  <si>
    <t>Crucible Brewing Co.</t>
  </si>
  <si>
    <t>Moon River Brewing Co</t>
  </si>
  <si>
    <t>Triple 7 Restaurant &amp; Brewery at Main St Station</t>
  </si>
  <si>
    <t>Bloomington Brewing Co - Production Facility</t>
  </si>
  <si>
    <t>Lo-Fi Brewing</t>
  </si>
  <si>
    <t>One World Brewing</t>
  </si>
  <si>
    <t>Pumphouse Brewery and Restaurant</t>
  </si>
  <si>
    <t>Saint James Brewery</t>
  </si>
  <si>
    <t>Holbrook</t>
  </si>
  <si>
    <t>Charter Oak Brewing Company LLC</t>
  </si>
  <si>
    <t>Danbury</t>
  </si>
  <si>
    <t>HiHO Brewing Co.</t>
  </si>
  <si>
    <t>Water Street Brewery - The Brewery</t>
  </si>
  <si>
    <t>Carolina Brewing Company</t>
  </si>
  <si>
    <t>Holly Springs</t>
  </si>
  <si>
    <t>City-State Brewing Co. LLC</t>
  </si>
  <si>
    <t>JAFB Wooster Brewery</t>
  </si>
  <si>
    <t>Wooster</t>
  </si>
  <si>
    <t>Lumpy Ridge Brewing Co</t>
  </si>
  <si>
    <t>Estes Park</t>
  </si>
  <si>
    <t>Rightside Brewing</t>
  </si>
  <si>
    <t>The Seventh Tap Brewing Project</t>
  </si>
  <si>
    <t>Third Street Aleworks</t>
  </si>
  <si>
    <t>WestBrew</t>
  </si>
  <si>
    <t>Ogopogo Brewing</t>
  </si>
  <si>
    <t>San Gabriel</t>
  </si>
  <si>
    <t>Hysteria Brewing Company</t>
  </si>
  <si>
    <t>Vista Brewing</t>
  </si>
  <si>
    <t>Driftwood</t>
  </si>
  <si>
    <t>All Saints Brewing Co</t>
  </si>
  <si>
    <t>Greensburg</t>
  </si>
  <si>
    <t>Black Hammer Brewing</t>
  </si>
  <si>
    <t>The Brewtorium</t>
  </si>
  <si>
    <t>Colorado Mountain Brewery</t>
  </si>
  <si>
    <t>Craft Coast</t>
  </si>
  <si>
    <t>Washougal</t>
  </si>
  <si>
    <t>Transport Brewery</t>
  </si>
  <si>
    <t>Shawnee</t>
  </si>
  <si>
    <t>Tributary Brewing Company</t>
  </si>
  <si>
    <t>Kittery</t>
  </si>
  <si>
    <t>Tumbleroot Brewery And Distillery</t>
  </si>
  <si>
    <t>Bewilder Brewing Co</t>
  </si>
  <si>
    <t>Infinite Ale Works</t>
  </si>
  <si>
    <t>Ocala</t>
  </si>
  <si>
    <t>Gaston Brewing Company</t>
  </si>
  <si>
    <t>FAYETTEVILLE</t>
  </si>
  <si>
    <t>Mother Fern Brewing</t>
  </si>
  <si>
    <t>River's Edge Brewing Co</t>
  </si>
  <si>
    <t>New Bohemia Brewing Co</t>
  </si>
  <si>
    <t>Nine Mile Brewing Company</t>
  </si>
  <si>
    <t>Canyon Club Brewery</t>
  </si>
  <si>
    <t>Moraga</t>
  </si>
  <si>
    <t>Pherm Brewing Co</t>
  </si>
  <si>
    <t>Gambrills</t>
  </si>
  <si>
    <t>Tapistry Brewing Company</t>
  </si>
  <si>
    <t>Three Barrel Brewing Co</t>
  </si>
  <si>
    <t>Del Norte</t>
  </si>
  <si>
    <t>Lucky Labrador Brewpub</t>
  </si>
  <si>
    <t>Green Room Brewing</t>
  </si>
  <si>
    <t>Bad Habit Brewing Company</t>
  </si>
  <si>
    <t>Detroit Beer Co</t>
  </si>
  <si>
    <t>Devil's Purse Brewing Co</t>
  </si>
  <si>
    <t>South Dennis</t>
  </si>
  <si>
    <t>Distant Brewing</t>
  </si>
  <si>
    <t>Kauai Island Brewing Co. LLC</t>
  </si>
  <si>
    <t>Port Allen</t>
  </si>
  <si>
    <t>Mad Chef Craft Brewing</t>
  </si>
  <si>
    <t>East Petersburg</t>
  </si>
  <si>
    <t>ShawneeCraft Brewery</t>
  </si>
  <si>
    <t>Shawnee on Delaware</t>
  </si>
  <si>
    <t>Bald Birds Brewing Company</t>
  </si>
  <si>
    <t>Audubon</t>
  </si>
  <si>
    <t>Old Thunder Brewing</t>
  </si>
  <si>
    <t>Southern Roots LLC</t>
  </si>
  <si>
    <t>Waco</t>
  </si>
  <si>
    <t>Estes Park Brewery</t>
  </si>
  <si>
    <t>Hermiston Brewing Co</t>
  </si>
  <si>
    <t>Hermiston</t>
  </si>
  <si>
    <t>Hunter-Gatherer Brewery</t>
  </si>
  <si>
    <t>No BS Brew Company</t>
  </si>
  <si>
    <t>Livonia</t>
  </si>
  <si>
    <t>Bond's Brewing Company</t>
  </si>
  <si>
    <t>Laramie</t>
  </si>
  <si>
    <t>Upstream Brewing</t>
  </si>
  <si>
    <t>Southern Fields Brewing</t>
  </si>
  <si>
    <t>Woods Beer &amp; Wine Co.</t>
  </si>
  <si>
    <t>Our Mutual Friend Brewing</t>
  </si>
  <si>
    <t>Whipsaw Brewing LLC</t>
  </si>
  <si>
    <t>Burly Brewing Company, LLC</t>
  </si>
  <si>
    <t>Four Seasons Brewing Co</t>
  </si>
  <si>
    <t>Latrobe</t>
  </si>
  <si>
    <t>YaYa Brewing Company</t>
  </si>
  <si>
    <t>Spokane Valley</t>
  </si>
  <si>
    <t>Lawrence Beer Company</t>
  </si>
  <si>
    <t>Wild Fields Brewhouse</t>
  </si>
  <si>
    <t>Atascadero</t>
  </si>
  <si>
    <t>Lost Generation Brewing</t>
  </si>
  <si>
    <t>White Labs, Inc.</t>
  </si>
  <si>
    <t>Three 3's Brewing Company</t>
  </si>
  <si>
    <t>Hammonton</t>
  </si>
  <si>
    <t>Odd Colony Brewing Company</t>
  </si>
  <si>
    <t>Hogshead Brewery</t>
  </si>
  <si>
    <t>Little Machine</t>
  </si>
  <si>
    <t>Bone Haus Brewing</t>
  </si>
  <si>
    <t>Fountain Hills</t>
  </si>
  <si>
    <t>My Yard Live Beer Co.</t>
  </si>
  <si>
    <t>Thr3e Punk Ales Brewing Co</t>
  </si>
  <si>
    <t>Falling Sky Brewing</t>
  </si>
  <si>
    <t>Evil Czech Brewery</t>
  </si>
  <si>
    <t>Mishawaka</t>
  </si>
  <si>
    <t>Municipal Brew Works</t>
  </si>
  <si>
    <t>Brown Truck Brewery</t>
  </si>
  <si>
    <t>High Point</t>
  </si>
  <si>
    <t>Central Standard Brewing</t>
  </si>
  <si>
    <t>Wichita</t>
  </si>
  <si>
    <t>Common Bond Brewers, LLC</t>
  </si>
  <si>
    <t>Siren Rock Brewing Company</t>
  </si>
  <si>
    <t>Rockwall</t>
  </si>
  <si>
    <t>Vanessa House Beer Company</t>
  </si>
  <si>
    <t>Welltown Brewing</t>
  </si>
  <si>
    <t>Bill's Brewing Company</t>
  </si>
  <si>
    <t>Offshore Ale Co</t>
  </si>
  <si>
    <t>Oak Bluffs</t>
  </si>
  <si>
    <t>Throwback Brewery</t>
  </si>
  <si>
    <t>North Hampton</t>
  </si>
  <si>
    <t>Ebony &amp; Ivory Brewing Co</t>
  </si>
  <si>
    <t>Snoqualmie Falls Brewing LLC</t>
  </si>
  <si>
    <t>Snoqualmie</t>
  </si>
  <si>
    <t>Focal Point Beer Co</t>
  </si>
  <si>
    <t>Free Roam Brewing Company</t>
  </si>
  <si>
    <t>Boerne</t>
  </si>
  <si>
    <t>Happy Basset Brewing Company</t>
  </si>
  <si>
    <t>Westtown Brew Works</t>
  </si>
  <si>
    <t>Westtown</t>
  </si>
  <si>
    <t>Olentangy River Brewing Company</t>
  </si>
  <si>
    <t>Lewis Center</t>
  </si>
  <si>
    <t>Corporate Ladder Brewing Company</t>
  </si>
  <si>
    <t>Palmetto</t>
  </si>
  <si>
    <t>GnomeTown Brewing Co</t>
  </si>
  <si>
    <t>Modern Methods Brewing Company</t>
  </si>
  <si>
    <t>Rockmill Brewing Co</t>
  </si>
  <si>
    <t>South Gate Brewing Co</t>
  </si>
  <si>
    <t>Oakhurst</t>
  </si>
  <si>
    <t>Buckstin Brewing Company</t>
  </si>
  <si>
    <t>Bull Falls Brewery LLC</t>
  </si>
  <si>
    <t>Wausau</t>
  </si>
  <si>
    <t>Friendship Brewing Company</t>
  </si>
  <si>
    <t>Wentzville</t>
  </si>
  <si>
    <t>Silva Brewing</t>
  </si>
  <si>
    <t>Wondrous Brewing Company</t>
  </si>
  <si>
    <t>Emeryville</t>
  </si>
  <si>
    <t>Archetype Brewing</t>
  </si>
  <si>
    <t>Tobacco Road Brewery</t>
  </si>
  <si>
    <t>All-American Brew Works</t>
  </si>
  <si>
    <t>Big Lick Brewing Company</t>
  </si>
  <si>
    <t>Roanoke</t>
  </si>
  <si>
    <t>Bright Eye Beer Co.</t>
  </si>
  <si>
    <t>Adams Street Brewery</t>
  </si>
  <si>
    <t>BNS Brewing &amp; Distilling Co.</t>
  </si>
  <si>
    <t>Santee</t>
  </si>
  <si>
    <t>Claimstake Brewing Company</t>
  </si>
  <si>
    <t>Powder Hollow Brewery</t>
  </si>
  <si>
    <t>Enfield</t>
  </si>
  <si>
    <t>Swashbuckler Brewing Co</t>
  </si>
  <si>
    <t>Manheim</t>
  </si>
  <si>
    <t>Firetrucker Brewery</t>
  </si>
  <si>
    <t>Ankeny</t>
  </si>
  <si>
    <t>New Smyrna Beach Brewing Co</t>
  </si>
  <si>
    <t>New Smyrna Beach</t>
  </si>
  <si>
    <t>Foxtown Brewing</t>
  </si>
  <si>
    <t>Germantown</t>
  </si>
  <si>
    <t>Kenosha</t>
  </si>
  <si>
    <t>Aldus Brewing Company</t>
  </si>
  <si>
    <t>Hanover</t>
  </si>
  <si>
    <t>Frontyard Brewing</t>
  </si>
  <si>
    <t>Spicewood</t>
  </si>
  <si>
    <t>Grumpy Old Men Brewing</t>
  </si>
  <si>
    <t>Iron Forge Brewing Co.</t>
  </si>
  <si>
    <t>Sevierville</t>
  </si>
  <si>
    <t>Mobtown Brewing Company</t>
  </si>
  <si>
    <t>Pivotal Brewing Company</t>
  </si>
  <si>
    <t>Southern Strain Brewing Company</t>
  </si>
  <si>
    <t>Tarboro Brewing Company</t>
  </si>
  <si>
    <t>Tarboro</t>
  </si>
  <si>
    <t>The Walter Brewing Company</t>
  </si>
  <si>
    <t>Pueblo</t>
  </si>
  <si>
    <t>Transplants Brewing Company</t>
  </si>
  <si>
    <t>Wallace Brewing Co</t>
  </si>
  <si>
    <t>Wallace</t>
  </si>
  <si>
    <t>Latitude 42</t>
  </si>
  <si>
    <t>Portage</t>
  </si>
  <si>
    <t>Lena Brewing Company</t>
  </si>
  <si>
    <t>Lena</t>
  </si>
  <si>
    <t>Steel String Craft Brewery</t>
  </si>
  <si>
    <t>Mebane</t>
  </si>
  <si>
    <t>TEN20 Craft Brewery</t>
  </si>
  <si>
    <t>New Helvetia Brewing Company</t>
  </si>
  <si>
    <t>ManaFirkin Brewing Company</t>
  </si>
  <si>
    <t>Manahawkin</t>
  </si>
  <si>
    <t>Peaks N Pines Brewing Company</t>
  </si>
  <si>
    <t>Fountain</t>
  </si>
  <si>
    <t>Dos Desperados Brewery</t>
  </si>
  <si>
    <t>Truckee Brewing Company</t>
  </si>
  <si>
    <t>Upward Brewing Co.</t>
  </si>
  <si>
    <t>Livingston Manor</t>
  </si>
  <si>
    <t>Dunloe Brewing LLC</t>
  </si>
  <si>
    <t>Boone Valley Brewing Co</t>
  </si>
  <si>
    <t>Fogtown Brewing Company</t>
  </si>
  <si>
    <t>Ellsworth</t>
  </si>
  <si>
    <t>Inverness Brewing</t>
  </si>
  <si>
    <t>Monkton</t>
  </si>
  <si>
    <t>Seven Arrows Brewing</t>
  </si>
  <si>
    <t>10 Torr Distilling and Brewing</t>
  </si>
  <si>
    <t>Bruz Beers</t>
  </si>
  <si>
    <t>Hellbender Brewing Company</t>
  </si>
  <si>
    <t>NoCoast Beer Co</t>
  </si>
  <si>
    <t>Oskaloosa</t>
  </si>
  <si>
    <t>Screech Owl Brewing</t>
  </si>
  <si>
    <t>Bluegrass Brewing Co - Brewpub</t>
  </si>
  <si>
    <t>Brickyard Brewing Company</t>
  </si>
  <si>
    <t>River City Brewing Co</t>
  </si>
  <si>
    <t>Smith Alley Brewing Company</t>
  </si>
  <si>
    <t>Young Veterans Brewing Company</t>
  </si>
  <si>
    <t>Idaho Brewing Co</t>
  </si>
  <si>
    <t>Idaho Falls</t>
  </si>
  <si>
    <t>Stubborn Brothers Brewery</t>
  </si>
  <si>
    <t>Shawano</t>
  </si>
  <si>
    <t>The Lebanon Brewing Company</t>
  </si>
  <si>
    <t>Lebanon</t>
  </si>
  <si>
    <t>Topsy Turvy Brewery</t>
  </si>
  <si>
    <t>Lake Geneva</t>
  </si>
  <si>
    <t>Textile Brewing Company</t>
  </si>
  <si>
    <t>Dyersville</t>
  </si>
  <si>
    <t>Third Nature Brewing Co.</t>
  </si>
  <si>
    <t>Depoe Bay Brewing Company / The Horn Public House and Brewery</t>
  </si>
  <si>
    <t>Depoe Bay</t>
  </si>
  <si>
    <t>Farm Truck Brewing</t>
  </si>
  <si>
    <t>Medford</t>
  </si>
  <si>
    <t>The BottleHouse Brewery And Meadery</t>
  </si>
  <si>
    <t>Cleveland Heights</t>
  </si>
  <si>
    <t>Campsite Brewing Company</t>
  </si>
  <si>
    <t>Viva Brewery</t>
  </si>
  <si>
    <t>Creek Bottom Brewing</t>
  </si>
  <si>
    <t>Galax</t>
  </si>
  <si>
    <t>Calvert Brewing Co</t>
  </si>
  <si>
    <t>East Branch Brewing Company</t>
  </si>
  <si>
    <t>Downingtown</t>
  </si>
  <si>
    <t>Grid City Beer Works</t>
  </si>
  <si>
    <t>Salt lake city</t>
  </si>
  <si>
    <t>Old Bisbee Brewing</t>
  </si>
  <si>
    <t>Bisbee</t>
  </si>
  <si>
    <t>Bowigens Beer Company</t>
  </si>
  <si>
    <t>Casselberry</t>
  </si>
  <si>
    <t>Teays River Brewing</t>
  </si>
  <si>
    <t>The Vanguard Brewpub &amp; Distillery</t>
  </si>
  <si>
    <t>Ono Brewing Company</t>
  </si>
  <si>
    <t>Urban Village Brewing Company</t>
  </si>
  <si>
    <t>Calapooia Brewery</t>
  </si>
  <si>
    <t>Slow Pour Brewing Company</t>
  </si>
  <si>
    <t>Lawrenceville</t>
  </si>
  <si>
    <t>Variant Brewing Company</t>
  </si>
  <si>
    <t>Brewery Legitimus</t>
  </si>
  <si>
    <t>New Hartford</t>
  </si>
  <si>
    <t>Anacortes Brewery/Rockfish Grill</t>
  </si>
  <si>
    <t>Anacortes</t>
  </si>
  <si>
    <t>Canal Park Brewery</t>
  </si>
  <si>
    <t>Four Quarters Brewing Co</t>
  </si>
  <si>
    <t>Winooski</t>
  </si>
  <si>
    <t>Hermit Thrush Brewery, LLC</t>
  </si>
  <si>
    <t>Queen City Brewery, LLC</t>
  </si>
  <si>
    <t>Rutland Beer Works</t>
  </si>
  <si>
    <t>Rutland</t>
  </si>
  <si>
    <t>Silver Harbor Brewing Company</t>
  </si>
  <si>
    <t>Draughtsmen Aleworks</t>
  </si>
  <si>
    <t>Highpoint Brewing Company</t>
  </si>
  <si>
    <t>San Dimas</t>
  </si>
  <si>
    <t>Trail Point Brewing Company</t>
  </si>
  <si>
    <t>Allendale</t>
  </si>
  <si>
    <t>Cosmic Eye Brewing</t>
  </si>
  <si>
    <t>Lake Norman Brewery</t>
  </si>
  <si>
    <t>Working Draft Beer Company</t>
  </si>
  <si>
    <t>B-52 Brewing</t>
  </si>
  <si>
    <t>Burnt City Brewing</t>
  </si>
  <si>
    <t>Hatchet Brewing Company</t>
  </si>
  <si>
    <t>Kings &amp; Daughters Brewery</t>
  </si>
  <si>
    <t>Terre Haute Brewing Company</t>
  </si>
  <si>
    <t>Terre Haute</t>
  </si>
  <si>
    <t>Bull &amp; Bones Brewhaus &amp; Grill</t>
  </si>
  <si>
    <t>Wisconsin Dells Brewing Co.</t>
  </si>
  <si>
    <t>Wisconsin Dells</t>
  </si>
  <si>
    <t>Boss Dog Brewing</t>
  </si>
  <si>
    <t>Broad Brook Brewing Company</t>
  </si>
  <si>
    <t>Suffield</t>
  </si>
  <si>
    <t>Green Tree Brewery</t>
  </si>
  <si>
    <t>Le Claire</t>
  </si>
  <si>
    <t>Iron Ox Brewing</t>
  </si>
  <si>
    <t>OEC Brewing</t>
  </si>
  <si>
    <t>Rusty Bull Brewing Company</t>
  </si>
  <si>
    <t>Frolic Brewing Company</t>
  </si>
  <si>
    <t>Mcilhenney Brewing Co.</t>
  </si>
  <si>
    <t>Alpine</t>
  </si>
  <si>
    <t>Obscurity Brewing</t>
  </si>
  <si>
    <t>Elburn</t>
  </si>
  <si>
    <t>Sumner</t>
  </si>
  <si>
    <t>Jack Russell Farm Ales</t>
  </si>
  <si>
    <t>Camino</t>
  </si>
  <si>
    <t>Noble Beast Brewing Co.</t>
  </si>
  <si>
    <t>7 Hills Brewing Company</t>
  </si>
  <si>
    <t>Dubuque</t>
  </si>
  <si>
    <t>Forbidden Root Brewing</t>
  </si>
  <si>
    <t>Simple Machine Brewing Company</t>
  </si>
  <si>
    <t>Abandon Brewing Company</t>
  </si>
  <si>
    <t>Penn Yan</t>
  </si>
  <si>
    <t>Abbey Brewing Co</t>
  </si>
  <si>
    <t>Miami Beach</t>
  </si>
  <si>
    <t>Bad Shepherd Beer Company</t>
  </si>
  <si>
    <t>Center Street Brewing Company</t>
  </si>
  <si>
    <t>Wallingford</t>
  </si>
  <si>
    <t>Golden Age Beer</t>
  </si>
  <si>
    <t>Good Times Brewing</t>
  </si>
  <si>
    <t>South Shore Craft Brewery</t>
  </si>
  <si>
    <t>Waterman's Brewing</t>
  </si>
  <si>
    <t>Tustin Brewing Co</t>
  </si>
  <si>
    <t>WestFax Brewing Co.</t>
  </si>
  <si>
    <t>Black Eagle Brewery</t>
  </si>
  <si>
    <t>Black Eagle</t>
  </si>
  <si>
    <t>ETX Brewing Co.</t>
  </si>
  <si>
    <t>Red Door Brewing Co</t>
  </si>
  <si>
    <t>StillFire Brewing</t>
  </si>
  <si>
    <t>Suwanee</t>
  </si>
  <si>
    <t>Mad Beach Brewing</t>
  </si>
  <si>
    <t>Madeira Beach</t>
  </si>
  <si>
    <t>Smithfield</t>
  </si>
  <si>
    <t>La Dona Cerveceria</t>
  </si>
  <si>
    <t>Peel Brewing Co.</t>
  </si>
  <si>
    <t>O Fallon</t>
  </si>
  <si>
    <t>Secret Trail Brewing Company, LLC</t>
  </si>
  <si>
    <t>Benny Boy Brewing</t>
  </si>
  <si>
    <t>Dokkaebier</t>
  </si>
  <si>
    <t>Lockport Brewery</t>
  </si>
  <si>
    <t>Bolivar</t>
  </si>
  <si>
    <t>Pals Brewing Company</t>
  </si>
  <si>
    <t>North Platte</t>
  </si>
  <si>
    <t>Ratchet Brewery</t>
  </si>
  <si>
    <t>Rollertown Beerworks</t>
  </si>
  <si>
    <t>Celina</t>
  </si>
  <si>
    <t>Evil Genius Beer Co</t>
  </si>
  <si>
    <t>Ghostface Brewing Company</t>
  </si>
  <si>
    <t>Aberrant Ales</t>
  </si>
  <si>
    <t>Howell</t>
  </si>
  <si>
    <t>Beer Church Brewing Company</t>
  </si>
  <si>
    <t>New Buffalo</t>
  </si>
  <si>
    <t>Humble Abode LLC - House Beer</t>
  </si>
  <si>
    <t>Venice</t>
  </si>
  <si>
    <t>Saint Errant Brewing</t>
  </si>
  <si>
    <t>Six Mile Bridge Brewery</t>
  </si>
  <si>
    <t>SunRift Beer Company</t>
  </si>
  <si>
    <t>Fourscore Beer Co.</t>
  </si>
  <si>
    <t>Gettysburg</t>
  </si>
  <si>
    <t>Kobold Brewing</t>
  </si>
  <si>
    <t>Goldhorn Brewery</t>
  </si>
  <si>
    <t>Industry Brewing</t>
  </si>
  <si>
    <t>Peoria</t>
  </si>
  <si>
    <t>Cibolo Creek Brewing Co.</t>
  </si>
  <si>
    <t>Crooked Tooth Brewing Co.</t>
  </si>
  <si>
    <t>Quarter Celtic Brewpub</t>
  </si>
  <si>
    <t>Six Ten Brewing</t>
  </si>
  <si>
    <t>Kilowatt Brewing</t>
  </si>
  <si>
    <t>Flyover Brewing Company</t>
  </si>
  <si>
    <t>Scottsbluff</t>
  </si>
  <si>
    <t>Garvies Point Brewery</t>
  </si>
  <si>
    <t>Glen Cove</t>
  </si>
  <si>
    <t>Holler Brewing Co</t>
  </si>
  <si>
    <t>Broken Goblet Brewing</t>
  </si>
  <si>
    <t>Bensalem</t>
  </si>
  <si>
    <t>Enlightened Brewing Company</t>
  </si>
  <si>
    <t>Old Town Brewing</t>
  </si>
  <si>
    <t>Rainy Daze Brewing Company LLC</t>
  </si>
  <si>
    <t>Poulsbo</t>
  </si>
  <si>
    <t>Blue Raven Brewery</t>
  </si>
  <si>
    <t>Cheyenne</t>
  </si>
  <si>
    <t>Escutcheon Brewing Co.</t>
  </si>
  <si>
    <t>Winchester</t>
  </si>
  <si>
    <t>Commerce Township</t>
  </si>
  <si>
    <t>Butte Brewing Co</t>
  </si>
  <si>
    <t>Butte</t>
  </si>
  <si>
    <t>12 Bones Brewing</t>
  </si>
  <si>
    <t>Arden</t>
  </si>
  <si>
    <t>Kingdom Brewing</t>
  </si>
  <si>
    <t>Talisman Brewing Company</t>
  </si>
  <si>
    <t>BabyCat Brewery</t>
  </si>
  <si>
    <t>Kensington</t>
  </si>
  <si>
    <t>Singin' River Brewing Company, LLC</t>
  </si>
  <si>
    <t>Florence</t>
  </si>
  <si>
    <t>Ray Brook Brewhouse</t>
  </si>
  <si>
    <t>Ray Brook</t>
  </si>
  <si>
    <t>Remlinger Brewing</t>
  </si>
  <si>
    <t>Carnation</t>
  </si>
  <si>
    <t>Alliance Brewing Company</t>
  </si>
  <si>
    <t>Knuth Brewing Company</t>
  </si>
  <si>
    <t>Project 9 Brewing Co</t>
  </si>
  <si>
    <t>Weeping Radish Farm Brewery</t>
  </si>
  <si>
    <t>Yonkers Brewing Co</t>
  </si>
  <si>
    <t>Yonkers</t>
  </si>
  <si>
    <t>Generations Brewing Company  LLC</t>
  </si>
  <si>
    <t>Mad Swede Brewing Co.</t>
  </si>
  <si>
    <t>Angry Minnow, The</t>
  </si>
  <si>
    <t>Hayward</t>
  </si>
  <si>
    <t>White Marsh Brewing Co/Red Brick Station</t>
  </si>
  <si>
    <t>Dimensional Brewing Co.</t>
  </si>
  <si>
    <t>Liquidity Aleworks</t>
  </si>
  <si>
    <t>Mount Airy</t>
  </si>
  <si>
    <t>Mt. Hood Brewing Co.</t>
  </si>
  <si>
    <t>Government Camp</t>
  </si>
  <si>
    <t>Woodland Farms Brewery</t>
  </si>
  <si>
    <t>Burnin Daylight Brewing Company</t>
  </si>
  <si>
    <t>Lomita</t>
  </si>
  <si>
    <t>Waredaca Brewing Company</t>
  </si>
  <si>
    <t>Gaithersburg</t>
  </si>
  <si>
    <t>Barrington Brewery and Restaurant</t>
  </si>
  <si>
    <t>Great Barrington</t>
  </si>
  <si>
    <t>Five Churches Brewing</t>
  </si>
  <si>
    <t>New Britain</t>
  </si>
  <si>
    <t>Short Story Brewing</t>
  </si>
  <si>
    <t>Rivesville</t>
  </si>
  <si>
    <t>Ten7 Brewing Company</t>
  </si>
  <si>
    <t>North Wales</t>
  </si>
  <si>
    <t>The Depot Craft Brewery Distillery</t>
  </si>
  <si>
    <t>Spearfish Brewing Company</t>
  </si>
  <si>
    <t>Akademia Brewing Company</t>
  </si>
  <si>
    <t>Bolton Landing Brewing Co.</t>
  </si>
  <si>
    <t>Bolton Landing</t>
  </si>
  <si>
    <t>Bear Roots Brewing Company</t>
  </si>
  <si>
    <t>Raices Brewing Co</t>
  </si>
  <si>
    <t>Brewheim Brewing Company</t>
  </si>
  <si>
    <t>Butler Brew Works</t>
  </si>
  <si>
    <t>Elmhurst Brewing</t>
  </si>
  <si>
    <t>Elmhurst</t>
  </si>
  <si>
    <t>Railtown Brewing Co</t>
  </si>
  <si>
    <t>Caledonia</t>
  </si>
  <si>
    <t>Two Blokes Brewing Co.</t>
  </si>
  <si>
    <t>Copper Trail Brewing Co.</t>
  </si>
  <si>
    <t>Highside Brewing</t>
  </si>
  <si>
    <t>Park Tavern Brewery</t>
  </si>
  <si>
    <t>Lodi Beer Company</t>
  </si>
  <si>
    <t>Bright Ideas Brewing</t>
  </si>
  <si>
    <t>North Adams</t>
  </si>
  <si>
    <t>Kills Boro Brewing Company</t>
  </si>
  <si>
    <t>One Trick Pony Brewery</t>
  </si>
  <si>
    <t>Sunken Silo Brew Works</t>
  </si>
  <si>
    <t>1927 Brew House</t>
  </si>
  <si>
    <t>Fracture Brewing</t>
  </si>
  <si>
    <t>GearHouse Brewing Co</t>
  </si>
  <si>
    <t>Chambersburg</t>
  </si>
  <si>
    <t>Lincoln's Beard Brewing Co.</t>
  </si>
  <si>
    <t>Model A Brewing Company</t>
  </si>
  <si>
    <t>Tega Cay</t>
  </si>
  <si>
    <t>North Fork Brewing Company</t>
  </si>
  <si>
    <t>Ramblebine Brewing Company</t>
  </si>
  <si>
    <t>Grand Junction</t>
  </si>
  <si>
    <t>Skagway Brewing Co</t>
  </si>
  <si>
    <t>Skagway</t>
  </si>
  <si>
    <t>Sobremesa</t>
  </si>
  <si>
    <t>Take 16 Brewing Company</t>
  </si>
  <si>
    <t>Luverne</t>
  </si>
  <si>
    <t>Trinity Brewhouse</t>
  </si>
  <si>
    <t>Triton Brewing Company</t>
  </si>
  <si>
    <t>Twin Barns Brewing Company</t>
  </si>
  <si>
    <t>Meredith</t>
  </si>
  <si>
    <t>Untied Brewing Company</t>
  </si>
  <si>
    <t>New Providence</t>
  </si>
  <si>
    <t>SaltFire Brewing Co.</t>
  </si>
  <si>
    <t>Stone Cow Brewery</t>
  </si>
  <si>
    <t>Barre</t>
  </si>
  <si>
    <t>Wolf Brewing Company</t>
  </si>
  <si>
    <t>Mechanicsburg</t>
  </si>
  <si>
    <t>Fredericksburg Brewing Co</t>
  </si>
  <si>
    <t>Mana Brewing</t>
  </si>
  <si>
    <t>New Magnolia Brewing Co</t>
  </si>
  <si>
    <t>Reclaimed Rails Brewing Company</t>
  </si>
  <si>
    <t>Bondurant</t>
  </si>
  <si>
    <t>Cedar Springs Brewing Company</t>
  </si>
  <si>
    <t>No Boat Brewing Company</t>
  </si>
  <si>
    <t>Southern Appalachian Brewery</t>
  </si>
  <si>
    <t>Weathered Ground Brewery</t>
  </si>
  <si>
    <t>Cool Ridge</t>
  </si>
  <si>
    <t>Housatonic River Brewing</t>
  </si>
  <si>
    <t>New Milford</t>
  </si>
  <si>
    <t>Upright Brewing Co</t>
  </si>
  <si>
    <t>Mickey Finns Brewery</t>
  </si>
  <si>
    <t>Libertyville</t>
  </si>
  <si>
    <t>District 1 Brewing Company</t>
  </si>
  <si>
    <t>LTD Brewery</t>
  </si>
  <si>
    <t>Hopkins</t>
  </si>
  <si>
    <t>Elk River</t>
  </si>
  <si>
    <t>Printer's Ale Manufacturing Company</t>
  </si>
  <si>
    <t>Sherman Street Beer Company</t>
  </si>
  <si>
    <t>Cannonball Creek Brewing Co</t>
  </si>
  <si>
    <t>Panther Island Brewing</t>
  </si>
  <si>
    <t>Saco River Brewing</t>
  </si>
  <si>
    <t>Fryeburg</t>
  </si>
  <si>
    <t>Chicago Brewing Co. - NV</t>
  </si>
  <si>
    <t>Copper Kettle Brewing Company</t>
  </si>
  <si>
    <t>Duncan</t>
  </si>
  <si>
    <t>Morgantown Brewing Company</t>
  </si>
  <si>
    <t>Morgantown</t>
  </si>
  <si>
    <t>Climax Brewing Co</t>
  </si>
  <si>
    <t>Roselle Park</t>
  </si>
  <si>
    <t>Double Clutch Brewing Company</t>
  </si>
  <si>
    <t>Hidden Sands Brewing Company, LLC</t>
  </si>
  <si>
    <t>EGG HBR TWP</t>
  </si>
  <si>
    <t>Pinelands Brewing</t>
  </si>
  <si>
    <t>Smith &amp; Lentz Brewing</t>
  </si>
  <si>
    <t>Barley's Brewing Company (Ale House No. 1)</t>
  </si>
  <si>
    <t>Uncommon Loon Brewing Company</t>
  </si>
  <si>
    <t>Chisago City</t>
  </si>
  <si>
    <t>Steam Bell Beer Works</t>
  </si>
  <si>
    <t>Midlothian</t>
  </si>
  <si>
    <t>Brewport Brewing Co</t>
  </si>
  <si>
    <t>Bridgeport</t>
  </si>
  <si>
    <t>Sound2Summit Brewery</t>
  </si>
  <si>
    <t>Snohomish</t>
  </si>
  <si>
    <t>Swan Brewing</t>
  </si>
  <si>
    <t>Lakeland</t>
  </si>
  <si>
    <t>Uprise Brewing Company</t>
  </si>
  <si>
    <t>Durty Bull Brewing Co.</t>
  </si>
  <si>
    <t>Nantahala Brewing Co</t>
  </si>
  <si>
    <t>Bryson City</t>
  </si>
  <si>
    <t>Nickelpoint Brewing Co</t>
  </si>
  <si>
    <t>Obec Brewing</t>
  </si>
  <si>
    <t>R&amp;D Brewing</t>
  </si>
  <si>
    <t>Saint Patrick's Brewing Company</t>
  </si>
  <si>
    <t>Zebulon Artisan Ales</t>
  </si>
  <si>
    <t>Weaverville</t>
  </si>
  <si>
    <t>Brindle Haus Brewing Company</t>
  </si>
  <si>
    <t>Spencerport</t>
  </si>
  <si>
    <t>Boathouse Brothers Brewing Co</t>
  </si>
  <si>
    <t>Prior Lake</t>
  </si>
  <si>
    <t>McCall Collective Brewing</t>
  </si>
  <si>
    <t>Buck Wild Brewing</t>
  </si>
  <si>
    <t>Bold Republic Brewing Company</t>
  </si>
  <si>
    <t>Temple</t>
  </si>
  <si>
    <t>Shakopee Brewhall</t>
  </si>
  <si>
    <t>Trickster's Brewing Company</t>
  </si>
  <si>
    <t>Coeur D Alene</t>
  </si>
  <si>
    <t>Buck Bald Brewing Corporation</t>
  </si>
  <si>
    <t>Copperhill</t>
  </si>
  <si>
    <t>Public Coast Brewing Co.</t>
  </si>
  <si>
    <t>Cannon Beach</t>
  </si>
  <si>
    <t>Roundhouse Brewery</t>
  </si>
  <si>
    <t>Nisswa</t>
  </si>
  <si>
    <t>Alosta Brewing Co</t>
  </si>
  <si>
    <t>Berwick Brewing Co</t>
  </si>
  <si>
    <t>Berwick</t>
  </si>
  <si>
    <t>Hop Farm Brewing Company</t>
  </si>
  <si>
    <t>Marto Brewing Co.</t>
  </si>
  <si>
    <t>Sioux City</t>
  </si>
  <si>
    <t>Glacier Brewing Co</t>
  </si>
  <si>
    <t>Polson</t>
  </si>
  <si>
    <t>NEFF Brewing LLC</t>
  </si>
  <si>
    <t>Brickfield Brewing</t>
  </si>
  <si>
    <t>Grantsburg</t>
  </si>
  <si>
    <t>Casual Animal</t>
  </si>
  <si>
    <t>Frequentem Brewing Co.</t>
  </si>
  <si>
    <t>White Rock Alehouse &amp; Brewery</t>
  </si>
  <si>
    <t>Rancho Santa Margarita</t>
  </si>
  <si>
    <t>Neck of the Woods Brewing Company</t>
  </si>
  <si>
    <t>Pitman</t>
  </si>
  <si>
    <t>Northampton Brewery</t>
  </si>
  <si>
    <t>Brewery Emperial</t>
  </si>
  <si>
    <t>Klockow Brewing Company</t>
  </si>
  <si>
    <t>Bavarian Bierhaus</t>
  </si>
  <si>
    <t>Grand Central Brewhouse</t>
  </si>
  <si>
    <t>Roadmap Brewing Co</t>
  </si>
  <si>
    <t>Alma Mader Brewing</t>
  </si>
  <si>
    <t>Frogtown Brewery</t>
  </si>
  <si>
    <t>Southend Brewing Co.</t>
  </si>
  <si>
    <t>Mountain Rambler Brewery</t>
  </si>
  <si>
    <t>Bishop</t>
  </si>
  <si>
    <t>Danville Brewing Company</t>
  </si>
  <si>
    <t>Danville</t>
  </si>
  <si>
    <t>Gathering Place Brewing Company</t>
  </si>
  <si>
    <t>Dockside Brewery, LLC</t>
  </si>
  <si>
    <t>Sturdy Shelter Brewing LLC</t>
  </si>
  <si>
    <t>Gunpowder Falls Brewing Co</t>
  </si>
  <si>
    <t>New Freedom</t>
  </si>
  <si>
    <t>Kelsen Brewing Company</t>
  </si>
  <si>
    <t>Derry</t>
  </si>
  <si>
    <t>Strangebird Beer</t>
  </si>
  <si>
    <t>Dionysus Brewing Co.</t>
  </si>
  <si>
    <t>Embolden Beer Company</t>
  </si>
  <si>
    <t>Eureka Brewing Company</t>
  </si>
  <si>
    <t>Gardena</t>
  </si>
  <si>
    <t>FreeWheel Brewing Co</t>
  </si>
  <si>
    <t>Redwood City</t>
  </si>
  <si>
    <t>Line 51 Brewing</t>
  </si>
  <si>
    <t>Depot Street Brewing Co</t>
  </si>
  <si>
    <t>Jonesborough</t>
  </si>
  <si>
    <t>Sterling Street Brewery</t>
  </si>
  <si>
    <t>Clinton</t>
  </si>
  <si>
    <t>The Peddler</t>
  </si>
  <si>
    <t>Huntington</t>
  </si>
  <si>
    <t>1718 Brewing-Ocracoke</t>
  </si>
  <si>
    <t>Ocracoke</t>
  </si>
  <si>
    <t>Beards Brewery</t>
  </si>
  <si>
    <t>Brewjeria Company</t>
  </si>
  <si>
    <t>Pico Rivera</t>
  </si>
  <si>
    <t>Downshift Brewing Company</t>
  </si>
  <si>
    <t>Ruidoso</t>
  </si>
  <si>
    <t>Labyrinth Brewing Company</t>
  </si>
  <si>
    <t>Stonehome Brewing Company</t>
  </si>
  <si>
    <t>Watford City</t>
  </si>
  <si>
    <t>Tribute Brewing Co</t>
  </si>
  <si>
    <t>Eagle River</t>
  </si>
  <si>
    <t>Vaulted Oak Brewing</t>
  </si>
  <si>
    <t>Bombs Away Beer Company</t>
  </si>
  <si>
    <t>Horsefly Brewing Co</t>
  </si>
  <si>
    <t>Montrose</t>
  </si>
  <si>
    <t>Pro Re Nata Brewery</t>
  </si>
  <si>
    <t>Great Falls Brewing Company</t>
  </si>
  <si>
    <t>North Canaan</t>
  </si>
  <si>
    <t>Loma Brewing Company</t>
  </si>
  <si>
    <t>Los Gatos</t>
  </si>
  <si>
    <t>Crying Eagle Brewing Company</t>
  </si>
  <si>
    <t>Lake Charles</t>
  </si>
  <si>
    <t>King Canary Brewing Company</t>
  </si>
  <si>
    <t>Dynasty Brewing Company</t>
  </si>
  <si>
    <t>LazyG Brewhouse</t>
  </si>
  <si>
    <t>Prescott</t>
  </si>
  <si>
    <t>Six Rivers Brewery</t>
  </si>
  <si>
    <t>McKinleyville</t>
  </si>
  <si>
    <t>Steeltank Brewing Co</t>
  </si>
  <si>
    <t>Oconomowoc</t>
  </si>
  <si>
    <t>Swamp Rabbit Brewery and Taproom</t>
  </si>
  <si>
    <t>Travelers Rest</t>
  </si>
  <si>
    <t>Twin Sisters Brewing Company</t>
  </si>
  <si>
    <t>Black &amp; Gray Brewing Co.</t>
  </si>
  <si>
    <t>East Dundee</t>
  </si>
  <si>
    <t>Monk's Cellar</t>
  </si>
  <si>
    <t>Roseville</t>
  </si>
  <si>
    <t>Flat Branch Pub and Brewing</t>
  </si>
  <si>
    <t>Glenmere Brewing Co, Inc</t>
  </si>
  <si>
    <t>Katabatic Brewing Co</t>
  </si>
  <si>
    <t>SouthNorte Beer Co.</t>
  </si>
  <si>
    <t>Tarantula Hill Brewing Co</t>
  </si>
  <si>
    <t>Thousand Oaks</t>
  </si>
  <si>
    <t>Eudora Brewing Co</t>
  </si>
  <si>
    <t>Rickety Cricket Brewing</t>
  </si>
  <si>
    <t>Kingman</t>
  </si>
  <si>
    <t>Peak View Brewing</t>
  </si>
  <si>
    <t>Unified Beerworks</t>
  </si>
  <si>
    <t>MALTA</t>
  </si>
  <si>
    <t>Bulldog Brewing</t>
  </si>
  <si>
    <t>Whiting</t>
  </si>
  <si>
    <t>Paradise Creek Brewery</t>
  </si>
  <si>
    <t>Pullman</t>
  </si>
  <si>
    <t>Broomtail Craft Brewery</t>
  </si>
  <si>
    <t>Sig Brewing Company</t>
  </si>
  <si>
    <t>Attic Brewing Company</t>
  </si>
  <si>
    <t>Hideaway Park Brewery</t>
  </si>
  <si>
    <t>Winter Park</t>
  </si>
  <si>
    <t>Tideland Brewing</t>
  </si>
  <si>
    <t>Birmingham District Brewing Company</t>
  </si>
  <si>
    <t>Cloudcroft Brewing Company</t>
  </si>
  <si>
    <t>Cloudcroft</t>
  </si>
  <si>
    <t>Hoptown Brewing Company</t>
  </si>
  <si>
    <t>Maize Valley Craft Brewery</t>
  </si>
  <si>
    <t>Hartville</t>
  </si>
  <si>
    <t>Pleasure House Brewing</t>
  </si>
  <si>
    <t>Readington Brewery &amp; Hop Farm</t>
  </si>
  <si>
    <t>Neshanic Station</t>
  </si>
  <si>
    <t>Weekend Beer Company</t>
  </si>
  <si>
    <t>Iechyd Da Brewing</t>
  </si>
  <si>
    <t>Elkhart</t>
  </si>
  <si>
    <t>Slate Farm Brewery</t>
  </si>
  <si>
    <t>Whiteford</t>
  </si>
  <si>
    <t>The Glass Jug Beer Lab</t>
  </si>
  <si>
    <t>Brewfinity Brewing Co</t>
  </si>
  <si>
    <t>Sacrament Brewing</t>
  </si>
  <si>
    <t>Big Time Brewery</t>
  </si>
  <si>
    <t>Red River Brewing Company</t>
  </si>
  <si>
    <t>Red River</t>
  </si>
  <si>
    <t>Red Silo Brewing Co</t>
  </si>
  <si>
    <t>Cookeville</t>
  </si>
  <si>
    <t>The Ravenous Pig Brewing Co.</t>
  </si>
  <si>
    <t>Horseheads Brewing</t>
  </si>
  <si>
    <t>Horseheads</t>
  </si>
  <si>
    <t>St. Joseph Brewery &amp; Public House</t>
  </si>
  <si>
    <t>Oswego</t>
  </si>
  <si>
    <t>Random Row Brewing Co.</t>
  </si>
  <si>
    <t>22 Northmen Brewing Company</t>
  </si>
  <si>
    <t>Brau Brothers Brewing Co</t>
  </si>
  <si>
    <t>Marshall</t>
  </si>
  <si>
    <t>Desert Edge Brewery</t>
  </si>
  <si>
    <t>Aurellias Bottle Shop and Brewhouse</t>
  </si>
  <si>
    <t>Evil Horse Brewing Company, LLC</t>
  </si>
  <si>
    <t>Crete</t>
  </si>
  <si>
    <t>Archival Brewing</t>
  </si>
  <si>
    <t>Belmont</t>
  </si>
  <si>
    <t>Fife Street Brewing</t>
  </si>
  <si>
    <t>Longtab Brewing Company LLC</t>
  </si>
  <si>
    <t>Triple Bottom Brewing Company</t>
  </si>
  <si>
    <t>Eli Fish Brewing Company</t>
  </si>
  <si>
    <t>Roaring Table Brewing</t>
  </si>
  <si>
    <t>Sew Hop'd Brewery LLC</t>
  </si>
  <si>
    <t>Tradesman Brewing Company</t>
  </si>
  <si>
    <t>Arkane Aleworks</t>
  </si>
  <si>
    <t>Big Elm Brewing</t>
  </si>
  <si>
    <t>Sheffield</t>
  </si>
  <si>
    <t>Cannon Brewpub</t>
  </si>
  <si>
    <t>Divots Brewery</t>
  </si>
  <si>
    <t>Liambru Tasty LLC</t>
  </si>
  <si>
    <t>Proctor</t>
  </si>
  <si>
    <t>Marzoni's Brick Oven and Brewery</t>
  </si>
  <si>
    <t>Duncansville</t>
  </si>
  <si>
    <t>Oden Brewing Company</t>
  </si>
  <si>
    <t>Salish Sea Brewing Company</t>
  </si>
  <si>
    <t>Edmonds</t>
  </si>
  <si>
    <t>Stone Church Brewing</t>
  </si>
  <si>
    <t>Woodbury Brewing Company</t>
  </si>
  <si>
    <t>Burwood Brewing Company</t>
  </si>
  <si>
    <t>Walla Walla</t>
  </si>
  <si>
    <t>Denton County Brewing Company</t>
  </si>
  <si>
    <t>Denton</t>
  </si>
  <si>
    <t>Orange Hat Brewing Company</t>
  </si>
  <si>
    <t>Stumptown Ales</t>
  </si>
  <si>
    <t>WAR WATER BREWERY</t>
  </si>
  <si>
    <t>Saint Clair</t>
  </si>
  <si>
    <t>Kinney Creek Brewery</t>
  </si>
  <si>
    <t>Western Red Brewing</t>
  </si>
  <si>
    <t>Britesmith Brewing</t>
  </si>
  <si>
    <t>IMBIB Custom Brews</t>
  </si>
  <si>
    <t>Koehler Brewing Co</t>
  </si>
  <si>
    <t>Grove City</t>
  </si>
  <si>
    <t>Mortalis Brewing Company</t>
  </si>
  <si>
    <t>Berkley Beer Company</t>
  </si>
  <si>
    <t>Taunton</t>
  </si>
  <si>
    <t>John S. Rhodell Brewery</t>
  </si>
  <si>
    <t>Yampa Valley Brewing Company</t>
  </si>
  <si>
    <t>Hayden</t>
  </si>
  <si>
    <t>Cowiche Creek Brewing Company</t>
  </si>
  <si>
    <t>Medusa Brewing Company</t>
  </si>
  <si>
    <t>Montgomery Brewing Company</t>
  </si>
  <si>
    <t>Eleven Lakes Brewing Company</t>
  </si>
  <si>
    <t>Last Flight Brewing Company</t>
  </si>
  <si>
    <t>Jefferson City</t>
  </si>
  <si>
    <t>Port Townsend Brewing Co</t>
  </si>
  <si>
    <t>Port Townsend</t>
  </si>
  <si>
    <t>Cortland Beer Company</t>
  </si>
  <si>
    <t>Cortland</t>
  </si>
  <si>
    <t>Double Stamp Brewery</t>
  </si>
  <si>
    <t>Glenwood Canyon Brewing Company</t>
  </si>
  <si>
    <t>Glenwood Springs</t>
  </si>
  <si>
    <t>Lowercase Brewing</t>
  </si>
  <si>
    <t>Mountain Tap Brewery</t>
  </si>
  <si>
    <t>Enchanted Circle Brewing Company</t>
  </si>
  <si>
    <t>Angel Fire</t>
  </si>
  <si>
    <t>King Cong Brewing Company</t>
  </si>
  <si>
    <t>Savage Brewing Company</t>
  </si>
  <si>
    <t>Soundgrowler Brewing Co.</t>
  </si>
  <si>
    <t>Vibrissa Beer</t>
  </si>
  <si>
    <t>Front Royal</t>
  </si>
  <si>
    <t>Broken Clock Brewing Cooperative</t>
  </si>
  <si>
    <t>De Bine Brewing Company</t>
  </si>
  <si>
    <t>Palm Harbor</t>
  </si>
  <si>
    <t>Ironmonger Brewing</t>
  </si>
  <si>
    <t>Pitt Street Brewing Company</t>
  </si>
  <si>
    <t>VisionQuest Brewing Company</t>
  </si>
  <si>
    <t>From The Earth Brewing Company</t>
  </si>
  <si>
    <t>Ignite Brewing Company, Ltd.</t>
  </si>
  <si>
    <t>Lookout Brewing Company</t>
  </si>
  <si>
    <t>Scotty's Bierwerks</t>
  </si>
  <si>
    <t>Cape Coral</t>
  </si>
  <si>
    <t>Three Tigers Brewing Company</t>
  </si>
  <si>
    <t>Granville</t>
  </si>
  <si>
    <t>Vantage Point Brewing Company</t>
  </si>
  <si>
    <t>Invasive Species Brewing</t>
  </si>
  <si>
    <t>Oak Cliff Brewing Co</t>
  </si>
  <si>
    <t>Rainbow Hills Winery, Brewpub &amp; Pizzeria</t>
  </si>
  <si>
    <t>Newcomerstown</t>
  </si>
  <si>
    <t>Whittier Brewing Company</t>
  </si>
  <si>
    <t>Whittier</t>
  </si>
  <si>
    <t>Naked Brewing Co</t>
  </si>
  <si>
    <t>Huntingdon Valley</t>
  </si>
  <si>
    <t>Natchez Brewing Co</t>
  </si>
  <si>
    <t>Natchez</t>
  </si>
  <si>
    <t>Ill Mannered Brewing Company</t>
  </si>
  <si>
    <t>Pedals &amp; Pints Brewing Company</t>
  </si>
  <si>
    <t>Canned Heat Craft Beer Company</t>
  </si>
  <si>
    <t>Fall River</t>
  </si>
  <si>
    <t>Fulton Chain Craft Brewery</t>
  </si>
  <si>
    <t>old forge</t>
  </si>
  <si>
    <t>Wood Kettle Brewing</t>
  </si>
  <si>
    <t>Hilton</t>
  </si>
  <si>
    <t>Zambaldi Beer</t>
  </si>
  <si>
    <t>Big Truck Brewery</t>
  </si>
  <si>
    <t>Parkton</t>
  </si>
  <si>
    <t>ODD Muse Brewing</t>
  </si>
  <si>
    <t>Old Black Bear Brewing</t>
  </si>
  <si>
    <t>Smelter City Brewing</t>
  </si>
  <si>
    <t>Anaconda</t>
  </si>
  <si>
    <t>South Main Brewing</t>
  </si>
  <si>
    <t>Watkinsville</t>
  </si>
  <si>
    <t>Coastal Fermentory</t>
  </si>
  <si>
    <t>Harbor Brewing Company</t>
  </si>
  <si>
    <t>Lake Villa</t>
  </si>
  <si>
    <t>Lazy Beach Brewing</t>
  </si>
  <si>
    <t>Corpus Christi</t>
  </si>
  <si>
    <t>Corn Coast Brewing</t>
  </si>
  <si>
    <t>Hansa Brewery</t>
  </si>
  <si>
    <t>Hermosa Brewing Company</t>
  </si>
  <si>
    <t>Southernside Brewing</t>
  </si>
  <si>
    <t>Airline Brewing Company</t>
  </si>
  <si>
    <t>BarrieHaus Beer Co.</t>
  </si>
  <si>
    <t>Coastal Mass Brewing</t>
  </si>
  <si>
    <t>Beverly</t>
  </si>
  <si>
    <t>FlyteCo Brewing</t>
  </si>
  <si>
    <t>Formula Brewing</t>
  </si>
  <si>
    <t>Issaquah</t>
  </si>
  <si>
    <t>Indigo Reef Brewing Company</t>
  </si>
  <si>
    <t>South By Southeast Brewing Company</t>
  </si>
  <si>
    <t>Pine Island</t>
  </si>
  <si>
    <t>Wooden Cask Brewing Company</t>
  </si>
  <si>
    <t>Baffin Brewing Co</t>
  </si>
  <si>
    <t>Saint Clair Shores</t>
  </si>
  <si>
    <t>B.C. Brewery</t>
  </si>
  <si>
    <t>Hunt Valley</t>
  </si>
  <si>
    <t>Base Camp Beer Works</t>
  </si>
  <si>
    <t>Conclave Brewing</t>
  </si>
  <si>
    <t>Crawford Brew Works - Bettendorf Iowa</t>
  </si>
  <si>
    <t>Moniker Brewery</t>
  </si>
  <si>
    <t>Ravenna Brewing Company</t>
  </si>
  <si>
    <t>The Dreamchaser's Brewery</t>
  </si>
  <si>
    <t>Waxhaw</t>
  </si>
  <si>
    <t>Three Forks Bakery &amp; Brewing Company</t>
  </si>
  <si>
    <t>Nevada City</t>
  </si>
  <si>
    <t>Cape Charles Brewing Company</t>
  </si>
  <si>
    <t>Cape Charles</t>
  </si>
  <si>
    <t>Coven Brewing</t>
  </si>
  <si>
    <t>Newport Brewing Company</t>
  </si>
  <si>
    <t>Folsom</t>
  </si>
  <si>
    <t>Santiam Brewing Co</t>
  </si>
  <si>
    <t>Transmitter Brewing</t>
  </si>
  <si>
    <t>Triphammer Bierwerks</t>
  </si>
  <si>
    <t>Fairport</t>
  </si>
  <si>
    <t>Bullfinch Brewpub</t>
  </si>
  <si>
    <t>Mountain Town Brewing Co</t>
  </si>
  <si>
    <t>Big Barn Brewing Co / Bodacious Berries Fruits and Brews</t>
  </si>
  <si>
    <t>Mead</t>
  </si>
  <si>
    <t>Eventide Brewing Co</t>
  </si>
  <si>
    <t>29 Brews</t>
  </si>
  <si>
    <t>Coachella</t>
  </si>
  <si>
    <t>Big Texan Brewery</t>
  </si>
  <si>
    <t>Birthright Brewing Co.</t>
  </si>
  <si>
    <t>Nazareth</t>
  </si>
  <si>
    <t>Company Brewing</t>
  </si>
  <si>
    <t>Prohibition Pig</t>
  </si>
  <si>
    <t>Sisu Brewing Company</t>
  </si>
  <si>
    <t>Twisted Rail Brewing Company</t>
  </si>
  <si>
    <t>Abridged Beer Company</t>
  </si>
  <si>
    <t>Black Hat Brew Works</t>
  </si>
  <si>
    <t>Bridgewater</t>
  </si>
  <si>
    <t>Blackwater Draw Brewing Company</t>
  </si>
  <si>
    <t>Bryan</t>
  </si>
  <si>
    <t>Half Door Brewing Company</t>
  </si>
  <si>
    <t>Market Street Brewing Co</t>
  </si>
  <si>
    <t>Corning</t>
  </si>
  <si>
    <t>Oddwood Ales, LLC</t>
  </si>
  <si>
    <t>Three Blondes Brewing</t>
  </si>
  <si>
    <t>South Haven</t>
  </si>
  <si>
    <t>Tucked Away Brewing</t>
  </si>
  <si>
    <t>Back Street Brewery/Lamppost Pizza - Corporate Office</t>
  </si>
  <si>
    <t>Bridge Brew Works</t>
  </si>
  <si>
    <t>California Coast Beer Co.</t>
  </si>
  <si>
    <t>Chestnut Brew Works</t>
  </si>
  <si>
    <t>Miner Brewing Co</t>
  </si>
  <si>
    <t>Hill City</t>
  </si>
  <si>
    <t>Collusion Tap Works</t>
  </si>
  <si>
    <t>Lafayette Brewing Co</t>
  </si>
  <si>
    <t>Missouri River Brewing Company</t>
  </si>
  <si>
    <t>East Helena</t>
  </si>
  <si>
    <t>Moerlein Lager House</t>
  </si>
  <si>
    <t>Reckless Shepherd</t>
  </si>
  <si>
    <t>Slow Play Brewing</t>
  </si>
  <si>
    <t>Sign of the Horse Brewery</t>
  </si>
  <si>
    <t>Juniper Brewing Company</t>
  </si>
  <si>
    <t>Bowling Green</t>
  </si>
  <si>
    <t>Old Armor Beer Company</t>
  </si>
  <si>
    <t>Kannapolis</t>
  </si>
  <si>
    <t>Wooden Ship Brewing Company</t>
  </si>
  <si>
    <t>Earth Eagle Brewing</t>
  </si>
  <si>
    <t>Henmick Farm &amp; Brewery</t>
  </si>
  <si>
    <t>Silver Spruce Brewing Company</t>
  </si>
  <si>
    <t>The Lone Girl Brewing Company</t>
  </si>
  <si>
    <t>Wayward Lane Brewing</t>
  </si>
  <si>
    <t>Schoharie</t>
  </si>
  <si>
    <t>1st Republic Brewing Co</t>
  </si>
  <si>
    <t>Essex Junction</t>
  </si>
  <si>
    <t>Astronomy Aleworks</t>
  </si>
  <si>
    <t>Petskull Brewing Company LLC</t>
  </si>
  <si>
    <t>Manitowoc</t>
  </si>
  <si>
    <t>Wooly Pig Farm Brewery</t>
  </si>
  <si>
    <t>Santa Fe Dining</t>
  </si>
  <si>
    <t>Fair Isle Brewing</t>
  </si>
  <si>
    <t>Little Red Barn Brewing</t>
  </si>
  <si>
    <t>Winsted</t>
  </si>
  <si>
    <t>Little Toad Creek Brewery &amp; Distillery</t>
  </si>
  <si>
    <t>Silver City</t>
  </si>
  <si>
    <t>Night Lizard Brewing Company</t>
  </si>
  <si>
    <t>Allegheny City Brewing</t>
  </si>
  <si>
    <t>The Brewlab</t>
  </si>
  <si>
    <t>Mt. Pleasant</t>
  </si>
  <si>
    <t>Tri City Brewing Co</t>
  </si>
  <si>
    <t>Bay City</t>
  </si>
  <si>
    <t>Country Club Brewing</t>
  </si>
  <si>
    <t>Lucette Brewing Company</t>
  </si>
  <si>
    <t>Menomonie</t>
  </si>
  <si>
    <t>Carver Brewing Co</t>
  </si>
  <si>
    <t>Rockwell Brewery</t>
  </si>
  <si>
    <t>Fidens Brewing</t>
  </si>
  <si>
    <t>New English Brewing Co Inc</t>
  </si>
  <si>
    <t>Nothing's Left Brewing Co</t>
  </si>
  <si>
    <t>Validation Ale</t>
  </si>
  <si>
    <t>Downhill Brewing</t>
  </si>
  <si>
    <t>Parker</t>
  </si>
  <si>
    <t>Elgin Park Brewery</t>
  </si>
  <si>
    <t>The Answer Brewpub</t>
  </si>
  <si>
    <t>MoMac Brewing Company</t>
  </si>
  <si>
    <t>Tortugo Brewing Company</t>
  </si>
  <si>
    <t>Gemut Biergarten</t>
  </si>
  <si>
    <t>Home State Brewing Co.</t>
  </si>
  <si>
    <t>Lake Pleasant Brewing Company</t>
  </si>
  <si>
    <t>Hoosier Brewing Company</t>
  </si>
  <si>
    <t>Appleton Beer Factory</t>
  </si>
  <si>
    <t>Red Crow Brewing Company</t>
  </si>
  <si>
    <t>Olathe</t>
  </si>
  <si>
    <t>Strawberry Alley Ale Works</t>
  </si>
  <si>
    <t>Batson River Brewing and Distilling</t>
  </si>
  <si>
    <t>Wells</t>
  </si>
  <si>
    <t>Black Canyon Brewing</t>
  </si>
  <si>
    <t>Emmett</t>
  </si>
  <si>
    <t>Great Marsh Brewing Company</t>
  </si>
  <si>
    <t>Essex</t>
  </si>
  <si>
    <t>Third Wheel Brewing</t>
  </si>
  <si>
    <t>Saint Peters</t>
  </si>
  <si>
    <t>Farmington Brewing Company</t>
  </si>
  <si>
    <t>Two Rivers Brewing Co</t>
  </si>
  <si>
    <t>Camp Colvos Brewing</t>
  </si>
  <si>
    <t>Vashon</t>
  </si>
  <si>
    <t>Drowned Lands Brewery</t>
  </si>
  <si>
    <t>G5 Brewing Company</t>
  </si>
  <si>
    <t>Beloit</t>
  </si>
  <si>
    <t>Mt Tabor Brewing Co</t>
  </si>
  <si>
    <t>Second Wind Brewing Company</t>
  </si>
  <si>
    <t>J.J. Bitting Brewing Co.</t>
  </si>
  <si>
    <t>Common John Brewing Co</t>
  </si>
  <si>
    <t>Dirt Farm Brewing</t>
  </si>
  <si>
    <t>Forbidden Peak Brewery</t>
  </si>
  <si>
    <t>Truth Or Consequences Brewing Company</t>
  </si>
  <si>
    <t>Truth or Consequences</t>
  </si>
  <si>
    <t>Delafield Brewhaus</t>
  </si>
  <si>
    <t>Delafield</t>
  </si>
  <si>
    <t>High Plains Brewing</t>
  </si>
  <si>
    <t>Mt. Rushmore Brewing Company</t>
  </si>
  <si>
    <t>Custer</t>
  </si>
  <si>
    <t>Perry Street Brewing</t>
  </si>
  <si>
    <t>Seminar Brewing</t>
  </si>
  <si>
    <t>WYOld West Brewing Company</t>
  </si>
  <si>
    <t>Contrary Brewing Co</t>
  </si>
  <si>
    <t>Muscatine</t>
  </si>
  <si>
    <t>Manhattan Brewing Company</t>
  </si>
  <si>
    <t>Manhattan</t>
  </si>
  <si>
    <t>Pegasus City Brewery</t>
  </si>
  <si>
    <t>Lolev LLC</t>
  </si>
  <si>
    <t>Penguin City Brewing Company</t>
  </si>
  <si>
    <t>Youngstown</t>
  </si>
  <si>
    <t>Barhop Brewing</t>
  </si>
  <si>
    <t>Port Angeles</t>
  </si>
  <si>
    <t>Elation Brewing</t>
  </si>
  <si>
    <t>Revelation Craft Brewing Co</t>
  </si>
  <si>
    <t>3 Keys Brewing</t>
  </si>
  <si>
    <t>Arbeiter Brewing Company</t>
  </si>
  <si>
    <t>Goshen Brewing Company</t>
  </si>
  <si>
    <t>Goshen</t>
  </si>
  <si>
    <t>Grist Iron Brewing Co.</t>
  </si>
  <si>
    <t>Burdett</t>
  </si>
  <si>
    <t>Grove Roots Brewing Co.</t>
  </si>
  <si>
    <t>Winter Haven</t>
  </si>
  <si>
    <t>Noble Roots Brewing Company</t>
  </si>
  <si>
    <t>Still HIll Brewery LLC</t>
  </si>
  <si>
    <t>Rocky Hill</t>
  </si>
  <si>
    <t>The Garage Brewery</t>
  </si>
  <si>
    <t>Künstler Brewing</t>
  </si>
  <si>
    <t>Lazy Monk Brewing</t>
  </si>
  <si>
    <t>Shanty Shack Brewing</t>
  </si>
  <si>
    <t>Woodfour Brewing Company</t>
  </si>
  <si>
    <t>1852 Brew Co</t>
  </si>
  <si>
    <t>Visalia</t>
  </si>
  <si>
    <t>Akronym Brewing LLC</t>
  </si>
  <si>
    <t>Brock's Gap Brewing Company, LLC</t>
  </si>
  <si>
    <t>Hoover</t>
  </si>
  <si>
    <t>Fredonia Brewery, LLC</t>
  </si>
  <si>
    <t>Nacogdoches</t>
  </si>
  <si>
    <t>HOOTS Beer Co.</t>
  </si>
  <si>
    <t>Jersey Cyclone Brewing</t>
  </si>
  <si>
    <t>Kinslahger Brewing Company</t>
  </si>
  <si>
    <t>Oak Park</t>
  </si>
  <si>
    <t>Kokopelli Beer Company</t>
  </si>
  <si>
    <t>Montclair Brewery</t>
  </si>
  <si>
    <t>Montclair</t>
  </si>
  <si>
    <t>Nevada Brew Works</t>
  </si>
  <si>
    <t>Odd Man Rush Brewing</t>
  </si>
  <si>
    <t>Ouray Brewery</t>
  </si>
  <si>
    <t>Ouray</t>
  </si>
  <si>
    <t>Pretentious Beer Co</t>
  </si>
  <si>
    <t>Rocky Reef Brewing Company</t>
  </si>
  <si>
    <t>Woodruff</t>
  </si>
  <si>
    <t>Rusty Nickel Brewing Co.</t>
  </si>
  <si>
    <t>St. Pete Brewing Company</t>
  </si>
  <si>
    <t>Timnath Beerwerks</t>
  </si>
  <si>
    <t>Timnath</t>
  </si>
  <si>
    <t>Burning Blush Brewery</t>
  </si>
  <si>
    <t>Mills River</t>
  </si>
  <si>
    <t>Crabtree Brewing</t>
  </si>
  <si>
    <t>Echoes Brewing Company</t>
  </si>
  <si>
    <t>Grow Brewing Co.</t>
  </si>
  <si>
    <t>Birravino</t>
  </si>
  <si>
    <t>Red Bank</t>
  </si>
  <si>
    <t>Democracy Brewing</t>
  </si>
  <si>
    <t>Ruby Valley Brew</t>
  </si>
  <si>
    <t>SUCCESSION Fermentory</t>
  </si>
  <si>
    <t>Cochranville</t>
  </si>
  <si>
    <t>Abide Brewing Company</t>
  </si>
  <si>
    <t>Newnan</t>
  </si>
  <si>
    <t>Headless Mumby Brewing Co.</t>
  </si>
  <si>
    <t>Olympia</t>
  </si>
  <si>
    <t>Hudson Brewing Company</t>
  </si>
  <si>
    <t>Kannah Creek Brewing Co</t>
  </si>
  <si>
    <t>Strange Days Brewing Co</t>
  </si>
  <si>
    <t>Hopping Gnome Brewing Company</t>
  </si>
  <si>
    <t>Zillicoah Beer Company</t>
  </si>
  <si>
    <t>Woodfin</t>
  </si>
  <si>
    <t>Four Legs Brewing, LLC</t>
  </si>
  <si>
    <t>Brentwood</t>
  </si>
  <si>
    <t>Great Black Swamp Brewing Co</t>
  </si>
  <si>
    <t>JT Walker's/Champaign County Brewing Co</t>
  </si>
  <si>
    <t>Mahomet</t>
  </si>
  <si>
    <t>Lolo Peak Brewing Company</t>
  </si>
  <si>
    <t>Lolo</t>
  </si>
  <si>
    <t>Roses' Taproom</t>
  </si>
  <si>
    <t>Twisted Pine Brewing Co</t>
  </si>
  <si>
    <t>Wild Air Beerworks</t>
  </si>
  <si>
    <t>Asbury Park</t>
  </si>
  <si>
    <t>Bare Bones Brewery</t>
  </si>
  <si>
    <t>River Siren Brewing Company</t>
  </si>
  <si>
    <t>Stillwater</t>
  </si>
  <si>
    <t>Breaker Brewing Company</t>
  </si>
  <si>
    <t>Kaweah Brewing Co.</t>
  </si>
  <si>
    <t>Tulare</t>
  </si>
  <si>
    <t>Lawless Brewing</t>
  </si>
  <si>
    <t>Ten Bends Beer</t>
  </si>
  <si>
    <t>Hyde Park</t>
  </si>
  <si>
    <t>Buffalo Creek Brewing</t>
  </si>
  <si>
    <t>Long Grove</t>
  </si>
  <si>
    <t>LaGrow Organic Beer Co</t>
  </si>
  <si>
    <t>The Blue Heron Brewery</t>
  </si>
  <si>
    <t>Lost Winds Brewing Company</t>
  </si>
  <si>
    <t>Moontown Brewing Company</t>
  </si>
  <si>
    <t>Whitestown</t>
  </si>
  <si>
    <t>Almost Famous Brewing</t>
  </si>
  <si>
    <t>East Granby</t>
  </si>
  <si>
    <t>Bombing Range Brewing Company</t>
  </si>
  <si>
    <t>Harbor Head Brewing Co</t>
  </si>
  <si>
    <t>Jagged Mountain Brewery</t>
  </si>
  <si>
    <t>North Brewery</t>
  </si>
  <si>
    <t>Endicott</t>
  </si>
  <si>
    <t>Spider Bite Brewing Co</t>
  </si>
  <si>
    <t>Stones Throw Brewery</t>
  </si>
  <si>
    <t>Alpha Brewing Co.</t>
  </si>
  <si>
    <t>Falling Branch Brewery</t>
  </si>
  <si>
    <t>Street</t>
  </si>
  <si>
    <t>Logan Brewing Company</t>
  </si>
  <si>
    <t>Burien</t>
  </si>
  <si>
    <t>Smyrna</t>
  </si>
  <si>
    <t>City Steam Brewery</t>
  </si>
  <si>
    <t>Hartford</t>
  </si>
  <si>
    <t>Dented Keg Brewing Company</t>
  </si>
  <si>
    <t>Mars</t>
  </si>
  <si>
    <t>Fireforge Crafted Beer</t>
  </si>
  <si>
    <t>Rip Van Winkle Brewing Company</t>
  </si>
  <si>
    <t>Schnitz Ale Brewery</t>
  </si>
  <si>
    <t>The Guardian Brewing Company</t>
  </si>
  <si>
    <t>Muncie</t>
  </si>
  <si>
    <t>Groundswell Brewing Co</t>
  </si>
  <si>
    <t>No Worries Brewing Company</t>
  </si>
  <si>
    <t>Hamden</t>
  </si>
  <si>
    <t>Waldmann Brewery</t>
  </si>
  <si>
    <t>Dog Rose Brewing Company</t>
  </si>
  <si>
    <t>Saint Augustine</t>
  </si>
  <si>
    <t>Tactical Brewing Company</t>
  </si>
  <si>
    <t>Cavendish Brewing Company</t>
  </si>
  <si>
    <t>Gastonia</t>
  </si>
  <si>
    <t>Fast Friends Beer Co</t>
  </si>
  <si>
    <t>AUSTIN</t>
  </si>
  <si>
    <t>Final Draft Brewing Company</t>
  </si>
  <si>
    <t>Flashpoint Brewing Company</t>
  </si>
  <si>
    <t>J.J. Ratigan Brewing Company</t>
  </si>
  <si>
    <t>Lake Ann Brewing Co</t>
  </si>
  <si>
    <t>Lake Ann</t>
  </si>
  <si>
    <t>Lassen Ale Works At the Boardroom</t>
  </si>
  <si>
    <t>Susanville</t>
  </si>
  <si>
    <t>Lucky Pigeon Brewing</t>
  </si>
  <si>
    <t>Tilted Mash Brewery</t>
  </si>
  <si>
    <t>Timber Creek Tap &amp; Table</t>
  </si>
  <si>
    <t>Meadville</t>
  </si>
  <si>
    <t>Chula Vista Brewery</t>
  </si>
  <si>
    <t>Gatlin Hall Brewing</t>
  </si>
  <si>
    <t>Half Moon Restaurant &amp; Brewery</t>
  </si>
  <si>
    <t>Kokomo</t>
  </si>
  <si>
    <t>Tallgrass Tap House</t>
  </si>
  <si>
    <t>Copper City Brewing Company</t>
  </si>
  <si>
    <t>Rome</t>
  </si>
  <si>
    <t>Giesenbräu Bier Co LLC</t>
  </si>
  <si>
    <t>New Prague</t>
  </si>
  <si>
    <t>Gruff brewing</t>
  </si>
  <si>
    <t>bellingham</t>
  </si>
  <si>
    <t>Old Klaverack Brewery</t>
  </si>
  <si>
    <t>Three Mile Brewing Co</t>
  </si>
  <si>
    <t>608 Brewing Company</t>
  </si>
  <si>
    <t>Bandon Brewing Company</t>
  </si>
  <si>
    <t>Bandon</t>
  </si>
  <si>
    <t>Big Lost Meadery and Brewery</t>
  </si>
  <si>
    <t>Gillette</t>
  </si>
  <si>
    <t>Quigley's Pint and Plate</t>
  </si>
  <si>
    <t>Pawleys Island</t>
  </si>
  <si>
    <t>Hazelwood Brewing Company</t>
  </si>
  <si>
    <t>The Elizabeth Brewing Company</t>
  </si>
  <si>
    <t>Elizabeth</t>
  </si>
  <si>
    <t>The Empourium Brewing Company</t>
  </si>
  <si>
    <t>Trace Brewing</t>
  </si>
  <si>
    <t>Stodgy Brewing Company</t>
  </si>
  <si>
    <t>Burgh’ers Brewing</t>
  </si>
  <si>
    <t>HiJinx Brewing Company</t>
  </si>
  <si>
    <t>Lanikai Brewing Co</t>
  </si>
  <si>
    <t>Kailua</t>
  </si>
  <si>
    <t>Props Brewery</t>
  </si>
  <si>
    <t>Fort Walton Beach</t>
  </si>
  <si>
    <t>Black Flannel Brewing Company</t>
  </si>
  <si>
    <t>Six Harbors Brewing Company</t>
  </si>
  <si>
    <t>District 96 Beer Factory</t>
  </si>
  <si>
    <t>New City</t>
  </si>
  <si>
    <t>Huske Hardware House Brewing Co</t>
  </si>
  <si>
    <t>Over Yonder Brewing Company</t>
  </si>
  <si>
    <t>Round Guys Brewing Co</t>
  </si>
  <si>
    <t>Tie &amp; Timber Beer Co.</t>
  </si>
  <si>
    <t>Tin Barn Brewery</t>
  </si>
  <si>
    <t>Azusa</t>
  </si>
  <si>
    <t>Fat Pants Brewing Co.</t>
  </si>
  <si>
    <t>Eden Prairie</t>
  </si>
  <si>
    <t>Side Gate Brewery &amp; Beer Garden</t>
  </si>
  <si>
    <t>Tripelroot</t>
  </si>
  <si>
    <t>Zeeland</t>
  </si>
  <si>
    <t>Berthoud Brewing Company</t>
  </si>
  <si>
    <t>Big Thompson Brewery</t>
  </si>
  <si>
    <t>Los Molinos Beer Company</t>
  </si>
  <si>
    <t>Nomadic Beerworks</t>
  </si>
  <si>
    <t>San Luis Valley Brewing Co</t>
  </si>
  <si>
    <t>Alamosa</t>
  </si>
  <si>
    <t>Artisan's Brewery &amp; Italian Grill</t>
  </si>
  <si>
    <t>Balter Beerworks</t>
  </si>
  <si>
    <t>Cabinet Mountain Brewing Co</t>
  </si>
  <si>
    <t>Libby</t>
  </si>
  <si>
    <t>Clocktown Brewing Co.</t>
  </si>
  <si>
    <t>Thomaston</t>
  </si>
  <si>
    <t>Deadwords Brewing Co.</t>
  </si>
  <si>
    <t>Hubbleton Brewing Company</t>
  </si>
  <si>
    <t>South Beach Brewing Company</t>
  </si>
  <si>
    <t>Talking Waters Brewing Co.</t>
  </si>
  <si>
    <t>Montevideo</t>
  </si>
  <si>
    <t>Wolves &amp; People Farmhouse Brewery</t>
  </si>
  <si>
    <t>Newberg</t>
  </si>
  <si>
    <t>Armed Forces Brewing Company</t>
  </si>
  <si>
    <t>Bunnyman Brewing</t>
  </si>
  <si>
    <t>Armistice Brewing Company</t>
  </si>
  <si>
    <t>Mathews Brewing Company</t>
  </si>
  <si>
    <t>Lake Worth</t>
  </si>
  <si>
    <t>Ology Brewing Co</t>
  </si>
  <si>
    <t>Quinn Brewing Company</t>
  </si>
  <si>
    <t>Irwin</t>
  </si>
  <si>
    <t>Three Rings Brewery</t>
  </si>
  <si>
    <t>McPherson</t>
  </si>
  <si>
    <t>Willow Rock Brewing Company</t>
  </si>
  <si>
    <t>Artisanal Brew Works</t>
  </si>
  <si>
    <t>Saratoga Springs</t>
  </si>
  <si>
    <t>Beaver Creek Brewery</t>
  </si>
  <si>
    <t>Wibaux</t>
  </si>
  <si>
    <t>The Craft Of Brewing</t>
  </si>
  <si>
    <t>BareWolf Brewing</t>
  </si>
  <si>
    <t>Amesbury</t>
  </si>
  <si>
    <t>Natural State Beer Company</t>
  </si>
  <si>
    <t>Beer Creek Brewing Co</t>
  </si>
  <si>
    <t>Desperate Times Brewery LLC</t>
  </si>
  <si>
    <t>Klaus Brewing Company</t>
  </si>
  <si>
    <t>Nortons Brewing Co.</t>
  </si>
  <si>
    <t>Jamesport Farm Brewery</t>
  </si>
  <si>
    <t>Stone's Throw Brewing</t>
  </si>
  <si>
    <t>Five Window Beer Co</t>
  </si>
  <si>
    <t>Grand Junction Brewing Co</t>
  </si>
  <si>
    <t>Westfield</t>
  </si>
  <si>
    <t>Hugger Mugger Brewing Company</t>
  </si>
  <si>
    <t>LA Bodega Brewing Co</t>
  </si>
  <si>
    <t>Miel Brewery &amp; Taproom</t>
  </si>
  <si>
    <t>Pocono Brewery Company</t>
  </si>
  <si>
    <t>Swiftwater</t>
  </si>
  <si>
    <t>RockPit Brewing</t>
  </si>
  <si>
    <t>San Diego Brewing Co</t>
  </si>
  <si>
    <t>Waypost Brewing Co.</t>
  </si>
  <si>
    <t>Fennville</t>
  </si>
  <si>
    <t>Birch's On the Lake</t>
  </si>
  <si>
    <t>Long Lake</t>
  </si>
  <si>
    <t>Flood Zone Brewery</t>
  </si>
  <si>
    <t>Union Bridge</t>
  </si>
  <si>
    <t>Lucky 19 Brewing Company</t>
  </si>
  <si>
    <t>Main Street Brewing Inc/Turonis Pizza</t>
  </si>
  <si>
    <t>Evansville</t>
  </si>
  <si>
    <t>Walking Stick Brewing Company</t>
  </si>
  <si>
    <t>1912 Brewing</t>
  </si>
  <si>
    <t>Brink Brewing Company</t>
  </si>
  <si>
    <t>Galena Brewery</t>
  </si>
  <si>
    <t>Galena</t>
  </si>
  <si>
    <t>Kernersville</t>
  </si>
  <si>
    <t>Lake Bluff Brewing Company</t>
  </si>
  <si>
    <t>Lake Bluff</t>
  </si>
  <si>
    <t>Recon Brewing</t>
  </si>
  <si>
    <t>Robin Hood Brewing Co</t>
  </si>
  <si>
    <t>Terramar</t>
  </si>
  <si>
    <t>Bow</t>
  </si>
  <si>
    <t>Yachats Brewing</t>
  </si>
  <si>
    <t>Yachats</t>
  </si>
  <si>
    <t>Bottle Rocket Brewing Co</t>
  </si>
  <si>
    <t>Seward</t>
  </si>
  <si>
    <t>Maple Branch Craft Brewery</t>
  </si>
  <si>
    <t>Swiftwater Brewing Company</t>
  </si>
  <si>
    <t>Battle Born® Beer</t>
  </si>
  <si>
    <t>Bickersons Brewhouse</t>
  </si>
  <si>
    <t>Renton</t>
  </si>
  <si>
    <t>Dying Breed Brewing</t>
  </si>
  <si>
    <t>Oakdale</t>
  </si>
  <si>
    <t>Leaven Brewing Co.</t>
  </si>
  <si>
    <t>Riverview</t>
  </si>
  <si>
    <t>Sawmill Brewing Co</t>
  </si>
  <si>
    <t>Merrill</t>
  </si>
  <si>
    <t>Southern Hops Brewing Co.</t>
  </si>
  <si>
    <t>Brewcaipa Brewing Co</t>
  </si>
  <si>
    <t>Yucaipa</t>
  </si>
  <si>
    <t>Frenzy Brewing Company</t>
  </si>
  <si>
    <t>Edmond</t>
  </si>
  <si>
    <t>Gift Horse Brewing Company</t>
  </si>
  <si>
    <t>Kairoa Brewing Company</t>
  </si>
  <si>
    <t>Angry Scotsman Brewing</t>
  </si>
  <si>
    <t>Brewer's Alley Restaurant and Brewery</t>
  </si>
  <si>
    <t>Good Liquid Brewing Company</t>
  </si>
  <si>
    <t>Iron Spike Brewing Company</t>
  </si>
  <si>
    <t>Galesburg</t>
  </si>
  <si>
    <t>Mean Max Brew Works</t>
  </si>
  <si>
    <t>Big Block Brewing</t>
  </si>
  <si>
    <t>Sammamish</t>
  </si>
  <si>
    <t>G Man Brewery / G-Man Sports Bar</t>
  </si>
  <si>
    <t>Hell 'n Blazes Brewing Company</t>
  </si>
  <si>
    <t>Keg &amp; Lantern Brewing Co</t>
  </si>
  <si>
    <t>Powerhouse Restaurant and Brewery</t>
  </si>
  <si>
    <t>Puyallup</t>
  </si>
  <si>
    <t>Seven Tribesmen Brewery</t>
  </si>
  <si>
    <t>Wayne</t>
  </si>
  <si>
    <t>Thunder Island Brewing Co</t>
  </si>
  <si>
    <t>Cascade Locks</t>
  </si>
  <si>
    <t>Wabasha Brewing Company</t>
  </si>
  <si>
    <t>Sweeten Creek Brewing</t>
  </si>
  <si>
    <t>Big Pillow Brewing Company</t>
  </si>
  <si>
    <t>Hot Springs</t>
  </si>
  <si>
    <t>Heritage Hill Brewhouse</t>
  </si>
  <si>
    <t>Pompey</t>
  </si>
  <si>
    <t>Noble Funk Brewery</t>
  </si>
  <si>
    <t>Rubber Soul Brewing Co.</t>
  </si>
  <si>
    <t>14er Brewing Company</t>
  </si>
  <si>
    <t>Bassline Brewing Company</t>
  </si>
  <si>
    <t>Big Ash Brewing Company</t>
  </si>
  <si>
    <t>Edit Beer Co.</t>
  </si>
  <si>
    <t>Fertile Ground Beer Co.</t>
  </si>
  <si>
    <t>Good Word Brewing &amp; Public House</t>
  </si>
  <si>
    <t>Hold Fast Brewing</t>
  </si>
  <si>
    <t>Fremont</t>
  </si>
  <si>
    <t>Lizard Tail Brewing</t>
  </si>
  <si>
    <t>Natty Greene's Brewing Co</t>
  </si>
  <si>
    <t>Necromancer Brewing</t>
  </si>
  <si>
    <t>One Lake Brewing</t>
  </si>
  <si>
    <t>Parkside Brewing Company</t>
  </si>
  <si>
    <t>Portsmouth Brewing Co</t>
  </si>
  <si>
    <t>Red Shedman Farm Brewery</t>
  </si>
  <si>
    <t>Royal Bavaria Brewhouse, Restaurant and Biergarten</t>
  </si>
  <si>
    <t>Moore</t>
  </si>
  <si>
    <t>Wye Beer Co.</t>
  </si>
  <si>
    <t>Trafford</t>
  </si>
  <si>
    <t>2 Tones Brewing Co.</t>
  </si>
  <si>
    <t>Albright Grove Brewing Company</t>
  </si>
  <si>
    <t>Bevi Bene Brewing Co.</t>
  </si>
  <si>
    <t>BrickTree Brewing Co.</t>
  </si>
  <si>
    <t>Lincolnton</t>
  </si>
  <si>
    <t>Buzz Bomb Brewing Co</t>
  </si>
  <si>
    <t>Cooper Landing Brewing Company, LLC.</t>
  </si>
  <si>
    <t>Cooper Landing</t>
  </si>
  <si>
    <t>Drop In Brewing</t>
  </si>
  <si>
    <t>Middlebury</t>
  </si>
  <si>
    <t>ForeLand Beer</t>
  </si>
  <si>
    <t>Mcminnville</t>
  </si>
  <si>
    <t>High Branch Brewing Co</t>
  </si>
  <si>
    <t>Lower Forge Brewery</t>
  </si>
  <si>
    <t>Red Barn Brewing</t>
  </si>
  <si>
    <t>The Freefolk Brewery</t>
  </si>
  <si>
    <t>Valholl Brewing Company</t>
  </si>
  <si>
    <t>Stark Brewing Company</t>
  </si>
  <si>
    <t>Lasting Joy Brewery</t>
  </si>
  <si>
    <t>Tivoli</t>
  </si>
  <si>
    <t>Mountain Toad Brewing</t>
  </si>
  <si>
    <t>Ulele Spring Brewery</t>
  </si>
  <si>
    <t>Wandering Leaf Brewing Company</t>
  </si>
  <si>
    <t>Arrowood Farms</t>
  </si>
  <si>
    <t>Accord</t>
  </si>
  <si>
    <t>Bent Barley Brewing Company</t>
  </si>
  <si>
    <t>Steuben Brewing Company</t>
  </si>
  <si>
    <t>Hammondsport</t>
  </si>
  <si>
    <t>Cheluna Brewing Company</t>
  </si>
  <si>
    <t>Gilded Goat Brewing Company</t>
  </si>
  <si>
    <t>Johnson City Brewing Co</t>
  </si>
  <si>
    <t>Mt Lowe Brewing Company</t>
  </si>
  <si>
    <t>Arcadia</t>
  </si>
  <si>
    <t>Old Market Pub and Brewery</t>
  </si>
  <si>
    <t>Relic Brewing</t>
  </si>
  <si>
    <t>Plainville</t>
  </si>
  <si>
    <t>Babe's Bar-B-Que and Brewhouse</t>
  </si>
  <si>
    <t>Rancho Mirage</t>
  </si>
  <si>
    <t>Toxic Brew Company</t>
  </si>
  <si>
    <t>Grizzly Peak Brewing Co</t>
  </si>
  <si>
    <t>Spotted Dog Brewery</t>
  </si>
  <si>
    <t>Mesilla</t>
  </si>
  <si>
    <t>Halpatter Brewing Company</t>
  </si>
  <si>
    <t>Lake City</t>
  </si>
  <si>
    <t>Mastry's Brewing Co</t>
  </si>
  <si>
    <t>St Pete Beach</t>
  </si>
  <si>
    <t>Oviedo Brewing Co</t>
  </si>
  <si>
    <t>Oviedo</t>
  </si>
  <si>
    <t>Faith American Brewing Co.</t>
  </si>
  <si>
    <t>Front Street Brewery</t>
  </si>
  <si>
    <t>Homer Brewing Co</t>
  </si>
  <si>
    <t>Homer</t>
  </si>
  <si>
    <t>Keuka Brewing Co</t>
  </si>
  <si>
    <t>Roaring Fork Beer Company</t>
  </si>
  <si>
    <t>Carbondale</t>
  </si>
  <si>
    <t>Salty Walrus Brewing Co</t>
  </si>
  <si>
    <t>Walkabout Brewing Co</t>
  </si>
  <si>
    <t>Y Bridge Brewing Company</t>
  </si>
  <si>
    <t>Zanesville</t>
  </si>
  <si>
    <t>Bias Brewing</t>
  </si>
  <si>
    <t>Brew Keepers</t>
  </si>
  <si>
    <t>Wheeling</t>
  </si>
  <si>
    <t>City Star Brewing</t>
  </si>
  <si>
    <t>Berthoud</t>
  </si>
  <si>
    <t>Last Call Brewing Company</t>
  </si>
  <si>
    <t>New Barons Brewing Cooperative</t>
  </si>
  <si>
    <t>Old Coast Ales</t>
  </si>
  <si>
    <t>Pacifica</t>
  </si>
  <si>
    <t>Plankowner Brewing Co</t>
  </si>
  <si>
    <t>Boiling Springs</t>
  </si>
  <si>
    <t>Dreaming Creek Brewery</t>
  </si>
  <si>
    <t>Mraz Brewing Company</t>
  </si>
  <si>
    <t>El Dorado Hills</t>
  </si>
  <si>
    <t>Urbanrest Brewing Company</t>
  </si>
  <si>
    <t>Ferndale</t>
  </si>
  <si>
    <t>Arvon Brewing Co.</t>
  </si>
  <si>
    <t>Bangor Beer Co.</t>
  </si>
  <si>
    <t>Barbarian Brewing</t>
  </si>
  <si>
    <t>Tumbled Rock Brewery &amp; Kitchen</t>
  </si>
  <si>
    <t>Baraboo</t>
  </si>
  <si>
    <t>23rd Street Brewery</t>
  </si>
  <si>
    <t>Bubba Brew's Brewing Company LLC</t>
  </si>
  <si>
    <t>Bonnerdale</t>
  </si>
  <si>
    <t>Idyllwild Brewpub</t>
  </si>
  <si>
    <t>Idyllwild</t>
  </si>
  <si>
    <t>Garrison City Beerworks, LLC</t>
  </si>
  <si>
    <t>Greyline Brewing</t>
  </si>
  <si>
    <t>Iron Duke Brewing Co</t>
  </si>
  <si>
    <t>Ludlow</t>
  </si>
  <si>
    <t>Macushla Brewing Co</t>
  </si>
  <si>
    <t>Glenview</t>
  </si>
  <si>
    <t>Narrow Path Brewing Company</t>
  </si>
  <si>
    <t>Red Bus Brewing Company</t>
  </si>
  <si>
    <t>Wake Brewing</t>
  </si>
  <si>
    <t>Rock Island</t>
  </si>
  <si>
    <t>Wichita Falls Brewing Co.</t>
  </si>
  <si>
    <t>Wichita Falls</t>
  </si>
  <si>
    <t>Ladyface Brewery &amp; Restaurant</t>
  </si>
  <si>
    <t>Agoura Hills</t>
  </si>
  <si>
    <t>Restoration Brew Worx</t>
  </si>
  <si>
    <t>City Orchard</t>
  </si>
  <si>
    <t>Crooked Ewe Brewery &amp; Ale House</t>
  </si>
  <si>
    <t>South Bend</t>
  </si>
  <si>
    <t>Forager Brewing Company</t>
  </si>
  <si>
    <t>Great Burn Brewing</t>
  </si>
  <si>
    <t>Rockingham Brewing Company</t>
  </si>
  <si>
    <t>Top Rung Brewing Company</t>
  </si>
  <si>
    <t>Lacey</t>
  </si>
  <si>
    <t>Clag Brewing Co.</t>
  </si>
  <si>
    <t>Sandusky</t>
  </si>
  <si>
    <t>East Hartford Brewing Group</t>
  </si>
  <si>
    <t>Elsewhere Brewing Company</t>
  </si>
  <si>
    <t>John Russell Brewing Co</t>
  </si>
  <si>
    <t>Russian Mule Brewery</t>
  </si>
  <si>
    <t>Claryville</t>
  </si>
  <si>
    <t>Benny Brewing Co.</t>
  </si>
  <si>
    <t>Excel Brewing Co</t>
  </si>
  <si>
    <t>Breese</t>
  </si>
  <si>
    <t>Prodigal Son Brewery and Pub, The</t>
  </si>
  <si>
    <t>Pendleton</t>
  </si>
  <si>
    <t>Rescue Brewing Co</t>
  </si>
  <si>
    <t>The Leaning Cask Brewing Company</t>
  </si>
  <si>
    <t>Top Of The Hill Restaurant and Brewery</t>
  </si>
  <si>
    <t>D.C. Oakes Brewhouse and Eatery</t>
  </si>
  <si>
    <t>Surfridge Brewing Company East</t>
  </si>
  <si>
    <t>Centerbrook</t>
  </si>
  <si>
    <t>Beerburg Brewing Company</t>
  </si>
  <si>
    <t>Oklawaha Brewing Company</t>
  </si>
  <si>
    <t>Porter Pizza &amp; Brewery</t>
  </si>
  <si>
    <t>Dalton</t>
  </si>
  <si>
    <t>BlueTarp Brewing Co</t>
  </si>
  <si>
    <t>Buttonwoods Brewery</t>
  </si>
  <si>
    <t>Middle Brow Beer Company</t>
  </si>
  <si>
    <t>Paradise Brewing / Paradise Brewing Supplies</t>
  </si>
  <si>
    <t>Starry Eyed Brewing Company</t>
  </si>
  <si>
    <t>Little Falls</t>
  </si>
  <si>
    <t>Black Husky Brewing LLC</t>
  </si>
  <si>
    <t>Gezellig Brewing Company</t>
  </si>
  <si>
    <t>Hop Lot Brewing Co.</t>
  </si>
  <si>
    <t>Suttons Bay</t>
  </si>
  <si>
    <t>Novel Strand Brewing</t>
  </si>
  <si>
    <t>Armor Brewing Co</t>
  </si>
  <si>
    <t>Allen</t>
  </si>
  <si>
    <t>Black Narrows Brewing Company</t>
  </si>
  <si>
    <t>Chincoteague</t>
  </si>
  <si>
    <t>Devil's Club Brewing Co</t>
  </si>
  <si>
    <t>Farm Club</t>
  </si>
  <si>
    <t>Last Best Place Brewing Co</t>
  </si>
  <si>
    <t>Mainline Brewery</t>
  </si>
  <si>
    <t>Marshall Wharf Brewing Co</t>
  </si>
  <si>
    <t>Belfast</t>
  </si>
  <si>
    <t>Seabright Brewery</t>
  </si>
  <si>
    <t>Red Gap Brewing</t>
  </si>
  <si>
    <t>Cisco</t>
  </si>
  <si>
    <t>Bright Path Brewing</t>
  </si>
  <si>
    <t>Jim Thorpe</t>
  </si>
  <si>
    <t>Buggs Island Brewing Company, LLC</t>
  </si>
  <si>
    <t>Port O'Pints Brewing Co.</t>
  </si>
  <si>
    <t>1840 Brewing Company</t>
  </si>
  <si>
    <t>Free Range Brewing</t>
  </si>
  <si>
    <t>Goose And The Monkey Brew House, LLC</t>
  </si>
  <si>
    <t>Magic Valley Brewing</t>
  </si>
  <si>
    <t>Buhl</t>
  </si>
  <si>
    <t>Brewbakers Brewing Co</t>
  </si>
  <si>
    <t>Loaded Question Brewing Co.</t>
  </si>
  <si>
    <t>Ten 10 Brewing Co</t>
  </si>
  <si>
    <t>The Big Friendly</t>
  </si>
  <si>
    <t>Black Stag Brewery</t>
  </si>
  <si>
    <t>Honor Brewing Company</t>
  </si>
  <si>
    <t>Les Cheneaux Distillers</t>
  </si>
  <si>
    <t>Cedarville</t>
  </si>
  <si>
    <t>Riverside Brewing Company</t>
  </si>
  <si>
    <t>Cambridge Springs</t>
  </si>
  <si>
    <t>Mountain Layers Brewing Company</t>
  </si>
  <si>
    <t>Half Day Brewing Company</t>
  </si>
  <si>
    <t>Lincolnshire</t>
  </si>
  <si>
    <t>Hop Secret Brewing Company</t>
  </si>
  <si>
    <t>Monrovia</t>
  </si>
  <si>
    <t>Windermere Brewing Company</t>
  </si>
  <si>
    <t>Windermere</t>
  </si>
  <si>
    <t>2 Dogz and A Guy Brewing</t>
  </si>
  <si>
    <t>Susquehanna</t>
  </si>
  <si>
    <t>Bullfrog Creek Brewing Company</t>
  </si>
  <si>
    <t>Valrico</t>
  </si>
  <si>
    <t>Common Block Brewing Company</t>
  </si>
  <si>
    <t>JAKs Brewing Company</t>
  </si>
  <si>
    <t>Peyton</t>
  </si>
  <si>
    <t>Royersford</t>
  </si>
  <si>
    <t>Stones Throw Brewing</t>
  </si>
  <si>
    <t>Goose Creek</t>
  </si>
  <si>
    <t>Strings Sports Brewery</t>
  </si>
  <si>
    <t>Strong Rope Brewery</t>
  </si>
  <si>
    <t>The Jolly Fox Brewery</t>
  </si>
  <si>
    <t>Flying Lion Brewing</t>
  </si>
  <si>
    <t>Brewery Becker</t>
  </si>
  <si>
    <t>Compass Rose</t>
  </si>
  <si>
    <t>Bagby Beer Company</t>
  </si>
  <si>
    <t>Copper Furrow Brewing</t>
  </si>
  <si>
    <t>Gray Brewing Co</t>
  </si>
  <si>
    <t>Janesville</t>
  </si>
  <si>
    <t>Helix Brewing Co</t>
  </si>
  <si>
    <t>La Mesa</t>
  </si>
  <si>
    <t>Montana Brewing Co</t>
  </si>
  <si>
    <t>Casey Brewing and Blending</t>
  </si>
  <si>
    <t>Code Beer Co.</t>
  </si>
  <si>
    <t>Grossen Bart Brewery</t>
  </si>
  <si>
    <t>Hop River Brewing Company</t>
  </si>
  <si>
    <t>Island Hoppin' Brewery</t>
  </si>
  <si>
    <t>Eastsound</t>
  </si>
  <si>
    <t>Unbranded Brewing Company</t>
  </si>
  <si>
    <t>Hialeah</t>
  </si>
  <si>
    <t>Quincy</t>
  </si>
  <si>
    <t>Via Beer</t>
  </si>
  <si>
    <t>Wulfaven Brewing Company</t>
  </si>
  <si>
    <t>Bent Brewstillery</t>
  </si>
  <si>
    <t>Holzlager Brewing LLC</t>
  </si>
  <si>
    <t>Woodstock</t>
  </si>
  <si>
    <t>Jamesport Brewing Co</t>
  </si>
  <si>
    <t>Division Brewing</t>
  </si>
  <si>
    <t>Arlington</t>
  </si>
  <si>
    <t>Gravity Brewing</t>
  </si>
  <si>
    <t>Lasting Brass Craft Brewing</t>
  </si>
  <si>
    <t>Oakville</t>
  </si>
  <si>
    <t>Big Axe Brewing Company</t>
  </si>
  <si>
    <t>Crooked Pecker Brewing Co</t>
  </si>
  <si>
    <t>Chagrin Falls</t>
  </si>
  <si>
    <t>Rockford Brewing Company</t>
  </si>
  <si>
    <t>Helicon Brewing</t>
  </si>
  <si>
    <t>Nimble Hill Brewing Co</t>
  </si>
  <si>
    <t>Tunkhannock</t>
  </si>
  <si>
    <t>Servaes Brewing Company</t>
  </si>
  <si>
    <t>Sobel's Obscure Brewery</t>
  </si>
  <si>
    <t>Jeannette</t>
  </si>
  <si>
    <t>Drowned Valley Brewing Co.</t>
  </si>
  <si>
    <t>Cartersville</t>
  </si>
  <si>
    <t>Glover Park Brewery</t>
  </si>
  <si>
    <t>Heroes Restaurant and Brewery</t>
  </si>
  <si>
    <t>Riverside</t>
  </si>
  <si>
    <t>Madison Brewing Co, Pub and Restaurant</t>
  </si>
  <si>
    <t>Bennington</t>
  </si>
  <si>
    <t>Third Window Brewing Co</t>
  </si>
  <si>
    <t>Artesia Brewing</t>
  </si>
  <si>
    <t>Thawville</t>
  </si>
  <si>
    <t>Bond Brothers Beer Company</t>
  </si>
  <si>
    <t>Bucking Goat Brewing Company</t>
  </si>
  <si>
    <t>Canadian River Brewing Co</t>
  </si>
  <si>
    <t>Chickasha</t>
  </si>
  <si>
    <t>Carbon Brewing Company</t>
  </si>
  <si>
    <t>Good Line Beer Co.</t>
  </si>
  <si>
    <t>Inner Voice Brewing</t>
  </si>
  <si>
    <t>Oak &amp; Iron Brewing Co</t>
  </si>
  <si>
    <t>Andover</t>
  </si>
  <si>
    <t>Riverport Brewing Co.</t>
  </si>
  <si>
    <t>Clarkston</t>
  </si>
  <si>
    <t>SunUp Brewing Co.</t>
  </si>
  <si>
    <t>Terrestrial Brewing Company</t>
  </si>
  <si>
    <t>Thesis Beer Project</t>
  </si>
  <si>
    <t>Foulmouthed Brewing</t>
  </si>
  <si>
    <t>South Portland</t>
  </si>
  <si>
    <t>Rapids Brewing Company</t>
  </si>
  <si>
    <t>Sumter Original Brewery</t>
  </si>
  <si>
    <t>Sumter</t>
  </si>
  <si>
    <t>3rd Act Craft Brewery</t>
  </si>
  <si>
    <t>Babes BBq and Brewhouse</t>
  </si>
  <si>
    <t>Black Forest Brewing Company</t>
  </si>
  <si>
    <t>La Grande</t>
  </si>
  <si>
    <t>Bright Penny Brewing Company</t>
  </si>
  <si>
    <t>Brothers Kershner Brewing Co</t>
  </si>
  <si>
    <t>Skippack</t>
  </si>
  <si>
    <t>Bucket Brigade Brewery</t>
  </si>
  <si>
    <t>Cape May Court House</t>
  </si>
  <si>
    <t>Crown Brewing Co</t>
  </si>
  <si>
    <t>Dry Falls Brewing Co.</t>
  </si>
  <si>
    <t>Grand Rapids Brewing Company</t>
  </si>
  <si>
    <t>Los Dos Potrillos Cervecería</t>
  </si>
  <si>
    <t>North Channel Brewing Co.</t>
  </si>
  <si>
    <t>Manistee</t>
  </si>
  <si>
    <t>Pareidolia Brewing Co.</t>
  </si>
  <si>
    <t>Sebastian</t>
  </si>
  <si>
    <t>Parleaux Beer Lab</t>
  </si>
  <si>
    <t>Root + Branch Brewing</t>
  </si>
  <si>
    <t>Copiague</t>
  </si>
  <si>
    <t>Shrewd Fox Brewery LLC</t>
  </si>
  <si>
    <t>ELDRED</t>
  </si>
  <si>
    <t>Vallensons' Brewing Co.</t>
  </si>
  <si>
    <t>Pearland</t>
  </si>
  <si>
    <t>Battle River Brewing</t>
  </si>
  <si>
    <t>Snitz Creek Brewery</t>
  </si>
  <si>
    <t>Southern Peak Brewery</t>
  </si>
  <si>
    <t>Bitter Sisters Brewing Company</t>
  </si>
  <si>
    <t>Addison</t>
  </si>
  <si>
    <t>Danico Brewing Company</t>
  </si>
  <si>
    <t>Diametric Brewing Co.</t>
  </si>
  <si>
    <t>Lees Summit</t>
  </si>
  <si>
    <t>Forest City Brewing</t>
  </si>
  <si>
    <t>Oasis Texas Brewing Company</t>
  </si>
  <si>
    <t>La Reforma</t>
  </si>
  <si>
    <t>Lucky Monk Burger, Pizza &amp; Beer Co</t>
  </si>
  <si>
    <t>South Barrington</t>
  </si>
  <si>
    <t>Nexus Brewery</t>
  </si>
  <si>
    <t>Julian Beer Co</t>
  </si>
  <si>
    <t>Julian</t>
  </si>
  <si>
    <t>Starr Brothers Brewing Co.</t>
  </si>
  <si>
    <t>210 Brewing Co</t>
  </si>
  <si>
    <t>Bank &amp; Bridge</t>
  </si>
  <si>
    <t>Mystic</t>
  </si>
  <si>
    <t>Beacon Brewing Co.</t>
  </si>
  <si>
    <t>LaGrange</t>
  </si>
  <si>
    <t>BruRm At Bar</t>
  </si>
  <si>
    <t>Bullfrog Brewery</t>
  </si>
  <si>
    <t>Buzzed Viking Brewing Company</t>
  </si>
  <si>
    <t>Freebridge Brewing</t>
  </si>
  <si>
    <t>The Dalles</t>
  </si>
  <si>
    <t>Gallant Fox Brewing Company</t>
  </si>
  <si>
    <t>Gather Brewing Company</t>
  </si>
  <si>
    <t>Universal City</t>
  </si>
  <si>
    <t>Helmsman Alehouse</t>
  </si>
  <si>
    <t>Newport Beach</t>
  </si>
  <si>
    <t>Liquid Riot Bottling Co.</t>
  </si>
  <si>
    <t>Red Top Brewhouse</t>
  </si>
  <si>
    <t>Acworth</t>
  </si>
  <si>
    <t>Rockslide Brewing Co</t>
  </si>
  <si>
    <t>Snowy Mountain Brewery</t>
  </si>
  <si>
    <t>Saratoga</t>
  </si>
  <si>
    <t>Stillwest Brewery</t>
  </si>
  <si>
    <t>The Jolly Scholar</t>
  </si>
  <si>
    <t>Unlawful Assembly Brewing Company</t>
  </si>
  <si>
    <t>Utility Brewing Company</t>
  </si>
  <si>
    <t>Ruston</t>
  </si>
  <si>
    <t>Asgard Brewing Company</t>
  </si>
  <si>
    <t>Hopsquad Brewing Company</t>
  </si>
  <si>
    <t>Alaro Craft Brewery</t>
  </si>
  <si>
    <t>Cold Water Brewery and Grill</t>
  </si>
  <si>
    <t>Great Baraboo Brewing Co</t>
  </si>
  <si>
    <t>Clinton Township</t>
  </si>
  <si>
    <t>MadCap Brew Co</t>
  </si>
  <si>
    <t>Next Level Brewing Company</t>
  </si>
  <si>
    <t>Pigs Eye Pub</t>
  </si>
  <si>
    <t>Barley Naked Brewing Company</t>
  </si>
  <si>
    <t>Stafford</t>
  </si>
  <si>
    <t>Copper Hop Brewing Company</t>
  </si>
  <si>
    <t>Elicit Brewing Company</t>
  </si>
  <si>
    <t>King's Court Brewing Company</t>
  </si>
  <si>
    <t>Rebel Toad Brewing Co</t>
  </si>
  <si>
    <t>Seven Points Brewery</t>
  </si>
  <si>
    <t>Carrboro</t>
  </si>
  <si>
    <t>515 Brewing Co</t>
  </si>
  <si>
    <t>Clive</t>
  </si>
  <si>
    <t>Beer Valley Brewing Co</t>
  </si>
  <si>
    <t>Ontario</t>
  </si>
  <si>
    <t>Brewerie at Union Station, The</t>
  </si>
  <si>
    <t>El Sueñito Brewing</t>
  </si>
  <si>
    <t>Four City Brewing Company</t>
  </si>
  <si>
    <t>Hackamore Brewing Company</t>
  </si>
  <si>
    <t>Chanhassen</t>
  </si>
  <si>
    <t>Mazama Brewing Co</t>
  </si>
  <si>
    <t>Real McCoy Beer Co.</t>
  </si>
  <si>
    <t>Delmar</t>
  </si>
  <si>
    <t>S &amp; S Farm Brewery</t>
  </si>
  <si>
    <t>Nassau</t>
  </si>
  <si>
    <t>Whiskey Hill Brewing</t>
  </si>
  <si>
    <t>Westmont</t>
  </si>
  <si>
    <t>Clemson Bros. Brewery</t>
  </si>
  <si>
    <t>Goldspot Brewing Co</t>
  </si>
  <si>
    <t>Screamin Hill Brewery</t>
  </si>
  <si>
    <t>47 Hills Brewing Co</t>
  </si>
  <si>
    <t>South San Francisco</t>
  </si>
  <si>
    <t>Agile Brewing</t>
  </si>
  <si>
    <t>Briar Common Brewery</t>
  </si>
  <si>
    <t>Great Escape Beer Works</t>
  </si>
  <si>
    <t>The Brewhouse</t>
  </si>
  <si>
    <t>Lost Colony Brewery and Cafe</t>
  </si>
  <si>
    <t>Manteo</t>
  </si>
  <si>
    <t>Tailspin Brewing Co</t>
  </si>
  <si>
    <t>Coldwater</t>
  </si>
  <si>
    <t>Local Brewing Co</t>
  </si>
  <si>
    <t>Seven Sons Brewing</t>
  </si>
  <si>
    <t>Stilt House Brewery</t>
  </si>
  <si>
    <t>Cerveza Cito</t>
  </si>
  <si>
    <t>Santa Ana</t>
  </si>
  <si>
    <t>Immersion Brewing</t>
  </si>
  <si>
    <t>La Verne</t>
  </si>
  <si>
    <t>Pee-Pa's Garage</t>
  </si>
  <si>
    <t>PINELLAS PARK</t>
  </si>
  <si>
    <t>Full Mile Beer Company and Kitchen</t>
  </si>
  <si>
    <t>Sun Prairie</t>
  </si>
  <si>
    <t>History Class Brewing Company</t>
  </si>
  <si>
    <t>Panama City</t>
  </si>
  <si>
    <t>LauderAle</t>
  </si>
  <si>
    <t>Railport Brewing Company</t>
  </si>
  <si>
    <t>Waxahachie</t>
  </si>
  <si>
    <t>Social Project Brewing Co.</t>
  </si>
  <si>
    <t>Brew Lab 101 Beer &amp; Cider Co.</t>
  </si>
  <si>
    <t>Koto Brewing</t>
  </si>
  <si>
    <t>Twin Falls</t>
  </si>
  <si>
    <t>Coal Creek TAP</t>
  </si>
  <si>
    <t>DECA Beer Company</t>
  </si>
  <si>
    <t>Dragon's Gate Brewery</t>
  </si>
  <si>
    <t>Milton Freewater</t>
  </si>
  <si>
    <t>Kauai Beer Company</t>
  </si>
  <si>
    <t>Lihue</t>
  </si>
  <si>
    <t>Mash House Restaurant &amp; Brewery</t>
  </si>
  <si>
    <t>Pantown Brewing Company</t>
  </si>
  <si>
    <t>Saint Cloud</t>
  </si>
  <si>
    <t>Riepstines Pub</t>
  </si>
  <si>
    <t>The Perch Pub &amp; Brewery</t>
  </si>
  <si>
    <t>Peachtree Corners</t>
  </si>
  <si>
    <t>Bismarck Brewing</t>
  </si>
  <si>
    <t>Cross-Eyed Owl Brewing Co.</t>
  </si>
  <si>
    <t>Easy Company Brewing</t>
  </si>
  <si>
    <t>Icewind Brewing</t>
  </si>
  <si>
    <t>Mapleton</t>
  </si>
  <si>
    <t>Infamous Brewing</t>
  </si>
  <si>
    <t>Lookout Farm Brewing And Cider Co</t>
  </si>
  <si>
    <t>Natick</t>
  </si>
  <si>
    <t>Man Skirt Brewing</t>
  </si>
  <si>
    <t>Smug Brewing</t>
  </si>
  <si>
    <t>Stubborn German Brewing Company</t>
  </si>
  <si>
    <t>Guidon Brewing Co.</t>
  </si>
  <si>
    <t>Main Street Brewery</t>
  </si>
  <si>
    <t>Mt. Ascension Brewing Company</t>
  </si>
  <si>
    <t>Rare Form Brewing Company</t>
  </si>
  <si>
    <t>Troy</t>
  </si>
  <si>
    <t>Smuggler-Union Restaurant and Brewery</t>
  </si>
  <si>
    <t>Whistle Punk Brewing Company</t>
  </si>
  <si>
    <t>Brewbury</t>
  </si>
  <si>
    <t>Good Hops Brewing LLC</t>
  </si>
  <si>
    <t>Machine House Brewery</t>
  </si>
  <si>
    <t>Mineral Springs Brewery</t>
  </si>
  <si>
    <t>Owatonna</t>
  </si>
  <si>
    <t>Rally King Brewing</t>
  </si>
  <si>
    <t>The 377 Brewery</t>
  </si>
  <si>
    <t>Whitehorse Brewing LLC</t>
  </si>
  <si>
    <t>Bear Cave Brewing</t>
  </si>
  <si>
    <t>Piedmont Brewery and Kitchen</t>
  </si>
  <si>
    <t>Southerleigh Brewing</t>
  </si>
  <si>
    <t>Tecumseh Brewing Company</t>
  </si>
  <si>
    <t>Tecumseh</t>
  </si>
  <si>
    <t>Big aLICe Brewing Company</t>
  </si>
  <si>
    <t>Garden Grove Brewing Company</t>
  </si>
  <si>
    <t>Pocock Brewing Company</t>
  </si>
  <si>
    <t>Santa Clarita</t>
  </si>
  <si>
    <t>Stone Hollow Brewing Company</t>
  </si>
  <si>
    <t>ZwanzigZ Brewing</t>
  </si>
  <si>
    <t>Craft Brewing Company</t>
  </si>
  <si>
    <t>Luminous Brewhouse</t>
  </si>
  <si>
    <t>Maker's Craft Brewery</t>
  </si>
  <si>
    <t>Burning Bush Brewery</t>
  </si>
  <si>
    <t>Corner Point Brewing Company</t>
  </si>
  <si>
    <t>Four Bullets Brewery</t>
  </si>
  <si>
    <t>Richardson</t>
  </si>
  <si>
    <t>Indian Ladder Farm Cidery &amp; Brewery</t>
  </si>
  <si>
    <t>Altamont</t>
  </si>
  <si>
    <t>Naukabout Brewery</t>
  </si>
  <si>
    <t>Mashpee</t>
  </si>
  <si>
    <t>Paducah Beer Werks</t>
  </si>
  <si>
    <t>Paducah</t>
  </si>
  <si>
    <t>Secatogue Brewing Co.</t>
  </si>
  <si>
    <t>West Islip</t>
  </si>
  <si>
    <t>Tradewinds Brewing Company</t>
  </si>
  <si>
    <t>Vector Brewing</t>
  </si>
  <si>
    <t>Carolina Bauernhaus Ales</t>
  </si>
  <si>
    <t>Engine 15 Brewing Company</t>
  </si>
  <si>
    <t>Fat Toad Brewing Company</t>
  </si>
  <si>
    <t>Pryor</t>
  </si>
  <si>
    <t>Invisible Man Brewing</t>
  </si>
  <si>
    <t>Original Gravity Brewing Co</t>
  </si>
  <si>
    <t>Milan</t>
  </si>
  <si>
    <t>Two22 Brew</t>
  </si>
  <si>
    <t>Baggs Square Brewing Co.</t>
  </si>
  <si>
    <t>Cheeky Monkey Brewing Co / Lucky Strike Jillians</t>
  </si>
  <si>
    <t>Enid Brewing Company</t>
  </si>
  <si>
    <t>Enid</t>
  </si>
  <si>
    <t>Fatty's Beer Works</t>
  </si>
  <si>
    <t>Harvest Moon Brewery/Cafe</t>
  </si>
  <si>
    <t>New Brunswick</t>
  </si>
  <si>
    <t>Lazy Boy Brewing</t>
  </si>
  <si>
    <t>Obscure Brewing</t>
  </si>
  <si>
    <t>Zorn Brew Works</t>
  </si>
  <si>
    <t>Windmill Brewing</t>
  </si>
  <si>
    <t>Dyer</t>
  </si>
  <si>
    <t>Apponaug Brewing Company</t>
  </si>
  <si>
    <t>Seek Beer Company</t>
  </si>
  <si>
    <t>Amelia Island Brewing Company</t>
  </si>
  <si>
    <t>Bathtub Row Brewing Co-op</t>
  </si>
  <si>
    <t>Los Alamos</t>
  </si>
  <si>
    <t>Braeloch Brewing</t>
  </si>
  <si>
    <t>Kennett Square</t>
  </si>
  <si>
    <t>Draught House Pub and Brewery</t>
  </si>
  <si>
    <t>Headworks Brewing</t>
  </si>
  <si>
    <t>Enumclaw</t>
  </si>
  <si>
    <t>Highmark Brewery</t>
  </si>
  <si>
    <t>Marion Brewing Company</t>
  </si>
  <si>
    <t>Marion</t>
  </si>
  <si>
    <t>Nouvelle Brewing By Travail</t>
  </si>
  <si>
    <t>Oscars Brewing Company</t>
  </si>
  <si>
    <t>Otherlands Beer</t>
  </si>
  <si>
    <t>Scholb Premium Ales</t>
  </si>
  <si>
    <t>Turnagain Brewing</t>
  </si>
  <si>
    <t>Two Bandits Brewing Company</t>
  </si>
  <si>
    <t>Hicksville</t>
  </si>
  <si>
    <t>Two Frays Brewery</t>
  </si>
  <si>
    <t>PITTSBURGH</t>
  </si>
  <si>
    <t>East Outlet Brewing</t>
  </si>
  <si>
    <t>Heber Valley Brewing Co</t>
  </si>
  <si>
    <t>Heber City</t>
  </si>
  <si>
    <t>Plymouth Brewing Co</t>
  </si>
  <si>
    <t>Scriptown Brewing Company</t>
  </si>
  <si>
    <t>Vanguard Brewing Company</t>
  </si>
  <si>
    <t>Wilsonville</t>
  </si>
  <si>
    <t>Woodstock Brewhouse</t>
  </si>
  <si>
    <t>Animas Brewing Co</t>
  </si>
  <si>
    <t>Asher Brewing Co</t>
  </si>
  <si>
    <t>Bad Dad Brewery</t>
  </si>
  <si>
    <t>Fairmount</t>
  </si>
  <si>
    <t>Brewery Ardennes</t>
  </si>
  <si>
    <t>Chain Reaction Brewing Company</t>
  </si>
  <si>
    <t>Gig Harbor Brewing</t>
  </si>
  <si>
    <t>Guanella Pass Brewing Company, LLC</t>
  </si>
  <si>
    <t>Georgetown</t>
  </si>
  <si>
    <t>Hopkins Brewing Company</t>
  </si>
  <si>
    <t>Jessup Farm Barrel House</t>
  </si>
  <si>
    <t>Libertine Brewing Company</t>
  </si>
  <si>
    <t>Mash Lab Brewing</t>
  </si>
  <si>
    <t>Skyline Beer Company</t>
  </si>
  <si>
    <t>Steinhardt Brewing Company</t>
  </si>
  <si>
    <t>Little Brother Brewing</t>
  </si>
  <si>
    <t>Homage Brewing</t>
  </si>
  <si>
    <t>Kishwaukee Brewing Co.</t>
  </si>
  <si>
    <t>Binary Brewing Co</t>
  </si>
  <si>
    <t>Beaverton</t>
  </si>
  <si>
    <t>Hwy 14 Brewing Co.</t>
  </si>
  <si>
    <t>Albion</t>
  </si>
  <si>
    <t>Plank Town Brewing</t>
  </si>
  <si>
    <t>Working Class Brewery</t>
  </si>
  <si>
    <t>Balsam Lake Brewery</t>
  </si>
  <si>
    <t>Balsam Lake</t>
  </si>
  <si>
    <t>Silver Gulch Brewing Co</t>
  </si>
  <si>
    <t>Fox</t>
  </si>
  <si>
    <t>Backswing Brewing Co.</t>
  </si>
  <si>
    <t>Barking Armadillo Brewing</t>
  </si>
  <si>
    <t>Coastal Dayz Brewery LLC</t>
  </si>
  <si>
    <t>Crazy Peak Brewing Company</t>
  </si>
  <si>
    <t>Big Timber</t>
  </si>
  <si>
    <t>Inc 82 Brewing</t>
  </si>
  <si>
    <t>Dublin</t>
  </si>
  <si>
    <t>North Pier Brewing</t>
  </si>
  <si>
    <t>Benton Harbor</t>
  </si>
  <si>
    <t>Padraigs Brewing</t>
  </si>
  <si>
    <t>Blewett Brewing Company</t>
  </si>
  <si>
    <t>Schoolhouse Brewing</t>
  </si>
  <si>
    <t>The Good Society</t>
  </si>
  <si>
    <t>Willcott Brewing Company</t>
  </si>
  <si>
    <t>Holton</t>
  </si>
  <si>
    <t>Bellefonte Brewing Co</t>
  </si>
  <si>
    <t>Eagle Creek Brewing Company</t>
  </si>
  <si>
    <t>Statesboro</t>
  </si>
  <si>
    <t>First National Brewing Company Dba: Farmers &amp; Bankers Brewing</t>
  </si>
  <si>
    <t>Woodstown</t>
  </si>
  <si>
    <t>Heavy Rotation Brewery</t>
  </si>
  <si>
    <t>Kelly Brewing Company</t>
  </si>
  <si>
    <t>Morgan Hill</t>
  </si>
  <si>
    <t>Schram Vineyards Winery &amp; Brewery</t>
  </si>
  <si>
    <t>Wellington</t>
  </si>
  <si>
    <t>The Church Brew Works - Lawrenceville Brewery Inc.</t>
  </si>
  <si>
    <t>Gneiss Brewing</t>
  </si>
  <si>
    <t>Limerick</t>
  </si>
  <si>
    <t>Lake Effect Brewing Company</t>
  </si>
  <si>
    <t>Milk Money Brewing</t>
  </si>
  <si>
    <t>Black Sky Brewery</t>
  </si>
  <si>
    <t>Broken Arrow Brewing Co.</t>
  </si>
  <si>
    <t>Broken Arrow</t>
  </si>
  <si>
    <t>Cohesion Brewing Ltd</t>
  </si>
  <si>
    <t>Evergreen Brewery</t>
  </si>
  <si>
    <t>Evergreen</t>
  </si>
  <si>
    <t>Flounder Brewing Co</t>
  </si>
  <si>
    <t>Hillsborough</t>
  </si>
  <si>
    <t>Intersect Brewing</t>
  </si>
  <si>
    <t>Lot 9 Brewing Co</t>
  </si>
  <si>
    <t>Post &amp; Beam Brewing</t>
  </si>
  <si>
    <t>Peterborough</t>
  </si>
  <si>
    <t>Spider City Brewing Company</t>
  </si>
  <si>
    <t>Bastion Brewing Company</t>
  </si>
  <si>
    <t>Shadow Grove Brewing</t>
  </si>
  <si>
    <t>Standard Brewing</t>
  </si>
  <si>
    <t>8one8 Brewing, LLC</t>
  </si>
  <si>
    <t>Canoga Park</t>
  </si>
  <si>
    <t>Aftershock Brewing Company</t>
  </si>
  <si>
    <t>Norfork Brewing Company</t>
  </si>
  <si>
    <t>Norfork</t>
  </si>
  <si>
    <t>Tres Litros Beer Company</t>
  </si>
  <si>
    <t>Waterman Brewing Company</t>
  </si>
  <si>
    <t>The Colony</t>
  </si>
  <si>
    <t>Biker Brewhouse LLC</t>
  </si>
  <si>
    <t>Czann's Brewing Company, LLC</t>
  </si>
  <si>
    <t>Danny Boy Beer Works</t>
  </si>
  <si>
    <t>Carmel</t>
  </si>
  <si>
    <t>Silos Brewing Co</t>
  </si>
  <si>
    <t>Easley</t>
  </si>
  <si>
    <t>3 Trails Brewing</t>
  </si>
  <si>
    <t>Independence</t>
  </si>
  <si>
    <t>Alloy Brewing Company</t>
  </si>
  <si>
    <t>Cave Hill Farms Brewery</t>
  </si>
  <si>
    <t>Mc Gaheysville</t>
  </si>
  <si>
    <t>Aviation Brewing Company</t>
  </si>
  <si>
    <t>Time Travelers Brewing</t>
  </si>
  <si>
    <t>Estacada</t>
  </si>
  <si>
    <t>Trails End Brewery</t>
  </si>
  <si>
    <t>Cambridge House Brew Pub</t>
  </si>
  <si>
    <t>Granby</t>
  </si>
  <si>
    <t>Crescent Brewery</t>
  </si>
  <si>
    <t>Nampa</t>
  </si>
  <si>
    <t>Daft Badger Brewing</t>
  </si>
  <si>
    <t>Guilford Hall Brewery</t>
  </si>
  <si>
    <t>Happy Valley Brewing Company</t>
  </si>
  <si>
    <t>Kalona Brewing Company</t>
  </si>
  <si>
    <t>Kalona</t>
  </si>
  <si>
    <t>Our Town Brewery</t>
  </si>
  <si>
    <t>Spicket River Brewery</t>
  </si>
  <si>
    <t>Walt and Whitman Brewing Company</t>
  </si>
  <si>
    <t>18th Ward Brewing</t>
  </si>
  <si>
    <t>7th Wave Brewing</t>
  </si>
  <si>
    <t>Medfield</t>
  </si>
  <si>
    <t>Bluestone Brewing Company</t>
  </si>
  <si>
    <t>Sayre</t>
  </si>
  <si>
    <t>Boiler Brewing Company</t>
  </si>
  <si>
    <t>Buffalo Rock Brewing Company</t>
  </si>
  <si>
    <t>Waterville</t>
  </si>
  <si>
    <t>Cellar West Artisan Ales</t>
  </si>
  <si>
    <t>Cocoon Brewing</t>
  </si>
  <si>
    <t>Columbia Kettle Works</t>
  </si>
  <si>
    <t>Craft Life Brewing Company</t>
  </si>
  <si>
    <t>Eagle River Brewing</t>
  </si>
  <si>
    <t>Eagle</t>
  </si>
  <si>
    <t>Faircraft Brauhaus</t>
  </si>
  <si>
    <t>Kraemer &amp; Kin</t>
  </si>
  <si>
    <t>Alburgh</t>
  </si>
  <si>
    <t>Nine Giant Brewing</t>
  </si>
  <si>
    <t>Old Spruce Brewing</t>
  </si>
  <si>
    <t>Snowshoe</t>
  </si>
  <si>
    <t>Pomona Brewing Company</t>
  </si>
  <si>
    <t>Uniontown Brewing Co.</t>
  </si>
  <si>
    <t>Brewery ARS</t>
  </si>
  <si>
    <t>Curio Brewing Company</t>
  </si>
  <si>
    <t>Midnight Oil Brewing</t>
  </si>
  <si>
    <t>Pecan Street Brewing Co</t>
  </si>
  <si>
    <t>Twelve Percent Beer Project</t>
  </si>
  <si>
    <t>North Haven</t>
  </si>
  <si>
    <t>Vacancy Brewing</t>
  </si>
  <si>
    <t>Borderlands Brewing Co.</t>
  </si>
  <si>
    <t>Broken Strings Brewery</t>
  </si>
  <si>
    <t>Component Brewing Co</t>
  </si>
  <si>
    <t>Huntington Beach Beer Co</t>
  </si>
  <si>
    <t>Malt Brothers Brewery</t>
  </si>
  <si>
    <t>Saint John</t>
  </si>
  <si>
    <t>Rahr &amp; Son Brewing</t>
  </si>
  <si>
    <t>Tin Bridge Brewing</t>
  </si>
  <si>
    <t>Wop's Hops Brewing Co.</t>
  </si>
  <si>
    <t>Coda Brewing Company</t>
  </si>
  <si>
    <t>Hops Brewery</t>
  </si>
  <si>
    <t>Kaktus Brewing Co.</t>
  </si>
  <si>
    <t>CuVer</t>
  </si>
  <si>
    <t>Fishweir Brewing Company</t>
  </si>
  <si>
    <t>Village Brewing Company</t>
  </si>
  <si>
    <t>Feathered Friend Brewing</t>
  </si>
  <si>
    <t>Long Table Brewhouse</t>
  </si>
  <si>
    <t>North Fork Brewery</t>
  </si>
  <si>
    <t>Deming</t>
  </si>
  <si>
    <t>Coin Toss Brewing Co</t>
  </si>
  <si>
    <t>Round Trip Brewing Company</t>
  </si>
  <si>
    <t>The Warbler Brewery</t>
  </si>
  <si>
    <t>The Wrecking Bar Brewpub</t>
  </si>
  <si>
    <t>Well 80 Brewing Company</t>
  </si>
  <si>
    <t>Dueces Wild Brewery</t>
  </si>
  <si>
    <t>Humble Abode Brewing</t>
  </si>
  <si>
    <t>Shellring Ale Works</t>
  </si>
  <si>
    <t>Port Royal</t>
  </si>
  <si>
    <t>575 Brewing Company</t>
  </si>
  <si>
    <t>Alamogordo</t>
  </si>
  <si>
    <t>Airways Brewing Co</t>
  </si>
  <si>
    <t>Barrier Island Brewing</t>
  </si>
  <si>
    <t>St. Simons Island</t>
  </si>
  <si>
    <t>COVA Brewing Company</t>
  </si>
  <si>
    <t>De La Vega’s Pecan Grill and Brewery</t>
  </si>
  <si>
    <t>Dead Low Brewing</t>
  </si>
  <si>
    <t>Frog Level Brewing Company</t>
  </si>
  <si>
    <t>Grain Station Brew Works</t>
  </si>
  <si>
    <t>Heavy Brewing</t>
  </si>
  <si>
    <t>Gretna</t>
  </si>
  <si>
    <t>Imminent Brewing</t>
  </si>
  <si>
    <t>Northfield</t>
  </si>
  <si>
    <t>Mother Tucker Brewery</t>
  </si>
  <si>
    <t>Thornton</t>
  </si>
  <si>
    <t>Scout &amp; Scholar</t>
  </si>
  <si>
    <t>Bardstown</t>
  </si>
  <si>
    <t>Big Buck Brewery and Steakhouse - Gaylord</t>
  </si>
  <si>
    <t>Gaylord</t>
  </si>
  <si>
    <t>BoomTown Brewery and Woodfire Grill</t>
  </si>
  <si>
    <t>Hibbing</t>
  </si>
  <si>
    <t>Lunkenheimer Craft Brewing Co. LLC</t>
  </si>
  <si>
    <t>Weedsport</t>
  </si>
  <si>
    <t>Barley Brothers Brewery</t>
  </si>
  <si>
    <t>Brieux Carre Brewing Company</t>
  </si>
  <si>
    <t>Euryale Brewing Co</t>
  </si>
  <si>
    <t>Fulbrook Ale Works</t>
  </si>
  <si>
    <t>Hippin Hops Brewery</t>
  </si>
  <si>
    <t>Kite Hill Brewing Company</t>
  </si>
  <si>
    <t>Clemson</t>
  </si>
  <si>
    <t>Larrabee Lager Company</t>
  </si>
  <si>
    <t>Tidal Brewing Co</t>
  </si>
  <si>
    <t>Spring Hill</t>
  </si>
  <si>
    <t>Charleville Brewery &amp; Winery</t>
  </si>
  <si>
    <t>Sainte Genevieve</t>
  </si>
  <si>
    <t>Court Avenue Brewing Co</t>
  </si>
  <si>
    <t>GILD BREWING</t>
  </si>
  <si>
    <t>Hopsized Brewing Company</t>
  </si>
  <si>
    <t>Bonita Springs</t>
  </si>
  <si>
    <t>5 Rights Brewing Co</t>
  </si>
  <si>
    <t>Marysville</t>
  </si>
  <si>
    <t>Backroom Brewery</t>
  </si>
  <si>
    <t>Barrel and Beam</t>
  </si>
  <si>
    <t>Beehive Basin Brewery</t>
  </si>
  <si>
    <t>Big Sky</t>
  </si>
  <si>
    <t>BierWerks</t>
  </si>
  <si>
    <t>Woodland Park</t>
  </si>
  <si>
    <t>Dirigible Brewing Company</t>
  </si>
  <si>
    <t>Gella's Diner &amp; Liquid Bread Brewing Co</t>
  </si>
  <si>
    <t>Lookingglass  Brewery</t>
  </si>
  <si>
    <t>Winston</t>
  </si>
  <si>
    <t>Mahogany Ridge Brewery &amp; Grill</t>
  </si>
  <si>
    <t>Nano 108 Brewing Co</t>
  </si>
  <si>
    <t>Shamrock Brewing Company</t>
  </si>
  <si>
    <t>South Park Brewing</t>
  </si>
  <si>
    <t>ByGeorge Brewing Co.</t>
  </si>
  <si>
    <t>Munising</t>
  </si>
  <si>
    <t>Floating Feathers Brewing Company</t>
  </si>
  <si>
    <t>Mill Hall</t>
  </si>
  <si>
    <t>1940's Brewing Company</t>
  </si>
  <si>
    <t>Alesong Brewing &amp; Blending</t>
  </si>
  <si>
    <t>Bad Dog Brewing Company</t>
  </si>
  <si>
    <t>Torrington</t>
  </si>
  <si>
    <t>Clermont Brewing Company</t>
  </si>
  <si>
    <t>Lake Houston Brewery</t>
  </si>
  <si>
    <t>Huffman</t>
  </si>
  <si>
    <t>Pig Pounder Brewery</t>
  </si>
  <si>
    <t>Salt Springs Brewery</t>
  </si>
  <si>
    <t>Saline</t>
  </si>
  <si>
    <t>Burke-Gilman Brewing Company</t>
  </si>
  <si>
    <t>Party Beer Co.</t>
  </si>
  <si>
    <t>Sensory Smokehouse (7 Sins)</t>
  </si>
  <si>
    <t>Ripley</t>
  </si>
  <si>
    <t>Belt Line Brewery &amp; Kitchen</t>
  </si>
  <si>
    <t>JackAss Brewing Company</t>
  </si>
  <si>
    <t>Lewisburg</t>
  </si>
  <si>
    <t>Mythmaker Brewing</t>
  </si>
  <si>
    <t>Parkersburg Brewing Co</t>
  </si>
  <si>
    <t>Parkersburg</t>
  </si>
  <si>
    <t>Point Labaddie Brewery</t>
  </si>
  <si>
    <t>Labadie</t>
  </si>
  <si>
    <t>Whiteside Brewing Co</t>
  </si>
  <si>
    <t>Cashiers</t>
  </si>
  <si>
    <t>Brew and Feed Brewing</t>
  </si>
  <si>
    <t>Climbing Bines Craft Ale Company, LLC</t>
  </si>
  <si>
    <t>Gloucester Brewing Company</t>
  </si>
  <si>
    <t>Gloucester</t>
  </si>
  <si>
    <t>Hop District Community Brewing Co.</t>
  </si>
  <si>
    <t>La Grange Park</t>
  </si>
  <si>
    <t>Mancos Brewing Company</t>
  </si>
  <si>
    <t>Mancos</t>
  </si>
  <si>
    <t>Quirk Works Brewery &amp; Blendery</t>
  </si>
  <si>
    <t>Tor Brewing</t>
  </si>
  <si>
    <t>Van Lieus Brewing Company</t>
  </si>
  <si>
    <t>Bullmastiff Brewing</t>
  </si>
  <si>
    <t>Doomsday Brewing Co.</t>
  </si>
  <si>
    <t>Hello Monty / Dynamo Brewing</t>
  </si>
  <si>
    <t>Myrcene Ale</t>
  </si>
  <si>
    <t>Old Saybrook</t>
  </si>
  <si>
    <t>Naughty Oak Brewing Company</t>
  </si>
  <si>
    <t>Orcutt</t>
  </si>
  <si>
    <t>No Clue Craft Brewery</t>
  </si>
  <si>
    <t>Twin Leaf Brewery</t>
  </si>
  <si>
    <t>BAD Brewing Co</t>
  </si>
  <si>
    <t>Callsign Brewing</t>
  </si>
  <si>
    <t>Hound Song Brewing Co.</t>
  </si>
  <si>
    <t>Loco Boys Brewing Company</t>
  </si>
  <si>
    <t>Lower Left Brewing Co.</t>
  </si>
  <si>
    <t>Temperance</t>
  </si>
  <si>
    <t>Rentsch Brewery</t>
  </si>
  <si>
    <t>Stitch House Brewery</t>
  </si>
  <si>
    <t>Tin Mill Brewing Co</t>
  </si>
  <si>
    <t>Hermann</t>
  </si>
  <si>
    <t>Whitewall Brewing Company</t>
  </si>
  <si>
    <t>Beach Cat Brewing</t>
  </si>
  <si>
    <t>Breakwater Brewing Co</t>
  </si>
  <si>
    <t>Bridge And Tunnel Brewery</t>
  </si>
  <si>
    <t>Fruition Brewing</t>
  </si>
  <si>
    <t>Green Empire Brewing</t>
  </si>
  <si>
    <t>Colchester</t>
  </si>
  <si>
    <t>Nansemond Brewing Station</t>
  </si>
  <si>
    <t>Suffolk</t>
  </si>
  <si>
    <t>Replay Brewing</t>
  </si>
  <si>
    <t>SpringGate Brewery</t>
  </si>
  <si>
    <t>Wheatland Spring Farm + Brewery</t>
  </si>
  <si>
    <t>Waterford</t>
  </si>
  <si>
    <t>Bankhead Brewing Company</t>
  </si>
  <si>
    <t>Rowlett</t>
  </si>
  <si>
    <t>Barrels &amp; Bottles Brewery</t>
  </si>
  <si>
    <t>Mirror Image Brewing Co.</t>
  </si>
  <si>
    <t>Prosperity brewers</t>
  </si>
  <si>
    <t>Boca Raton</t>
  </si>
  <si>
    <t>Wandering Soul</t>
  </si>
  <si>
    <t>Wooden Bear Brewing Co</t>
  </si>
  <si>
    <t>Greenfield</t>
  </si>
  <si>
    <t>Edge City Brewery</t>
  </si>
  <si>
    <t>Ironclad Brewery</t>
  </si>
  <si>
    <t>Lilly Pad Hopyard Brewery</t>
  </si>
  <si>
    <t>Lancing</t>
  </si>
  <si>
    <t>Northern Pine Brewing</t>
  </si>
  <si>
    <t>Swing Barrel Brewing</t>
  </si>
  <si>
    <t>Moorhead</t>
  </si>
  <si>
    <t>Bluewood Brewing</t>
  </si>
  <si>
    <t>Bobbing Bobber Brewing Company</t>
  </si>
  <si>
    <t>Hutchinson</t>
  </si>
  <si>
    <t>Bog Brewing Company</t>
  </si>
  <si>
    <t>Fort Nonsense Brewing Company</t>
  </si>
  <si>
    <t>Randolph</t>
  </si>
  <si>
    <t>Twisted Track Brewpub</t>
  </si>
  <si>
    <t>Lost In the Wilds Brewing</t>
  </si>
  <si>
    <t>Shippenville</t>
  </si>
  <si>
    <t>Rare Bird Brewpub</t>
  </si>
  <si>
    <t>Rocky River Brewing Co</t>
  </si>
  <si>
    <t>Rocky River</t>
  </si>
  <si>
    <t>Severance Brewing Company</t>
  </si>
  <si>
    <t>Brew Link Brewing</t>
  </si>
  <si>
    <t>Point Ybel Brewing Company</t>
  </si>
  <si>
    <t>Tirrito Farm</t>
  </si>
  <si>
    <t>Willcox</t>
  </si>
  <si>
    <t>Willimantic Brewing Co and Main Street Cafe</t>
  </si>
  <si>
    <t>Highlands Hollow Brewhouse</t>
  </si>
  <si>
    <t>Jim Dandy Brewing</t>
  </si>
  <si>
    <t>Pocatello</t>
  </si>
  <si>
    <t>Lost City Brewing Company</t>
  </si>
  <si>
    <t>North Miami</t>
  </si>
  <si>
    <t>New Albanian Brewing Co</t>
  </si>
  <si>
    <t>New Albany</t>
  </si>
  <si>
    <t>Peoria Artisan Brewery</t>
  </si>
  <si>
    <t>Turkey Hill Brewing Co Pub</t>
  </si>
  <si>
    <t>Bloomsburg</t>
  </si>
  <si>
    <t>Alluvial Brewing Company</t>
  </si>
  <si>
    <t>Ames</t>
  </si>
  <si>
    <t>Barnett and Son Brewing Company</t>
  </si>
  <si>
    <t>Black Pond Brews</t>
  </si>
  <si>
    <t>Dayville</t>
  </si>
  <si>
    <t>Dog and Pony Show Brewing</t>
  </si>
  <si>
    <t>Fortress BeerWorks</t>
  </si>
  <si>
    <t>Spring</t>
  </si>
  <si>
    <t>Rad Beer Company</t>
  </si>
  <si>
    <t>Sunken Ship Brewing Company</t>
  </si>
  <si>
    <t>Banded Oak Brewing Company</t>
  </si>
  <si>
    <t>Flying Bike Cooperative Brewery</t>
  </si>
  <si>
    <t>Garland City Beer Works</t>
  </si>
  <si>
    <t>Watertown</t>
  </si>
  <si>
    <t>Kenosha Brewing Company</t>
  </si>
  <si>
    <t>Mount Olympus Brewing</t>
  </si>
  <si>
    <t>Pacific Plate Brewing Co</t>
  </si>
  <si>
    <t>Petty Thieves Brewing Company</t>
  </si>
  <si>
    <t>Pickett Brewing Company</t>
  </si>
  <si>
    <t>Settle Down Easy Brewing Company</t>
  </si>
  <si>
    <t>Falls Church</t>
  </si>
  <si>
    <t>Spare Keg Brewerks</t>
  </si>
  <si>
    <t>Vicious Cycle Brewing Company</t>
  </si>
  <si>
    <t>Fraser</t>
  </si>
  <si>
    <t>Wood Ridge Farm Brewery</t>
  </si>
  <si>
    <t>Lovingston</t>
  </si>
  <si>
    <t>Devout Brewing</t>
  </si>
  <si>
    <t>Export</t>
  </si>
  <si>
    <t>Fetish Brewing Co</t>
  </si>
  <si>
    <t>Lititz</t>
  </si>
  <si>
    <t>Blast 825 Brewery</t>
  </si>
  <si>
    <t>Brass Elk Brewing</t>
  </si>
  <si>
    <t>Mutation Brewing Company</t>
  </si>
  <si>
    <t>Old Herald Brewing Co</t>
  </si>
  <si>
    <t>Collinsville</t>
  </si>
  <si>
    <t>Paw Paw Brewing Company LLC</t>
  </si>
  <si>
    <t>PAW PAW</t>
  </si>
  <si>
    <t>RS Taylor and Sons Brewery</t>
  </si>
  <si>
    <t>Emerald Republic Brewing</t>
  </si>
  <si>
    <t>Fire On the Mountain Brewing Co</t>
  </si>
  <si>
    <t>Hightower Brewing Co</t>
  </si>
  <si>
    <t>Rayland</t>
  </si>
  <si>
    <t>Smelter Town Brewery</t>
  </si>
  <si>
    <t>Clarkdale</t>
  </si>
  <si>
    <t>Bent Run Brewing Co</t>
  </si>
  <si>
    <t>Bull Island Brewing Company</t>
  </si>
  <si>
    <t>Burning Brothers Brewing</t>
  </si>
  <si>
    <t>Kettell Beerworks</t>
  </si>
  <si>
    <t>Banner Elk</t>
  </si>
  <si>
    <t>Norse Brewing Company</t>
  </si>
  <si>
    <t>Wake Forest</t>
  </si>
  <si>
    <t>Two Hound Red Brewing Co.</t>
  </si>
  <si>
    <t>Glen Ellyn</t>
  </si>
  <si>
    <t>Alga Beer Company</t>
  </si>
  <si>
    <t>Draft Republic Brewing</t>
  </si>
  <si>
    <t>Gyppo Ale Mill</t>
  </si>
  <si>
    <t>Shelter Cove</t>
  </si>
  <si>
    <t>Hop Nuts Brewing LLC</t>
  </si>
  <si>
    <t>Howling Rabbits Beer Works</t>
  </si>
  <si>
    <t>McAllen</t>
  </si>
  <si>
    <t>Rotunda Brewing</t>
  </si>
  <si>
    <t>Annville</t>
  </si>
  <si>
    <t>Rusty Axe Brewing Company</t>
  </si>
  <si>
    <t>Lufkin</t>
  </si>
  <si>
    <t>The Brewing Lair</t>
  </si>
  <si>
    <t>Twisted District Brew Co</t>
  </si>
  <si>
    <t>Washington Brewing Co</t>
  </si>
  <si>
    <t>Honest Weight Artisan Beer</t>
  </si>
  <si>
    <t>StormKing Brewpub and Barbecue</t>
  </si>
  <si>
    <t>Amani Brewing Company</t>
  </si>
  <si>
    <t>Martinsburg</t>
  </si>
  <si>
    <t>Bog Iron Brewing Co</t>
  </si>
  <si>
    <t>Norton</t>
  </si>
  <si>
    <t>Broken Boundary Brewery</t>
  </si>
  <si>
    <t>Covered Bridge Brewery</t>
  </si>
  <si>
    <t>Cottage Grove</t>
  </si>
  <si>
    <t>Edgewise Eight Brewing</t>
  </si>
  <si>
    <t>Weatherford</t>
  </si>
  <si>
    <t>Lauter Haus Brewing Co</t>
  </si>
  <si>
    <t>Sedona Beer Company</t>
  </si>
  <si>
    <t>Square State Brewing</t>
  </si>
  <si>
    <t>Rock Springs</t>
  </si>
  <si>
    <t>Stoney Creek Brewhouse</t>
  </si>
  <si>
    <t>Swedesboro Brewing Company</t>
  </si>
  <si>
    <t>Swedesboro</t>
  </si>
  <si>
    <t>TennFold Brewing</t>
  </si>
  <si>
    <t>The Cape Brewing Company</t>
  </si>
  <si>
    <t>Jenks</t>
  </si>
  <si>
    <t>Beardless Brewhaus</t>
  </si>
  <si>
    <t>Milton</t>
  </si>
  <si>
    <t>Brues Alehouse Brewing Company</t>
  </si>
  <si>
    <t>Flytrap Brewing</t>
  </si>
  <si>
    <t>Gristworkz</t>
  </si>
  <si>
    <t>Southern Ohio Brewing</t>
  </si>
  <si>
    <t>Suds Brothers Brewing Co</t>
  </si>
  <si>
    <t>Fruita</t>
  </si>
  <si>
    <t>Bridge 99 Brewery</t>
  </si>
  <si>
    <t>Elm City Brewing Company</t>
  </si>
  <si>
    <t>Far Gohn Brewing Company</t>
  </si>
  <si>
    <t>Culpeper</t>
  </si>
  <si>
    <t>Railroad Brewing Company</t>
  </si>
  <si>
    <t>Roosevelt Brewing Company</t>
  </si>
  <si>
    <t>Portales</t>
  </si>
  <si>
    <t>Sandhills Brewing</t>
  </si>
  <si>
    <t>Amorphic Beer</t>
  </si>
  <si>
    <t>Cage Brewing</t>
  </si>
  <si>
    <t>Hook Point Brewing Co.</t>
  </si>
  <si>
    <t>Collierville</t>
  </si>
  <si>
    <t>Little City Brewing Co.</t>
  </si>
  <si>
    <t>Northville</t>
  </si>
  <si>
    <t>Railhouse Restaurant and Brewery</t>
  </si>
  <si>
    <t>Marinette</t>
  </si>
  <si>
    <t>Darkness Brewing</t>
  </si>
  <si>
    <t>Talking Cursive Brewing Company</t>
  </si>
  <si>
    <t>Backward Flag Brewing</t>
  </si>
  <si>
    <t>Forked River</t>
  </si>
  <si>
    <t>Button Brew House, LLC</t>
  </si>
  <si>
    <t>ONCO Fermentations</t>
  </si>
  <si>
    <t>Twisted Hippo</t>
  </si>
  <si>
    <t>Warfield Distillery and Brewery</t>
  </si>
  <si>
    <t>Ketchum</t>
  </si>
  <si>
    <t>Coos Brewing Company</t>
  </si>
  <si>
    <t>Colebrook</t>
  </si>
  <si>
    <t>Nik &amp; Ivy Brewing Company</t>
  </si>
  <si>
    <t>Northspur Brewing Co</t>
  </si>
  <si>
    <t>Willits</t>
  </si>
  <si>
    <t>The Grain Shed</t>
  </si>
  <si>
    <t>Barking Rose Brewing Co + Farm</t>
  </si>
  <si>
    <t>Warrenton</t>
  </si>
  <si>
    <t>Boscos Restaurant &amp; Brewing Company</t>
  </si>
  <si>
    <t>Elk Head Brewing Co</t>
  </si>
  <si>
    <t>Buckley</t>
  </si>
  <si>
    <t>Humble Farmer Brewing Co., Inc.</t>
  </si>
  <si>
    <t>Holtville</t>
  </si>
  <si>
    <t>Jam Room Brewing Co</t>
  </si>
  <si>
    <t>Greentown</t>
  </si>
  <si>
    <t>Magnuson Brewery</t>
  </si>
  <si>
    <t>Marley's Brewery</t>
  </si>
  <si>
    <t>Millstadt</t>
  </si>
  <si>
    <t>Milner's Gate - Craft Brewery</t>
  </si>
  <si>
    <t>Rok House Brewing Co., LLC</t>
  </si>
  <si>
    <t>Runaway Train Brewery</t>
  </si>
  <si>
    <t>Honesdale</t>
  </si>
  <si>
    <t>Shiny Top Brewing</t>
  </si>
  <si>
    <t>Fort Dodge</t>
  </si>
  <si>
    <t>St Elias Brewing Co</t>
  </si>
  <si>
    <t>Steam Mill Brewing</t>
  </si>
  <si>
    <t>Bethel</t>
  </si>
  <si>
    <t>Tin Cannon Brewing Company</t>
  </si>
  <si>
    <t>Field Artisan Brewing</t>
  </si>
  <si>
    <t>Ormond Garage</t>
  </si>
  <si>
    <t>Clairvoyant Brewing</t>
  </si>
  <si>
    <t>Deluxe Brewing Co</t>
  </si>
  <si>
    <t>Hopothecary Ales</t>
  </si>
  <si>
    <t>North Reading</t>
  </si>
  <si>
    <t>Leadfoot Brewing</t>
  </si>
  <si>
    <t>Chicopee</t>
  </si>
  <si>
    <t>Noble Stein Brewing Co.</t>
  </si>
  <si>
    <t>Wildrose Brewing Company</t>
  </si>
  <si>
    <t>Griffith</t>
  </si>
  <si>
    <t>Electric Brewing Co</t>
  </si>
  <si>
    <t>Loco Patron Mexican Brewery</t>
  </si>
  <si>
    <t>Roughhouse Brewing</t>
  </si>
  <si>
    <t>Timberyard Brewing Co.</t>
  </si>
  <si>
    <t>East Brookfield</t>
  </si>
  <si>
    <t>2 Basset Brewery</t>
  </si>
  <si>
    <t>White Sulphur Springs</t>
  </si>
  <si>
    <t>Arrowhead Ales Brewing Company</t>
  </si>
  <si>
    <t>New Lenox</t>
  </si>
  <si>
    <t>Back Shed Brewing</t>
  </si>
  <si>
    <t>Waite Park</t>
  </si>
  <si>
    <t>Cranky Sam Brewing</t>
  </si>
  <si>
    <t>Elst Brewing Company</t>
  </si>
  <si>
    <t>Golden Block Brewery</t>
  </si>
  <si>
    <t>Mudhen Brewing Company</t>
  </si>
  <si>
    <t>Wildwood</t>
  </si>
  <si>
    <t>Orange County Brewers</t>
  </si>
  <si>
    <t>Lake Mary</t>
  </si>
  <si>
    <t>Overtime Brewing</t>
  </si>
  <si>
    <t>Radio Brewing Company</t>
  </si>
  <si>
    <t>Kellogg</t>
  </si>
  <si>
    <t>Union 32 Crafthouse</t>
  </si>
  <si>
    <t>Eagan</t>
  </si>
  <si>
    <t>UpCountry Brewing Company</t>
  </si>
  <si>
    <t>Adopted Dog Brewing</t>
  </si>
  <si>
    <t>Brewlando</t>
  </si>
  <si>
    <t>Horned Owl Brewing</t>
  </si>
  <si>
    <t>Ladd &amp; Lass Brewing</t>
  </si>
  <si>
    <t>Simple Roots Brewing Co</t>
  </si>
  <si>
    <t>Wharf Hill Brewing</t>
  </si>
  <si>
    <t>Brewery Fire</t>
  </si>
  <si>
    <t>Taneytown</t>
  </si>
  <si>
    <t>Busted Knuckle Brewery</t>
  </si>
  <si>
    <t>Glasgow</t>
  </si>
  <si>
    <t>Whitehall</t>
  </si>
  <si>
    <t>FOUR CORNERS BREWERY INC DBA MAIN STREET BREWERY &amp; RESTAURANT</t>
  </si>
  <si>
    <t>CORTEZ</t>
  </si>
  <si>
    <t>Grace Ridge Brewing, Inc.</t>
  </si>
  <si>
    <t>Hairy Cow Brewing Company</t>
  </si>
  <si>
    <t>Byron</t>
  </si>
  <si>
    <t>Moonlight Pizza</t>
  </si>
  <si>
    <t>One Love Brewery</t>
  </si>
  <si>
    <t>Open Outcry Brewing</t>
  </si>
  <si>
    <t>Pint &amp; Plow</t>
  </si>
  <si>
    <t>Kerrville</t>
  </si>
  <si>
    <t>Pitchfork Brewing</t>
  </si>
  <si>
    <t>Pro-Five Brewing Company</t>
  </si>
  <si>
    <t>Republic Brewing Co</t>
  </si>
  <si>
    <t>Republic</t>
  </si>
  <si>
    <t>Selvedge Brewing</t>
  </si>
  <si>
    <t>Holden</t>
  </si>
  <si>
    <t>Tipping Point Brewing Co.</t>
  </si>
  <si>
    <t>Two Weeks Notice Brewing</t>
  </si>
  <si>
    <t>West Springfield</t>
  </si>
  <si>
    <t>Wax Wings Brewing Co</t>
  </si>
  <si>
    <t>Wolf &amp; Warrior Brewing Company</t>
  </si>
  <si>
    <t>White Plains</t>
  </si>
  <si>
    <t>12 Fox Beer Co</t>
  </si>
  <si>
    <t>Clinch River Brewing</t>
  </si>
  <si>
    <t>Norris</t>
  </si>
  <si>
    <t>Cooper and Mill Brewing Company</t>
  </si>
  <si>
    <t>Bartlesville</t>
  </si>
  <si>
    <t>Dalton Brewing Company</t>
  </si>
  <si>
    <t>Deft Brewing</t>
  </si>
  <si>
    <t>Dream State Brewing</t>
  </si>
  <si>
    <t>Garage Band Brewing</t>
  </si>
  <si>
    <t>Holsopple Brewing</t>
  </si>
  <si>
    <t>Iron Key Brewing Company</t>
  </si>
  <si>
    <t>LandLocked Ales</t>
  </si>
  <si>
    <t>Local Oak Brewing Company</t>
  </si>
  <si>
    <t>Winterville</t>
  </si>
  <si>
    <t>Ogma Brewing Company</t>
  </si>
  <si>
    <t>Old Hights Brewing Company</t>
  </si>
  <si>
    <t>Hightstown</t>
  </si>
  <si>
    <t>Paradigm Shift Brewing</t>
  </si>
  <si>
    <t>Massillon</t>
  </si>
  <si>
    <t>Solano Brewing Company</t>
  </si>
  <si>
    <t>Vacaville</t>
  </si>
  <si>
    <t>The Courtyard Brewery</t>
  </si>
  <si>
    <t>Upshift Brewing Company LLC</t>
  </si>
  <si>
    <t>Black Shirt Brewing Co</t>
  </si>
  <si>
    <t>Conny Creek Brewing Co</t>
  </si>
  <si>
    <t>New Kensington</t>
  </si>
  <si>
    <t>Dade City Brew House</t>
  </si>
  <si>
    <t>Dade City</t>
  </si>
  <si>
    <t>North 20 Brewing Co</t>
  </si>
  <si>
    <t>Rosemount</t>
  </si>
  <si>
    <t>Round Man Brewing Co.</t>
  </si>
  <si>
    <t>Spooner</t>
  </si>
  <si>
    <t>The Lab, LLC</t>
  </si>
  <si>
    <t>Barrel Oak Brewery</t>
  </si>
  <si>
    <t>Delaplane</t>
  </si>
  <si>
    <t>Citizen Brewers</t>
  </si>
  <si>
    <t>Copper Club Brewing Co.</t>
  </si>
  <si>
    <t>Fast Fashion Beer</t>
  </si>
  <si>
    <t>Tenma Beer Project</t>
  </si>
  <si>
    <t>The Tap Brewing Company</t>
  </si>
  <si>
    <t>Haverhill</t>
  </si>
  <si>
    <t>Thornapple Brewing Company</t>
  </si>
  <si>
    <t>Triple Dog Brewing Company</t>
  </si>
  <si>
    <t>Havre</t>
  </si>
  <si>
    <t>Trouvaille Brewing Company</t>
  </si>
  <si>
    <t>Haymarket</t>
  </si>
  <si>
    <t>Warrior Brewing Company</t>
  </si>
  <si>
    <t>Bear Island Brewing Company</t>
  </si>
  <si>
    <t>FH Beerworks</t>
  </si>
  <si>
    <t>Ghost Harbor Brewing Company</t>
  </si>
  <si>
    <t>Elizabeth City</t>
  </si>
  <si>
    <t>Klooz Brewz</t>
  </si>
  <si>
    <t>LUKI Brewery</t>
  </si>
  <si>
    <t>Makai Brewing Company</t>
  </si>
  <si>
    <t>Ocean Isle Beach</t>
  </si>
  <si>
    <t>Rock Hill Brewing Company</t>
  </si>
  <si>
    <t>Stronghouse Brewery</t>
  </si>
  <si>
    <t>Valdez Brewing</t>
  </si>
  <si>
    <t>Valdez</t>
  </si>
  <si>
    <t>Fam's Brewing Company</t>
  </si>
  <si>
    <t>Rockyard Brewing Company</t>
  </si>
  <si>
    <t>State Room Brewery</t>
  </si>
  <si>
    <t>Twisted Irons Craft Brewing Co</t>
  </si>
  <si>
    <t>WoodGrain Brewing Company</t>
  </si>
  <si>
    <t>Argilla Brewing Co @ Pietro's Pizza</t>
  </si>
  <si>
    <t>Blue Springs Brewing</t>
  </si>
  <si>
    <t>Orange City</t>
  </si>
  <si>
    <t>Cult Classic Brewing</t>
  </si>
  <si>
    <t>Fort Orange Brewing</t>
  </si>
  <si>
    <t>Hop Tree Brewing Ltd</t>
  </si>
  <si>
    <t>Liquid Hero Brewery</t>
  </si>
  <si>
    <t>Three Magnets Brewing</t>
  </si>
  <si>
    <t>Bucks Mill Brewing</t>
  </si>
  <si>
    <t>Detroit Lakes</t>
  </si>
  <si>
    <t>Knucklehead Craft Brewing</t>
  </si>
  <si>
    <t>South Of North Brewing Company</t>
  </si>
  <si>
    <t>Quattro Goombas Brewery</t>
  </si>
  <si>
    <t>Aldie</t>
  </si>
  <si>
    <t>Vendetta  Brewing Company</t>
  </si>
  <si>
    <t>1849 Brewing Company</t>
  </si>
  <si>
    <t>Dodging Duck Brewhaus</t>
  </si>
  <si>
    <t>Elder Brewing Co.</t>
  </si>
  <si>
    <t>Joliet</t>
  </si>
  <si>
    <t>Elk River Brewing Co.</t>
  </si>
  <si>
    <t>Elkton</t>
  </si>
  <si>
    <t>Kitsune Brewing Company</t>
  </si>
  <si>
    <t>Twin Span Brewing</t>
  </si>
  <si>
    <t>Workshop Brewing Company</t>
  </si>
  <si>
    <t>Animated Brewing Company</t>
  </si>
  <si>
    <t>Coatesville</t>
  </si>
  <si>
    <t>Bar 3 BBQ and Brewing</t>
  </si>
  <si>
    <t>Back Barn Brewing Company</t>
  </si>
  <si>
    <t>Delanson</t>
  </si>
  <si>
    <t>Edison Brewing Company</t>
  </si>
  <si>
    <t>Gahanna</t>
  </si>
  <si>
    <t>Fair-Weather Friend LLC</t>
  </si>
  <si>
    <t>Lost Shoe Brewing and Roasting Company</t>
  </si>
  <si>
    <t>Marlborough</t>
  </si>
  <si>
    <t>Somerset Brewing Company</t>
  </si>
  <si>
    <t>West Hempstead</t>
  </si>
  <si>
    <t>TIL Brewing</t>
  </si>
  <si>
    <t>Vibrant Shore Brewing Company</t>
  </si>
  <si>
    <t>Caledonia Brewing</t>
  </si>
  <si>
    <t>Drunken Rabbit Brewing</t>
  </si>
  <si>
    <t>South Hadley</t>
  </si>
  <si>
    <t>Ellensburg Brewing and Tilted Tree Cider</t>
  </si>
  <si>
    <t>Manitou Brewing Company</t>
  </si>
  <si>
    <t>Manitou Springs</t>
  </si>
  <si>
    <t>Phantom  Brewing Company</t>
  </si>
  <si>
    <t>Project Barley Brewery</t>
  </si>
  <si>
    <t>Tox Brewing Company</t>
  </si>
  <si>
    <t>Big Bear Lake Brewing Co</t>
  </si>
  <si>
    <t>Big Bear Lake</t>
  </si>
  <si>
    <t>Crazy Rooster Brewing Company</t>
  </si>
  <si>
    <t>Powhatan</t>
  </si>
  <si>
    <t>New City Brewery</t>
  </si>
  <si>
    <t>Westlake Brewing Company</t>
  </si>
  <si>
    <t>Atlantucky Brewing</t>
  </si>
  <si>
    <t>Big Beaver Brewing Co</t>
  </si>
  <si>
    <t>Brewery Terra Firma</t>
  </si>
  <si>
    <t>CJs Brewing Co</t>
  </si>
  <si>
    <t>Montavilla Brew Works</t>
  </si>
  <si>
    <t>Okoboji Brewing Co</t>
  </si>
  <si>
    <t>Spirit Lake</t>
  </si>
  <si>
    <t>Stormhouse Brewing</t>
  </si>
  <si>
    <t>North Palm Beach</t>
  </si>
  <si>
    <t>Summit City Brewerks</t>
  </si>
  <si>
    <t>Wood Boat Brewery</t>
  </si>
  <si>
    <t>Altitude Chophouse &amp; Brewery</t>
  </si>
  <si>
    <t>Blue Ghost Brewing Company</t>
  </si>
  <si>
    <t>Fletcher</t>
  </si>
  <si>
    <t>Bookhouse Brewing, LLC.</t>
  </si>
  <si>
    <t>Irish Mafia Brewing Co</t>
  </si>
  <si>
    <t>Mosinee Brewing Company</t>
  </si>
  <si>
    <t>Mosinee</t>
  </si>
  <si>
    <t>Parker County Brewing Co.</t>
  </si>
  <si>
    <t>Willow Park</t>
  </si>
  <si>
    <t>Aurora Brewing Co.</t>
  </si>
  <si>
    <t>King Ferry</t>
  </si>
  <si>
    <t>Blue Tractor Brewing Co</t>
  </si>
  <si>
    <t>Death Ridge Brewery</t>
  </si>
  <si>
    <t>Jeffersonton</t>
  </si>
  <si>
    <t>Good Measure Brewing Co</t>
  </si>
  <si>
    <t>Intrinsic Brewing</t>
  </si>
  <si>
    <t>Tall Trellis Brew Co.</t>
  </si>
  <si>
    <t>Twin Creeks Brewing Company</t>
  </si>
  <si>
    <t>Vinton</t>
  </si>
  <si>
    <t>1886 Brewing Company</t>
  </si>
  <si>
    <t>Fuzzyline Brewing Co</t>
  </si>
  <si>
    <t>Highland</t>
  </si>
  <si>
    <t>New Madison Brewing</t>
  </si>
  <si>
    <t>Rumor Brewing Company</t>
  </si>
  <si>
    <t>Cedar Crest</t>
  </si>
  <si>
    <t>Snow Eagle Brewing</t>
  </si>
  <si>
    <t>ALT Brew / Greenview Brewing LLC</t>
  </si>
  <si>
    <t>Black Horizon Brewing Company</t>
  </si>
  <si>
    <t>Willowbrook</t>
  </si>
  <si>
    <t>CR Brewing Company</t>
  </si>
  <si>
    <t>New Castle</t>
  </si>
  <si>
    <t>Erie Ale Works</t>
  </si>
  <si>
    <t>FlyBoy Brewery and Pub</t>
  </si>
  <si>
    <t>Krogh's Restaurant and Brewpub</t>
  </si>
  <si>
    <t>New Groove Artisan Brewery</t>
  </si>
  <si>
    <t>North Idaho Mountain Brew / City Limits Pub</t>
  </si>
  <si>
    <t>Pangaea Brewing Company</t>
  </si>
  <si>
    <t>Red Clay Brewing Company</t>
  </si>
  <si>
    <t>Opelika</t>
  </si>
  <si>
    <t>Revelation Ale Works</t>
  </si>
  <si>
    <t>Hallock</t>
  </si>
  <si>
    <t>Sawbelly Brewing</t>
  </si>
  <si>
    <t>Schaylor Brewing Company</t>
  </si>
  <si>
    <t>Reading</t>
  </si>
  <si>
    <t>Sig Luscher Brewery</t>
  </si>
  <si>
    <t>Whistle Hop Brewing Company</t>
  </si>
  <si>
    <t>Fairview</t>
  </si>
  <si>
    <t>1812 Brewing Company</t>
  </si>
  <si>
    <t>Big Trout Brewing Company</t>
  </si>
  <si>
    <t>Eris Brewery And Cider House</t>
  </si>
  <si>
    <t>Hay Camp Brewing Company</t>
  </si>
  <si>
    <t>Ozona Brewing Company</t>
  </si>
  <si>
    <t>Roundhouse Depot Brewing Co. Llc</t>
  </si>
  <si>
    <t>Bellefontaine</t>
  </si>
  <si>
    <t>The Borough Beer Co. &amp; Kitchen</t>
  </si>
  <si>
    <t>7018 Brewery</t>
  </si>
  <si>
    <t>Elko</t>
  </si>
  <si>
    <t>Grain Theory</t>
  </si>
  <si>
    <t>Abilene</t>
  </si>
  <si>
    <t>Here Today Brewery and Kitchen</t>
  </si>
  <si>
    <t>Hop Hill Brewing Company</t>
  </si>
  <si>
    <t>Kinship Brewing Company</t>
  </si>
  <si>
    <t>Waukee</t>
  </si>
  <si>
    <t>Bearded Brewer Artisan Ales</t>
  </si>
  <si>
    <t>Bennidito's Brewpub</t>
  </si>
  <si>
    <t>Burzurk Brewing Company, LLC</t>
  </si>
  <si>
    <t>Dogleg Brewing Company</t>
  </si>
  <si>
    <t>Epicure Brewing</t>
  </si>
  <si>
    <t>Norwich</t>
  </si>
  <si>
    <t>Hops &amp; Spokes Brewing Company</t>
  </si>
  <si>
    <t>Paskenta Brewery &amp; Distillery</t>
  </si>
  <si>
    <t>Route 30 Brewing Company</t>
  </si>
  <si>
    <t>Vigilant Brewing</t>
  </si>
  <si>
    <t>Day Block Brewing Company</t>
  </si>
  <si>
    <t>Engrained Brewing Company</t>
  </si>
  <si>
    <t>Fiala Brothers Brewery and Beer Hall</t>
  </si>
  <si>
    <t>Normal</t>
  </si>
  <si>
    <t>Mad Hatchet Brewing</t>
  </si>
  <si>
    <t>SHOREWOOD</t>
  </si>
  <si>
    <t>Nauti Dog Brewing Co</t>
  </si>
  <si>
    <t>Publication Brew Works</t>
  </si>
  <si>
    <t>Pennsburg</t>
  </si>
  <si>
    <t>Rolling Oak Brewing Co</t>
  </si>
  <si>
    <t>Grayling</t>
  </si>
  <si>
    <t>Sons Of Toil Brewing LLC</t>
  </si>
  <si>
    <t>Mount Orab</t>
  </si>
  <si>
    <t>Speckled Pig Brewing Co.</t>
  </si>
  <si>
    <t>Staas Brewing Company</t>
  </si>
  <si>
    <t>Supernatural Brewing and Spirits</t>
  </si>
  <si>
    <t>Valley Brewing Co</t>
  </si>
  <si>
    <t>Will County Brewing Company</t>
  </si>
  <si>
    <t>Back Unturned Brewing Co.</t>
  </si>
  <si>
    <t>Gambit Brewing Company</t>
  </si>
  <si>
    <t>Hidden Trail Brewing</t>
  </si>
  <si>
    <t>HIGH NINE BREWING</t>
  </si>
  <si>
    <t>Deep River</t>
  </si>
  <si>
    <t>Keowee Brewing Company</t>
  </si>
  <si>
    <t>Seneca</t>
  </si>
  <si>
    <t>Lake Wylie Brewing Co</t>
  </si>
  <si>
    <t>Lebanon Valley Craft Brewery</t>
  </si>
  <si>
    <t>Mica Town Brewing</t>
  </si>
  <si>
    <t>Sidetrack Brewing Company</t>
  </si>
  <si>
    <t>The Beer Den Cavern @ Lowes Food</t>
  </si>
  <si>
    <t>Simpsonville</t>
  </si>
  <si>
    <t>Zymurcracy Beer Company</t>
  </si>
  <si>
    <t>Baere Brewing Company</t>
  </si>
  <si>
    <t>Fermata Brewing Company</t>
  </si>
  <si>
    <t>Ambridge</t>
  </si>
  <si>
    <t>Guttenberg Brewing Company</t>
  </si>
  <si>
    <t>Guttenberg</t>
  </si>
  <si>
    <t>Lake Monster Brewing</t>
  </si>
  <si>
    <t>Boneshire Brew Works</t>
  </si>
  <si>
    <t>Burnish Beer Co.</t>
  </si>
  <si>
    <t>Norbrook Farm Brewery</t>
  </si>
  <si>
    <t>Peach Barn Farmhouse and Brewery</t>
  </si>
  <si>
    <t>Sister Bay</t>
  </si>
  <si>
    <t>Starpoint Brewing, LLC</t>
  </si>
  <si>
    <t>Bay Boys Brewing</t>
  </si>
  <si>
    <t>Inland Wharf Brewing Company</t>
  </si>
  <si>
    <t>Rough Edges Brewing</t>
  </si>
  <si>
    <t>The Viking Braggot Company</t>
  </si>
  <si>
    <t>Trade Brewing</t>
  </si>
  <si>
    <t>Napa</t>
  </si>
  <si>
    <t>Old Factory Brewing Company</t>
  </si>
  <si>
    <t>Cairo</t>
  </si>
  <si>
    <t>Salud Cerveceria</t>
  </si>
  <si>
    <t>Ausable Brewing Co</t>
  </si>
  <si>
    <t>Keeseville</t>
  </si>
  <si>
    <t>Old Germantown</t>
  </si>
  <si>
    <t>Spangalang Brewery</t>
  </si>
  <si>
    <t>Fine Creek Brewing Company</t>
  </si>
  <si>
    <t>Levi Garrison &amp; Sons Brewing Company</t>
  </si>
  <si>
    <t>Nine Spot Brewing</t>
  </si>
  <si>
    <t>North Sound Brewing Co.</t>
  </si>
  <si>
    <t>1907 Brewing Company</t>
  </si>
  <si>
    <t>Morristown</t>
  </si>
  <si>
    <t>Chimney Rock Brewing Co. &amp; Mars Theatre Brewing Co.</t>
  </si>
  <si>
    <t>Chimney Rock</t>
  </si>
  <si>
    <t>Double Tap Brewing</t>
  </si>
  <si>
    <t>Whippany</t>
  </si>
  <si>
    <t>Elderbrew</t>
  </si>
  <si>
    <t>Harding House Brewing Company</t>
  </si>
  <si>
    <t>Hoodletown Brewing Co</t>
  </si>
  <si>
    <t>Las Vegas Brewing Company</t>
  </si>
  <si>
    <t>Mahalo Aleworks</t>
  </si>
  <si>
    <t>Makawao</t>
  </si>
  <si>
    <t>Rock Coast Brewery</t>
  </si>
  <si>
    <t>Somers Point Brewing Company</t>
  </si>
  <si>
    <t>Somers Point</t>
  </si>
  <si>
    <t>2Toms Brewing Company</t>
  </si>
  <si>
    <t>Earthen Ales</t>
  </si>
  <si>
    <t>Main Channel Brewing Company</t>
  </si>
  <si>
    <t>Guntersville</t>
  </si>
  <si>
    <t>Pacific Beach Ale House</t>
  </si>
  <si>
    <t>Platypus Brewing</t>
  </si>
  <si>
    <t>Southern Yankee Beer Company</t>
  </si>
  <si>
    <t>Tun Tavern Brewery and Restaurant</t>
  </si>
  <si>
    <t>Windmills Brewery and Restaurant</t>
  </si>
  <si>
    <t>Zydeco Brew Werks</t>
  </si>
  <si>
    <t>Border Brewing Company</t>
  </si>
  <si>
    <t>Braselton Brewing Company</t>
  </si>
  <si>
    <t>Brass Brewing Company</t>
  </si>
  <si>
    <t>Burns Family Artisan Ales</t>
  </si>
  <si>
    <t>Cairn Brewing</t>
  </si>
  <si>
    <t>Kenmore</t>
  </si>
  <si>
    <t>Ferguson Brewing Co</t>
  </si>
  <si>
    <t>Flossmoor Station Brewing Co</t>
  </si>
  <si>
    <t>Flossmoor</t>
  </si>
  <si>
    <t>Innovation Brew Works</t>
  </si>
  <si>
    <t>Sidellis Lake Tahoe</t>
  </si>
  <si>
    <t>Smoke Brewing Company</t>
  </si>
  <si>
    <t>Tanner Brewing Co</t>
  </si>
  <si>
    <t>Haddon Heights</t>
  </si>
  <si>
    <t>3 Bridges Brewing</t>
  </si>
  <si>
    <t>9th Hour Brewing Company LLC</t>
  </si>
  <si>
    <t>Backslope Brewing</t>
  </si>
  <si>
    <t>Columbia Falls</t>
  </si>
  <si>
    <t>Fire Ant Brewing Company</t>
  </si>
  <si>
    <t>High Ground Brewing</t>
  </si>
  <si>
    <t>Terra Alta</t>
  </si>
  <si>
    <t>10K Brewing</t>
  </si>
  <si>
    <t>Anoka</t>
  </si>
  <si>
    <t>Bucks County Brewery</t>
  </si>
  <si>
    <t>Pipersville</t>
  </si>
  <si>
    <t>Chapel + Main</t>
  </si>
  <si>
    <t>Cochran Mill Brewing Company, LLC</t>
  </si>
  <si>
    <t>Fairburn</t>
  </si>
  <si>
    <t>Crasian Brewing Co</t>
  </si>
  <si>
    <t>Brookston</t>
  </si>
  <si>
    <t>Millennial Brewing Company</t>
  </si>
  <si>
    <t>Motor City Brewing Works</t>
  </si>
  <si>
    <t>RockSolid Brewing Co</t>
  </si>
  <si>
    <t>Ball Ground</t>
  </si>
  <si>
    <t>The Iowa Project Brewing Co</t>
  </si>
  <si>
    <t>Spencer</t>
  </si>
  <si>
    <t>Bespoke Brewing</t>
  </si>
  <si>
    <t>Ronks</t>
  </si>
  <si>
    <t>Carbondale Beer Works</t>
  </si>
  <si>
    <t>Chubby Squirrel Brewing Company</t>
  </si>
  <si>
    <t>Coddington Brewing Co</t>
  </si>
  <si>
    <t>Crime &amp; Punishment Brewing Company</t>
  </si>
  <si>
    <t>High Pines Brewing Company</t>
  </si>
  <si>
    <t>Long Valley Pub and Brewery</t>
  </si>
  <si>
    <t>Long Valley</t>
  </si>
  <si>
    <t>Lovedraft's Brewing Co</t>
  </si>
  <si>
    <t>Milford Point Brewing Company</t>
  </si>
  <si>
    <t>Poor House Brewing</t>
  </si>
  <si>
    <t>Shy Bear Brewing</t>
  </si>
  <si>
    <t>Lewistown</t>
  </si>
  <si>
    <t>Site-1 Brewing Company</t>
  </si>
  <si>
    <t>Sixth Sense Brewing Company</t>
  </si>
  <si>
    <t>Steeplejack Brewing Company</t>
  </si>
  <si>
    <t>These Guys Brewing Company</t>
  </si>
  <si>
    <t>Township 7 Brewing Co. LLC</t>
  </si>
  <si>
    <t>Dickinson Center</t>
  </si>
  <si>
    <t>West Passage Brewing Company</t>
  </si>
  <si>
    <t>Anvil and Forge Brewery and Distillery</t>
  </si>
  <si>
    <t>Gull Lake Distilling Company</t>
  </si>
  <si>
    <t>Keel Farms Agrarian Ale + Cider</t>
  </si>
  <si>
    <t>Plant City</t>
  </si>
  <si>
    <t>Primeval Brewing</t>
  </si>
  <si>
    <t>Noblesville</t>
  </si>
  <si>
    <t>1487 Brewery</t>
  </si>
  <si>
    <t>Plain City</t>
  </si>
  <si>
    <t>B.O.B.'s Brewery</t>
  </si>
  <si>
    <t>Big Inlet Brewing</t>
  </si>
  <si>
    <t>Mayville</t>
  </si>
  <si>
    <t>Black Mountain Brewing</t>
  </si>
  <si>
    <t>Cuyuna Brewing Company</t>
  </si>
  <si>
    <t>Crosby</t>
  </si>
  <si>
    <t>Forgotten Road Ales</t>
  </si>
  <si>
    <t>Graham</t>
  </si>
  <si>
    <t>Liquid Gravity Brewing Company</t>
  </si>
  <si>
    <t>Nickel Beer Company</t>
  </si>
  <si>
    <t>Reve Brewing</t>
  </si>
  <si>
    <t>Ridgefield Craft Brewing Co.</t>
  </si>
  <si>
    <t>Talleysville Brewing Company</t>
  </si>
  <si>
    <t>New Kent</t>
  </si>
  <si>
    <t>LTS Brewing Company</t>
  </si>
  <si>
    <t>Nook Brewing Company</t>
  </si>
  <si>
    <t>Prison Break Brewery</t>
  </si>
  <si>
    <t>Rattlesnake Mountain Brewery / Kimo's Restaurant</t>
  </si>
  <si>
    <t>Black Bridge Brewery</t>
  </si>
  <si>
    <t>Broad Ripple Brewing Co</t>
  </si>
  <si>
    <t>Ravenous Brewing Company</t>
  </si>
  <si>
    <t>Cumberland</t>
  </si>
  <si>
    <t>The Brewery LBK</t>
  </si>
  <si>
    <t>Yellow Bridge Brewing Co.</t>
  </si>
  <si>
    <t>Delmont</t>
  </si>
  <si>
    <t>2nd Phase Brewing</t>
  </si>
  <si>
    <t>Cherokee Brewing + Pizza Company</t>
  </si>
  <si>
    <t>Elk Horn Brewery</t>
  </si>
  <si>
    <t>Forest &amp; Main Brewery and Pub</t>
  </si>
  <si>
    <t>Ambler</t>
  </si>
  <si>
    <t>Fritz Family Brewers</t>
  </si>
  <si>
    <t>Insurrection Aleworks</t>
  </si>
  <si>
    <t>Heidelberg</t>
  </si>
  <si>
    <t>LogOff Brewing</t>
  </si>
  <si>
    <t>Long Island Farm Brewery</t>
  </si>
  <si>
    <t>Manorville</t>
  </si>
  <si>
    <t>Mixed Breed Brewing</t>
  </si>
  <si>
    <t>Guilderland Center</t>
  </si>
  <si>
    <t>Red Wagon Brewing Company</t>
  </si>
  <si>
    <t>Columbia Station</t>
  </si>
  <si>
    <t>Roe Jan Brewing Company</t>
  </si>
  <si>
    <t>Hillsdale</t>
  </si>
  <si>
    <t>Ubergeek Brewing</t>
  </si>
  <si>
    <t>Bubblehouse Brewing Company</t>
  </si>
  <si>
    <t>Lisle</t>
  </si>
  <si>
    <t>Gnarly Cedar Brewing</t>
  </si>
  <si>
    <t>Greenleaf</t>
  </si>
  <si>
    <t>Kulturhaus Brewing Company</t>
  </si>
  <si>
    <t>Pismo Beach</t>
  </si>
  <si>
    <t>Pathlight Brewing</t>
  </si>
  <si>
    <t>Overland Park</t>
  </si>
  <si>
    <t>Picacho Peak Brewing Company</t>
  </si>
  <si>
    <t>Scrubby's Craft Beer and Taproom</t>
  </si>
  <si>
    <t>Red Lion</t>
  </si>
  <si>
    <t>Bell Tower Brewing Company</t>
  </si>
  <si>
    <t>Black Leg Brewery</t>
  </si>
  <si>
    <t>McKenzie</t>
  </si>
  <si>
    <t>Dew Point Brewing</t>
  </si>
  <si>
    <t>Yorklyn</t>
  </si>
  <si>
    <t>Eponymous Brewing Co</t>
  </si>
  <si>
    <t>Brookings</t>
  </si>
  <si>
    <t>Hanabi Lager Company</t>
  </si>
  <si>
    <t>Newark Local Beer</t>
  </si>
  <si>
    <t>Upper Montclair</t>
  </si>
  <si>
    <t>Plateau Brewing Co.</t>
  </si>
  <si>
    <t>San Angelo</t>
  </si>
  <si>
    <t>BirdsView Brewing Co</t>
  </si>
  <si>
    <t>Concrete</t>
  </si>
  <si>
    <t>Bright Light Brewing Company</t>
  </si>
  <si>
    <t>Kells Brewery</t>
  </si>
  <si>
    <t>River Rouge Brewing Company</t>
  </si>
  <si>
    <t>Senate Avenue Brewing Company</t>
  </si>
  <si>
    <t>Taylor Brooke Brewery</t>
  </si>
  <si>
    <t>1781 Brewing Company</t>
  </si>
  <si>
    <t>Spotsylvania</t>
  </si>
  <si>
    <t>Broken Symmetry</t>
  </si>
  <si>
    <t>Dempseys Brewery, Pub</t>
  </si>
  <si>
    <t>Parker's Hilltop Brewery</t>
  </si>
  <si>
    <t>River Outpost Brewing</t>
  </si>
  <si>
    <t>Sky High Brewing</t>
  </si>
  <si>
    <t>Victor 23 Craft Brewery</t>
  </si>
  <si>
    <t>DarkHeart Brewing</t>
  </si>
  <si>
    <t>Delta Borne Brewing</t>
  </si>
  <si>
    <t>North Highlands</t>
  </si>
  <si>
    <t>Dolores River Brewery</t>
  </si>
  <si>
    <t>Dolores</t>
  </si>
  <si>
    <t>Hoi Polloi Brewing - Taproom</t>
  </si>
  <si>
    <t>Kuhnhenn Brewing Co</t>
  </si>
  <si>
    <t>Porchlight Brewing Company</t>
  </si>
  <si>
    <t>Seahorse Brewing Company</t>
  </si>
  <si>
    <t>The Noble Buck</t>
  </si>
  <si>
    <t>Carlsbad Brewing Company</t>
  </si>
  <si>
    <t>Humdinger Brewing</t>
  </si>
  <si>
    <t>Arroyo Grande</t>
  </si>
  <si>
    <t>Ocean Beach Brewery</t>
  </si>
  <si>
    <t>Station Craft</t>
  </si>
  <si>
    <t>Dana Point</t>
  </si>
  <si>
    <t>Underground Beer Lab</t>
  </si>
  <si>
    <t>East Syracuse</t>
  </si>
  <si>
    <t>6S Brewing Company</t>
  </si>
  <si>
    <t>Allusion Brewing Company</t>
  </si>
  <si>
    <t>Vandergrift</t>
  </si>
  <si>
    <t>Bawden Street Brewing Company</t>
  </si>
  <si>
    <t>Ketchikan</t>
  </si>
  <si>
    <t>Cold Iron Brewing</t>
  </si>
  <si>
    <t>Ironwood</t>
  </si>
  <si>
    <t>Draught Horse Brewery</t>
  </si>
  <si>
    <t>New Hudson</t>
  </si>
  <si>
    <t>Great Frontier Brewing Company</t>
  </si>
  <si>
    <t>Hemauer Brewing Company</t>
  </si>
  <si>
    <t>Dillsburg</t>
  </si>
  <si>
    <t>Ink Factory Brewing</t>
  </si>
  <si>
    <t>Little House Brewing Company</t>
  </si>
  <si>
    <t>Noble Creature Wild Ales &amp; Lagers</t>
  </si>
  <si>
    <t>Perihelion Brewery</t>
  </si>
  <si>
    <t>Redbeard Brewing Co</t>
  </si>
  <si>
    <t>Skyland Ale Works</t>
  </si>
  <si>
    <t>Thirsty Buffalo Brewing Company</t>
  </si>
  <si>
    <t>Land O Lakes</t>
  </si>
  <si>
    <t>Trail Life Brewing</t>
  </si>
  <si>
    <t>Trap Rock Restaurant &amp; Brewery</t>
  </si>
  <si>
    <t>Berkeley Heights</t>
  </si>
  <si>
    <t>Walldorff Brewpub &amp; Bistro</t>
  </si>
  <si>
    <t>West Hill Brewing Company</t>
  </si>
  <si>
    <t>Indianola</t>
  </si>
  <si>
    <t>Alestone Brewing</t>
  </si>
  <si>
    <t>Gravity Bound Brewing Company</t>
  </si>
  <si>
    <t>High and Dry Brewing</t>
  </si>
  <si>
    <t>Hopshire Farm and Brewery</t>
  </si>
  <si>
    <t>Freeville</t>
  </si>
  <si>
    <t>Zed's Beer/Bado Brewing</t>
  </si>
  <si>
    <t>Marlton</t>
  </si>
  <si>
    <t>BrewSA Brewing Co</t>
  </si>
  <si>
    <t>Crazy Uncle Mike's</t>
  </si>
  <si>
    <t>Double Shift Brewing</t>
  </si>
  <si>
    <t>Emersumnice Brewery</t>
  </si>
  <si>
    <t>Owasso</t>
  </si>
  <si>
    <t>Grandma's House</t>
  </si>
  <si>
    <t>Liberal Cup Public House and Brewery</t>
  </si>
  <si>
    <t>Hallowell</t>
  </si>
  <si>
    <t>Monkey Town Brewing Company</t>
  </si>
  <si>
    <t>The North Slope Brewing Company</t>
  </si>
  <si>
    <t>1850 Brewing Company</t>
  </si>
  <si>
    <t>Mariposa</t>
  </si>
  <si>
    <t>Article Fifteen Brewing</t>
  </si>
  <si>
    <t>Rockland</t>
  </si>
  <si>
    <t>Critz Farms Brewing &amp; Cider Co.</t>
  </si>
  <si>
    <t>Derive Brewing Company</t>
  </si>
  <si>
    <t>Downtown Joes Brewery and Restaurant</t>
  </si>
  <si>
    <t>Juniper and Morgan Brewing</t>
  </si>
  <si>
    <t>Northern Outer Banks Brewing Company</t>
  </si>
  <si>
    <t>Corolla</t>
  </si>
  <si>
    <t>OddPitch Brewing Co.</t>
  </si>
  <si>
    <t>Square One Brewery and Distillery</t>
  </si>
  <si>
    <t>Blue Star Brewing Co</t>
  </si>
  <si>
    <t>Gruit Brewing</t>
  </si>
  <si>
    <t>Lake Superior Brewing Company</t>
  </si>
  <si>
    <t>Oak and Otter Brewing Company</t>
  </si>
  <si>
    <t>ROCK HARBOR BREWING CO.</t>
  </si>
  <si>
    <t>Bill's Tavern and Brewhouse</t>
  </si>
  <si>
    <t>Cedar Creek Brewing Co.</t>
  </si>
  <si>
    <t>Martinsville</t>
  </si>
  <si>
    <t>Garden State Beer Company</t>
  </si>
  <si>
    <t>Galloway</t>
  </si>
  <si>
    <t>LineSider Brewing Company</t>
  </si>
  <si>
    <t>East Greenwich</t>
  </si>
  <si>
    <t>Lions Roar Brewing Company</t>
  </si>
  <si>
    <t>Middleton Brewing (MBTX)</t>
  </si>
  <si>
    <t>Peak Drift Beverages</t>
  </si>
  <si>
    <t>Peg Leg Brewing Company</t>
  </si>
  <si>
    <t>Red Tank Brewing</t>
  </si>
  <si>
    <t>Transcend Beer Crafters</t>
  </si>
  <si>
    <t>Southington</t>
  </si>
  <si>
    <t>Two Ton Brewing</t>
  </si>
  <si>
    <t>Kenilworth</t>
  </si>
  <si>
    <t>Angry Troll Brewing</t>
  </si>
  <si>
    <t>Elkin</t>
  </si>
  <si>
    <t>Downing Brewery LLC</t>
  </si>
  <si>
    <t>Locust Grove</t>
  </si>
  <si>
    <t>Earthbound Beer</t>
  </si>
  <si>
    <t>Fifth Frame Brewing Co.</t>
  </si>
  <si>
    <t>FreeFall Brewery &amp; Audrey's Pizza</t>
  </si>
  <si>
    <t>Hangman Brewing Company LLC</t>
  </si>
  <si>
    <t>Claymont</t>
  </si>
  <si>
    <t>Moonshot Brewing</t>
  </si>
  <si>
    <t>Oblivion Brewing Co</t>
  </si>
  <si>
    <t>The Proper Brewing Company</t>
  </si>
  <si>
    <t>Quakertown</t>
  </si>
  <si>
    <t>Valcour Brewing Company LLC</t>
  </si>
  <si>
    <t>Plattsburgh</t>
  </si>
  <si>
    <t>Athentic Brewing Company</t>
  </si>
  <si>
    <t>Colorado Farm Brewery</t>
  </si>
  <si>
    <t>Common Dialect</t>
  </si>
  <si>
    <t>Cynosure Brewing</t>
  </si>
  <si>
    <t>Trinity County Brewing Company</t>
  </si>
  <si>
    <t>Hereford and Hops Steakhouse and Brewpub</t>
  </si>
  <si>
    <t>Escanaba</t>
  </si>
  <si>
    <t>Loose Ends Brewing Company</t>
  </si>
  <si>
    <t>Ohana Brewing Co</t>
  </si>
  <si>
    <t>The Grateful Gnome Sandwich Shoppe and Brewery</t>
  </si>
  <si>
    <t>Boathouse Brewery LLC</t>
  </si>
  <si>
    <t>Ely</t>
  </si>
  <si>
    <t>Brother Chimp Brewing</t>
  </si>
  <si>
    <t>North Aurora</t>
  </si>
  <si>
    <t>Druid City Brewing</t>
  </si>
  <si>
    <t>Tuscaloosa</t>
  </si>
  <si>
    <t>Iron Exchange Tavern and Brewery</t>
  </si>
  <si>
    <t>Maple Plain</t>
  </si>
  <si>
    <t>Jukes Ale Works LLC</t>
  </si>
  <si>
    <t>Padre Island Brewing Co</t>
  </si>
  <si>
    <t>South Padre Island</t>
  </si>
  <si>
    <t>Quirk Brewing</t>
  </si>
  <si>
    <t>River City Brewing Company</t>
  </si>
  <si>
    <t>Carmichael</t>
  </si>
  <si>
    <t>Tanzenwald Brewing Company</t>
  </si>
  <si>
    <t>Away Days Brewing</t>
  </si>
  <si>
    <t>Batch Craft Beer and Kolaches</t>
  </si>
  <si>
    <t>Bearded Lamb Brewing Company</t>
  </si>
  <si>
    <t>Crooked Tongue Brewing</t>
  </si>
  <si>
    <t>Edinburg</t>
  </si>
  <si>
    <t>Deviate Brewing Co</t>
  </si>
  <si>
    <t>Golden Avalanche Brewing Co</t>
  </si>
  <si>
    <t>Heirloom Rustic Ales</t>
  </si>
  <si>
    <t>James River Brewery</t>
  </si>
  <si>
    <t>Scottsville</t>
  </si>
  <si>
    <t>Michaux Brewing Company</t>
  </si>
  <si>
    <t>Mudhook Brewing Co</t>
  </si>
  <si>
    <t>Radius Brewing Company</t>
  </si>
  <si>
    <t>Emporia</t>
  </si>
  <si>
    <t>Sinistral Brewing Company</t>
  </si>
  <si>
    <t>Stolen Sun Brewing Co</t>
  </si>
  <si>
    <t>Storybook Brewing</t>
  </si>
  <si>
    <t>Trails to Ales Brewery</t>
  </si>
  <si>
    <t>Union Station Brewery</t>
  </si>
  <si>
    <t>Wise I Brewing Company</t>
  </si>
  <si>
    <t>Le Mars</t>
  </si>
  <si>
    <t>Zeroday Brewing Company</t>
  </si>
  <si>
    <t>Bluebonnet Beer Company</t>
  </si>
  <si>
    <t>Round Rock</t>
  </si>
  <si>
    <t>Brighter Days Brewing Co</t>
  </si>
  <si>
    <t>Tarpon Springs</t>
  </si>
  <si>
    <t>Coles Road Brewing</t>
  </si>
  <si>
    <t>Hop Culture Farms and Brew Co</t>
  </si>
  <si>
    <t>Red Eye Brewing Co</t>
  </si>
  <si>
    <t>Stewards of the Land Brewery</t>
  </si>
  <si>
    <t>Northford</t>
  </si>
  <si>
    <t>Woodwright Brewing Company</t>
  </si>
  <si>
    <t>Dangerous Minds Brewing Co</t>
  </si>
  <si>
    <t>Mighty River Brewing Company</t>
  </si>
  <si>
    <t>Native Son</t>
  </si>
  <si>
    <t>Terra Nova Beer Co</t>
  </si>
  <si>
    <t>Battlemage Brewing Co</t>
  </si>
  <si>
    <t>Bottom Shelf Brewery</t>
  </si>
  <si>
    <t>Bayfield</t>
  </si>
  <si>
    <t>Carbon Copy</t>
  </si>
  <si>
    <t>Southern Heights Brewing Co LLC</t>
  </si>
  <si>
    <t>Turkey Forrest Brewing/Big Owl Craft Brew House</t>
  </si>
  <si>
    <t>Norman</t>
  </si>
  <si>
    <t>Brothership Brewing</t>
  </si>
  <si>
    <t>Mokena</t>
  </si>
  <si>
    <t>Figurehead Brewing Company</t>
  </si>
  <si>
    <t>Fitzhugh Brewing</t>
  </si>
  <si>
    <t>Gearblock Brewing Company LLC</t>
  </si>
  <si>
    <t>Waldwick</t>
  </si>
  <si>
    <t>Jackson Street Brewing</t>
  </si>
  <si>
    <t>King Maker Brewing</t>
  </si>
  <si>
    <t>Small Craft Brewing Co</t>
  </si>
  <si>
    <t>Amityville</t>
  </si>
  <si>
    <t>Speciation Artisan Ales</t>
  </si>
  <si>
    <t>Troy City Brewing</t>
  </si>
  <si>
    <t>Westwind Brewery Co.</t>
  </si>
  <si>
    <t>Zeus Brewing Company</t>
  </si>
  <si>
    <t>Brass Ring Brewing Company</t>
  </si>
  <si>
    <t>Cayo Hueso Brewing</t>
  </si>
  <si>
    <t>Key West</t>
  </si>
  <si>
    <t>Crue Brew Brewery</t>
  </si>
  <si>
    <t>Raynham</t>
  </si>
  <si>
    <t>Halfpenny Brewing Company</t>
  </si>
  <si>
    <t>Hooby's Brewing</t>
  </si>
  <si>
    <t>Library Sports Grille and Brewery</t>
  </si>
  <si>
    <t>Odd Fellows Brewing Co</t>
  </si>
  <si>
    <t>Outer Dunes Brewing Company</t>
  </si>
  <si>
    <t>Rapp's Barren Brewing Company</t>
  </si>
  <si>
    <t>Mountain Home</t>
  </si>
  <si>
    <t>Ruhe Brewing</t>
  </si>
  <si>
    <t>Nappanee</t>
  </si>
  <si>
    <t>The Cruisery</t>
  </si>
  <si>
    <t>2 Witches Winery and Brewing Company</t>
  </si>
  <si>
    <t>Brewery Rickoli</t>
  </si>
  <si>
    <t>Wheat Ridge</t>
  </si>
  <si>
    <t>Cellar Works Brewing Co.</t>
  </si>
  <si>
    <t>Sarver</t>
  </si>
  <si>
    <t>Enki Brewing</t>
  </si>
  <si>
    <t>Victoria</t>
  </si>
  <si>
    <t>Harvest Gap Brewery</t>
  </si>
  <si>
    <t>Hyderhead Brewery</t>
  </si>
  <si>
    <t>Maltese Brewing Company</t>
  </si>
  <si>
    <t>St Nicholas Brewing Co</t>
  </si>
  <si>
    <t>Du Quoin</t>
  </si>
  <si>
    <t>Threefoot Brewing Company, LLC</t>
  </si>
  <si>
    <t>Meridian</t>
  </si>
  <si>
    <t>Bee's Knees Brewing Company</t>
  </si>
  <si>
    <t>Versailles</t>
  </si>
  <si>
    <t>First Mile Brewing Company</t>
  </si>
  <si>
    <t>Fort Kent</t>
  </si>
  <si>
    <t>HH Hinder</t>
  </si>
  <si>
    <t>Waupaca</t>
  </si>
  <si>
    <t>The Bunkhouse Brewery</t>
  </si>
  <si>
    <t>Excalibur Brewing, LLC</t>
  </si>
  <si>
    <t>Fergus Brewing Co.</t>
  </si>
  <si>
    <t>Fergus Falls</t>
  </si>
  <si>
    <t>Local Relic</t>
  </si>
  <si>
    <t>LynLake Brewery</t>
  </si>
  <si>
    <t>Metric Brewing Company</t>
  </si>
  <si>
    <t>Noble Shepherd Craft Brewery</t>
  </si>
  <si>
    <t>27A Brewing Company</t>
  </si>
  <si>
    <t>Lindenhurst</t>
  </si>
  <si>
    <t>Dirt Road Brewing</t>
  </si>
  <si>
    <t>Philomath</t>
  </si>
  <si>
    <t>East Forty Brewing</t>
  </si>
  <si>
    <t>Blue Springs</t>
  </si>
  <si>
    <t>Garfield Brewery</t>
  </si>
  <si>
    <t>Heroes Brewing Company</t>
  </si>
  <si>
    <t>Side A Brewing</t>
  </si>
  <si>
    <t>Cueni Brewing Co.</t>
  </si>
  <si>
    <t>Liquid Noise Brewing Co.</t>
  </si>
  <si>
    <t>Moo-Duck Brewery</t>
  </si>
  <si>
    <t>Elizabethtown</t>
  </si>
  <si>
    <t>Pen Druid Brewing</t>
  </si>
  <si>
    <t>Sperryville</t>
  </si>
  <si>
    <t>Radar Brewing Company, LLC</t>
  </si>
  <si>
    <t>Scratchtown Brewing Company</t>
  </si>
  <si>
    <t>Ord</t>
  </si>
  <si>
    <t>Steep Brewery &amp; Coffee Company</t>
  </si>
  <si>
    <t>Keystone</t>
  </si>
  <si>
    <t>OOGA Brewing Company</t>
  </si>
  <si>
    <t>Beaver Dam</t>
  </si>
  <si>
    <t>Boardman</t>
  </si>
  <si>
    <t>Saludos Brewing Co</t>
  </si>
  <si>
    <t>Laredo</t>
  </si>
  <si>
    <t>St. Michael's Brewing Company</t>
  </si>
  <si>
    <t>Navarre</t>
  </si>
  <si>
    <t>Endless Brewing</t>
  </si>
  <si>
    <t>Giant Jones Brewing LLC</t>
  </si>
  <si>
    <t>Royal Palm Brewing Company</t>
  </si>
  <si>
    <t>Royal Palm Beach</t>
  </si>
  <si>
    <t>The Brewery at Four Star Farms</t>
  </si>
  <si>
    <t>Uwharrie Brewing Company</t>
  </si>
  <si>
    <t>Albemarle</t>
  </si>
  <si>
    <t>Zero One Brewing Company</t>
  </si>
  <si>
    <t>Brewing Green</t>
  </si>
  <si>
    <t>Cedar Creek Brewery</t>
  </si>
  <si>
    <t>Seven Points</t>
  </si>
  <si>
    <t>Cerveceria Del Pueblo</t>
  </si>
  <si>
    <t>Fat Hill Brewing</t>
  </si>
  <si>
    <t>Mason City</t>
  </si>
  <si>
    <t>Gypsy Road Brewing Company</t>
  </si>
  <si>
    <t>Homeplace Beer Co</t>
  </si>
  <si>
    <t>Burnsville</t>
  </si>
  <si>
    <t>Knotty Brewing Co.</t>
  </si>
  <si>
    <t>Little Animals Brewery</t>
  </si>
  <si>
    <t>Monolithic Brewing</t>
  </si>
  <si>
    <t>North Water Brewing Co.</t>
  </si>
  <si>
    <t>Old Ellsworth Brewing Company</t>
  </si>
  <si>
    <t>Queen Creek</t>
  </si>
  <si>
    <t>Seaward Brewing</t>
  </si>
  <si>
    <t>Southern Brewing &amp; Winemaking</t>
  </si>
  <si>
    <t>Transparent Brewing Company</t>
  </si>
  <si>
    <t>Grandview</t>
  </si>
  <si>
    <t>Yough River Brewing Co</t>
  </si>
  <si>
    <t>Connellsville</t>
  </si>
  <si>
    <t>Blockhead Beerworks</t>
  </si>
  <si>
    <t>Valparaiso</t>
  </si>
  <si>
    <t>Broken Wheel Brewery</t>
  </si>
  <si>
    <t>Marksville</t>
  </si>
  <si>
    <t>Field Brewing</t>
  </si>
  <si>
    <t>Griffs Brewery</t>
  </si>
  <si>
    <t>Iron Rail Brewing</t>
  </si>
  <si>
    <t>Lesser Known Beer Co</t>
  </si>
  <si>
    <t>Lore Brewing Co</t>
  </si>
  <si>
    <t>Indian Land</t>
  </si>
  <si>
    <t>Mills River Brewing Co</t>
  </si>
  <si>
    <t>Spigots Brew Pub</t>
  </si>
  <si>
    <t>Houma</t>
  </si>
  <si>
    <t>The Ways Restaurant and Brewery</t>
  </si>
  <si>
    <t>Glenside</t>
  </si>
  <si>
    <t>Valley House Brewing Co.</t>
  </si>
  <si>
    <t>Duvall</t>
  </si>
  <si>
    <t>West Shore Brewing Co</t>
  </si>
  <si>
    <t>Clarence</t>
  </si>
  <si>
    <t>Angry Horse Brewing</t>
  </si>
  <si>
    <t>Montebello</t>
  </si>
  <si>
    <t>Bradford Brew Station</t>
  </si>
  <si>
    <t>Bradford</t>
  </si>
  <si>
    <t>Dog Pawrk Brewing Company</t>
  </si>
  <si>
    <t>Hopkinsville Brewing Company</t>
  </si>
  <si>
    <t>Hopkinsville</t>
  </si>
  <si>
    <t>Idawild Brewing Company</t>
  </si>
  <si>
    <t>MetroNOME Brewery</t>
  </si>
  <si>
    <t>St. Paul</t>
  </si>
  <si>
    <t>Ocean Republic Brewing</t>
  </si>
  <si>
    <t>Stuart</t>
  </si>
  <si>
    <t>Seneca Street Brew Pub</t>
  </si>
  <si>
    <t>Manlius</t>
  </si>
  <si>
    <t>Shipwrecked Restaurant and Brewery</t>
  </si>
  <si>
    <t>Egg Harbor</t>
  </si>
  <si>
    <t>Steel Bonnet Brewing Co</t>
  </si>
  <si>
    <t>Scotts Valley</t>
  </si>
  <si>
    <t>The Grange Public House and Brewery</t>
  </si>
  <si>
    <t>Wild Heart Brewing</t>
  </si>
  <si>
    <t>Hartsville</t>
  </si>
  <si>
    <t>2nd Bridge Brewing Co</t>
  </si>
  <si>
    <t>Diastole Brewing Company</t>
  </si>
  <si>
    <t>Liberty</t>
  </si>
  <si>
    <t>Endeavor Brewing Company</t>
  </si>
  <si>
    <t>Okay Beer Company</t>
  </si>
  <si>
    <t>Honeoye Falls</t>
  </si>
  <si>
    <t>Palladium Brewing</t>
  </si>
  <si>
    <t>The Millworks Brewery</t>
  </si>
  <si>
    <t>Uproot Brewing</t>
  </si>
  <si>
    <t>Vertigo Brewing</t>
  </si>
  <si>
    <t>Windy Brew</t>
  </si>
  <si>
    <t>Strykersville</t>
  </si>
  <si>
    <t>93 Octane Brewery</t>
  </si>
  <si>
    <t>Altered Genius Brewing Co.</t>
  </si>
  <si>
    <t>Americana Beer Company</t>
  </si>
  <si>
    <t>Stesti Brewing Company</t>
  </si>
  <si>
    <t>Lovelady</t>
  </si>
  <si>
    <t>Susitna Brewing Company</t>
  </si>
  <si>
    <t>Abettor Brewing Company</t>
  </si>
  <si>
    <t>Alexandria Brewing Company</t>
  </si>
  <si>
    <t>Bottlenose Brewing</t>
  </si>
  <si>
    <t>Bull n Bear Brewery</t>
  </si>
  <si>
    <t>Summit</t>
  </si>
  <si>
    <t>Collision Brewing</t>
  </si>
  <si>
    <t>Cypress Coast Brewing Co</t>
  </si>
  <si>
    <t>Debellation Brewing Co</t>
  </si>
  <si>
    <t>Richmond Hill</t>
  </si>
  <si>
    <t>Devil's Kettle Brewing</t>
  </si>
  <si>
    <t>Eighty-Three Brewery</t>
  </si>
  <si>
    <t>Emlenton Brew Haus</t>
  </si>
  <si>
    <t>Emlenton</t>
  </si>
  <si>
    <t>Grains of Virtue Brewing Company</t>
  </si>
  <si>
    <t>Jarfly Brewing Co</t>
  </si>
  <si>
    <t>Lucky Star Brewery</t>
  </si>
  <si>
    <t>Miamisburg</t>
  </si>
  <si>
    <t>Oil City Beer Company</t>
  </si>
  <si>
    <t>Rivers End Brewing</t>
  </si>
  <si>
    <t>Soul Squared Brewing Co.</t>
  </si>
  <si>
    <t>Stompbox Brewing</t>
  </si>
  <si>
    <t>Summer Fox Brewing Company</t>
  </si>
  <si>
    <t>Third Base Brewery</t>
  </si>
  <si>
    <t>Iowa Falls</t>
  </si>
  <si>
    <t>Working Hands Fermentation</t>
  </si>
  <si>
    <t>Worlds End Brewing Company Inc.</t>
  </si>
  <si>
    <t>Canon City</t>
  </si>
  <si>
    <t>Board Room Brewing Company</t>
  </si>
  <si>
    <t>Broken Horn Brewing Company</t>
  </si>
  <si>
    <t>Patch Brewing Co.</t>
  </si>
  <si>
    <t>Gordonsville</t>
  </si>
  <si>
    <t>Stats Brewpub</t>
  </si>
  <si>
    <t>The Brewers Collective</t>
  </si>
  <si>
    <t>Tranquility Brewing Company</t>
  </si>
  <si>
    <t>Warminster</t>
  </si>
  <si>
    <t>Big Bear Brewing Co</t>
  </si>
  <si>
    <t>Coral Springs</t>
  </si>
  <si>
    <t>Cleveland Brewing Company @ Butcher and The Brewer</t>
  </si>
  <si>
    <t>Hampline Brewing Company</t>
  </si>
  <si>
    <t>Malibu Brewing Company</t>
  </si>
  <si>
    <t>Malibu</t>
  </si>
  <si>
    <t>Martha's Exchange Restaurant and Brewery</t>
  </si>
  <si>
    <t>Panther Creek Brews</t>
  </si>
  <si>
    <t>Restless Moons Brewing</t>
  </si>
  <si>
    <t>Shattuck Brewery, LLC</t>
  </si>
  <si>
    <t>Southern Lights Brewing</t>
  </si>
  <si>
    <t>Troubled Waters Brewing Co.</t>
  </si>
  <si>
    <t>Safety Harbor</t>
  </si>
  <si>
    <t>Dubious Claims Brewing</t>
  </si>
  <si>
    <t>Excelsior Springs</t>
  </si>
  <si>
    <t>First Street Brewing</t>
  </si>
  <si>
    <t>Peach City Brewing</t>
  </si>
  <si>
    <t>Gaffney</t>
  </si>
  <si>
    <t>Steel Leaf Brewing Company</t>
  </si>
  <si>
    <t>Wolfden Brewing Company</t>
  </si>
  <si>
    <t>Bloomingdale</t>
  </si>
  <si>
    <t>Yergey Brewing</t>
  </si>
  <si>
    <t>Coopersville Brewing Company</t>
  </si>
  <si>
    <t>Coopersville</t>
  </si>
  <si>
    <t>Flywheel Brewing Company</t>
  </si>
  <si>
    <t>Mellow Mink Brewing</t>
  </si>
  <si>
    <t>Aeonian Brewing Company</t>
  </si>
  <si>
    <t>Alliance</t>
  </si>
  <si>
    <t>Alchemy Brewing Company</t>
  </si>
  <si>
    <t>Cashton</t>
  </si>
  <si>
    <t>Bovino's Pizzeria &amp; Brewery</t>
  </si>
  <si>
    <t>East Stroudsburg</t>
  </si>
  <si>
    <t>Brewability</t>
  </si>
  <si>
    <t>Englewood</t>
  </si>
  <si>
    <t>Brouwerij Cursus Keme</t>
  </si>
  <si>
    <t>Chandler's Ford Brewing LLC</t>
  </si>
  <si>
    <t>Concentric Brewing Company</t>
  </si>
  <si>
    <t>Fat Chad's Brewing</t>
  </si>
  <si>
    <t>Hops On the Hill Farm Brewery</t>
  </si>
  <si>
    <t>South Glastonbury</t>
  </si>
  <si>
    <t>Last Frontier Brewing Company</t>
  </si>
  <si>
    <t>Oncore Brewing</t>
  </si>
  <si>
    <t>Swanton</t>
  </si>
  <si>
    <t>Paragon Brewing</t>
  </si>
  <si>
    <t>Pilot Brewing Co.</t>
  </si>
  <si>
    <t>Schussboom Brewing Company</t>
  </si>
  <si>
    <t>Second District Brewing Co.</t>
  </si>
  <si>
    <t>Small Batch Beer Co</t>
  </si>
  <si>
    <t>Subversive Malting and Brewing</t>
  </si>
  <si>
    <t>Tellurian Brewing</t>
  </si>
  <si>
    <t>Charles City Ia</t>
  </si>
  <si>
    <t>Top of the Rock Restaurant &amp; Brewery</t>
  </si>
  <si>
    <t>Jasper</t>
  </si>
  <si>
    <t>Touchstone Brewing Company</t>
  </si>
  <si>
    <t>W.A.R Brewing Co.</t>
  </si>
  <si>
    <t>Acton</t>
  </si>
  <si>
    <t>Watauga Brewing Company</t>
  </si>
  <si>
    <t>Building 8 Brewing</t>
  </si>
  <si>
    <t>Cowboy State Brewing</t>
  </si>
  <si>
    <t>Glenrock</t>
  </si>
  <si>
    <t>Swinging Bridge Brewery</t>
  </si>
  <si>
    <t>Tantrick Brewing Co</t>
  </si>
  <si>
    <t>Allegan</t>
  </si>
  <si>
    <t>Etna Brewing Co.</t>
  </si>
  <si>
    <t>Etna</t>
  </si>
  <si>
    <t>Legacy Ale Works</t>
  </si>
  <si>
    <t>Napa Valley Brewing Co/ Calistoga Inn</t>
  </si>
  <si>
    <t>Calistoga</t>
  </si>
  <si>
    <t>Red Car Brewery and Restaurant</t>
  </si>
  <si>
    <t>Grafton</t>
  </si>
  <si>
    <t>Think Tank Brew Lab</t>
  </si>
  <si>
    <t>MPH Brewing</t>
  </si>
  <si>
    <t>Springfield Beer Company</t>
  </si>
  <si>
    <t>Titonka Brewing Company</t>
  </si>
  <si>
    <t>Triceratops Brewing</t>
  </si>
  <si>
    <t>Tumwater</t>
  </si>
  <si>
    <t>Belle Isle Restaurant and Brewing Co</t>
  </si>
  <si>
    <t>Black Circle Brewing Co</t>
  </si>
  <si>
    <t>Brewster Bros Brewing Co</t>
  </si>
  <si>
    <t>Chippewa Falls</t>
  </si>
  <si>
    <t>Faust Brewing Co</t>
  </si>
  <si>
    <t>New Braunfels</t>
  </si>
  <si>
    <t>Freedom's Edge Brewing Company</t>
  </si>
  <si>
    <t>Great Adirondack Brewing Company</t>
  </si>
  <si>
    <t>Hartland Brewing Company</t>
  </si>
  <si>
    <t>Kennett Brewing Company</t>
  </si>
  <si>
    <t>Rendezvous Junction Brewing Company</t>
  </si>
  <si>
    <t>Rock County Brewing Company</t>
  </si>
  <si>
    <t>Rusty Truck Brewing Company</t>
  </si>
  <si>
    <t>Lincoln City</t>
  </si>
  <si>
    <t>Syndicate Brewing co</t>
  </si>
  <si>
    <t>silverthorne</t>
  </si>
  <si>
    <t>Turtle Stack Brewery</t>
  </si>
  <si>
    <t>412 Brews</t>
  </si>
  <si>
    <t>Mc Kees Rocks</t>
  </si>
  <si>
    <t>Bugnutty Brewing Company</t>
  </si>
  <si>
    <t>Cocoa</t>
  </si>
  <si>
    <t>Civilization Brewing Company</t>
  </si>
  <si>
    <t>Indian Wells Brewing Co</t>
  </si>
  <si>
    <t>Inyokern</t>
  </si>
  <si>
    <t>Ledge Brewing Company</t>
  </si>
  <si>
    <t>Intervale</t>
  </si>
  <si>
    <t>Menace Brewing Co</t>
  </si>
  <si>
    <t>Stick City Brewing Company</t>
  </si>
  <si>
    <t>Under the Radar Brewery</t>
  </si>
  <si>
    <t>Wrong Crowd Beer Company</t>
  </si>
  <si>
    <t>Bald Top Brewing Company</t>
  </si>
  <si>
    <t>Elkton Brewing Co., Inc.</t>
  </si>
  <si>
    <t>Golden Cactus Brewing</t>
  </si>
  <si>
    <t>Moon Hollow Brewing Company</t>
  </si>
  <si>
    <t>Rule105 Brewing</t>
  </si>
  <si>
    <t>Strange Craft Beer Company</t>
  </si>
  <si>
    <t>Tent City Beer Company</t>
  </si>
  <si>
    <t>Unionville Brewing Co.</t>
  </si>
  <si>
    <t>Unionville</t>
  </si>
  <si>
    <t>Bayboro Brewing Co.</t>
  </si>
  <si>
    <t>Brewery Draconum</t>
  </si>
  <si>
    <t>Newhall</t>
  </si>
  <si>
    <t>Deep Draft Brewing Company</t>
  </si>
  <si>
    <t>Deep Sleep Brewing Company LLC</t>
  </si>
  <si>
    <t>Forest City Brewery</t>
  </si>
  <si>
    <t>Ironbark Brewery</t>
  </si>
  <si>
    <t>Lost Sanity Brewing Co.</t>
  </si>
  <si>
    <t>Madelia</t>
  </si>
  <si>
    <t>ManRock Brewing</t>
  </si>
  <si>
    <t>Grover Beach</t>
  </si>
  <si>
    <t>Mule &amp; Elk Brewing Co</t>
  </si>
  <si>
    <t>Cle Elum</t>
  </si>
  <si>
    <t>San Pedro Brewing Co</t>
  </si>
  <si>
    <t>Urbana Brewing Company</t>
  </si>
  <si>
    <t>Jones Beach Brewing Co</t>
  </si>
  <si>
    <t>Farmingdale</t>
  </si>
  <si>
    <t>Long Blue Cat Brewing Co</t>
  </si>
  <si>
    <t>Pinetop Brewing Company</t>
  </si>
  <si>
    <t>Dot &amp; Line Brewing Company</t>
  </si>
  <si>
    <t>Missing Links Brewery</t>
  </si>
  <si>
    <t>Renfrew</t>
  </si>
  <si>
    <t>Paladin Brewing</t>
  </si>
  <si>
    <t>Sweet Union Brewing</t>
  </si>
  <si>
    <t>Indian Trail</t>
  </si>
  <si>
    <t>The Mulberry House Brewery</t>
  </si>
  <si>
    <t>AleCraft Brewery</t>
  </si>
  <si>
    <t>Five Suns Brewing LLC</t>
  </si>
  <si>
    <t>Martinez</t>
  </si>
  <si>
    <t>Florence Brewing Company</t>
  </si>
  <si>
    <t>GoatHouse Brewing Co.</t>
  </si>
  <si>
    <t>Henderson Brewing Company</t>
  </si>
  <si>
    <t>Rock House Brewing</t>
  </si>
  <si>
    <t>Steam Donkey Brewing Co</t>
  </si>
  <si>
    <t>Super Owl Brewing</t>
  </si>
  <si>
    <t>Yard Goat Artisan Ales LLC</t>
  </si>
  <si>
    <t>Belleflower Brewing Company</t>
  </si>
  <si>
    <t>Dunes Brewing</t>
  </si>
  <si>
    <t>Port Orange</t>
  </si>
  <si>
    <t>Garphish Brewing Company</t>
  </si>
  <si>
    <t>Lock 32 Brewing Company</t>
  </si>
  <si>
    <t>Pittsford</t>
  </si>
  <si>
    <t>Loggers Brewing Company</t>
  </si>
  <si>
    <t>Saginaw</t>
  </si>
  <si>
    <t>Motion Craft Brewed</t>
  </si>
  <si>
    <t>Massapequa Park</t>
  </si>
  <si>
    <t>Scale House Brewery</t>
  </si>
  <si>
    <t>Sister Lakes Brewing Company</t>
  </si>
  <si>
    <t>Dowagiac</t>
  </si>
  <si>
    <t>Walking Man Brewing</t>
  </si>
  <si>
    <t>Stevenson</t>
  </si>
  <si>
    <t>Cobblehaus Brewing Company</t>
  </si>
  <si>
    <t>Coraopolis</t>
  </si>
  <si>
    <t>Fenton Winery &amp; Brewery</t>
  </si>
  <si>
    <t>Fenton</t>
  </si>
  <si>
    <t>Forgottonia Brewing</t>
  </si>
  <si>
    <t>Macomb</t>
  </si>
  <si>
    <t>Gusto Brewing Company</t>
  </si>
  <si>
    <t>Cape May</t>
  </si>
  <si>
    <t>Sage Vegan Bistro and Brewery</t>
  </si>
  <si>
    <t>Whole Foods Market Brewing Company- Floodcraft Brewing</t>
  </si>
  <si>
    <t>Avalon Brew Pub</t>
  </si>
  <si>
    <t>Avalon</t>
  </si>
  <si>
    <t>Black Star Co-op</t>
  </si>
  <si>
    <t>Bog Turtle Brewery, LLC</t>
  </si>
  <si>
    <t>RISING SUN</t>
  </si>
  <si>
    <t>Carillon Brewing Co.</t>
  </si>
  <si>
    <t>Fort Smith Brewing Company</t>
  </si>
  <si>
    <t>Fort Smith</t>
  </si>
  <si>
    <t>Istrouma Farms Brewing</t>
  </si>
  <si>
    <t>St Gabriel</t>
  </si>
  <si>
    <t>North Shepherd Brewing</t>
  </si>
  <si>
    <t>Resting Pulse Brewing Company</t>
  </si>
  <si>
    <t>Sandy Springs Brewing Co</t>
  </si>
  <si>
    <t>Minerva</t>
  </si>
  <si>
    <t>Something Wicked Brewing Company</t>
  </si>
  <si>
    <t>2nd Bay Brewing Co</t>
  </si>
  <si>
    <t>Fruit Cove</t>
  </si>
  <si>
    <t>Anglesea Aleworks</t>
  </si>
  <si>
    <t>Ebullition Brew Works</t>
  </si>
  <si>
    <t>First Love Brewing</t>
  </si>
  <si>
    <t>Handmap Brewing LLC</t>
  </si>
  <si>
    <t>Battle Creek</t>
  </si>
  <si>
    <t>Chetco Brewing Company</t>
  </si>
  <si>
    <t>Dees Brothers Brewery</t>
  </si>
  <si>
    <t>Haines Brewing Company, Inc.</t>
  </si>
  <si>
    <t>Haines</t>
  </si>
  <si>
    <t>Hop Yard Ale Works</t>
  </si>
  <si>
    <t>Lake City Brewing Company</t>
  </si>
  <si>
    <t>Oak Hills Brewing</t>
  </si>
  <si>
    <t>Hesperia</t>
  </si>
  <si>
    <t>Presidential Brewing Co.</t>
  </si>
  <si>
    <t>ShaKa Brewing</t>
  </si>
  <si>
    <t>Skyline Brewing Company</t>
  </si>
  <si>
    <t>Klamath Falls</t>
  </si>
  <si>
    <t>The Good Wolf Brewing Company</t>
  </si>
  <si>
    <t>Bonsai Brewing Project</t>
  </si>
  <si>
    <t>Whitefish</t>
  </si>
  <si>
    <t>Copper Leaf Brewing Company</t>
  </si>
  <si>
    <t>Harmony Brewing Co</t>
  </si>
  <si>
    <t>Masters Brewhouse</t>
  </si>
  <si>
    <t>Deer Park</t>
  </si>
  <si>
    <t>Noblebräu Brewing</t>
  </si>
  <si>
    <t>Sunday River Brewing Company</t>
  </si>
  <si>
    <t>15-24 Brew House</t>
  </si>
  <si>
    <t>Clay Center</t>
  </si>
  <si>
    <t>Acopon Brewing Co</t>
  </si>
  <si>
    <t>Antigua Brewing Company</t>
  </si>
  <si>
    <t>Chanhassen Brewing Company</t>
  </si>
  <si>
    <t>Cloud 9 Brewery</t>
  </si>
  <si>
    <t>Cohort Craft Brewery</t>
  </si>
  <si>
    <t>Dancing Kilt Brewery</t>
  </si>
  <si>
    <t>FrinGe Brewing</t>
  </si>
  <si>
    <t>Front Porch Brewing</t>
  </si>
  <si>
    <t>Howlin Wind Brewing &amp; Blending</t>
  </si>
  <si>
    <t>Rollinsville</t>
  </si>
  <si>
    <t>Knuckle Puck Brewing</t>
  </si>
  <si>
    <t>Cedar Falls</t>
  </si>
  <si>
    <t>Mishigama Craft Brewing / Ypsi Alehouse</t>
  </si>
  <si>
    <t>Simple Motive Brewing Co., LLC</t>
  </si>
  <si>
    <t>Sonora Brewing Company</t>
  </si>
  <si>
    <t>Sonora</t>
  </si>
  <si>
    <t>Soul Brewing Company</t>
  </si>
  <si>
    <t>Pleasantville</t>
  </si>
  <si>
    <t>Stadium Brewing Co</t>
  </si>
  <si>
    <t>Aliso Viejo</t>
  </si>
  <si>
    <t>Stumptown Brewery</t>
  </si>
  <si>
    <t>Guerneville</t>
  </si>
  <si>
    <t>Beech Mountain Brewing Company</t>
  </si>
  <si>
    <t>Beech Mountain</t>
  </si>
  <si>
    <t>Dig Deep Brewing Co</t>
  </si>
  <si>
    <t>El Weirdo</t>
  </si>
  <si>
    <t>Lazy Horse Brewing</t>
  </si>
  <si>
    <t>Ohiowa</t>
  </si>
  <si>
    <t>Norsemen Brewing Co.</t>
  </si>
  <si>
    <t>Odd Bird Brewing</t>
  </si>
  <si>
    <t>Stockton</t>
  </si>
  <si>
    <t>Rejects Beer Co.</t>
  </si>
  <si>
    <t>Second Sin Brewing Company</t>
  </si>
  <si>
    <t>Twoboros Brewery, LLC</t>
  </si>
  <si>
    <t>Wilkesboro</t>
  </si>
  <si>
    <t>Cartesian Brewing</t>
  </si>
  <si>
    <t>Spanish Marie Brewery</t>
  </si>
  <si>
    <t>Twisted Bine Beer Co.</t>
  </si>
  <si>
    <t>Mount Joy</t>
  </si>
  <si>
    <t>Wandering Griffin Brewery &amp; Pub</t>
  </si>
  <si>
    <t>Beavercreek</t>
  </si>
  <si>
    <t>Bandit Brewing Co</t>
  </si>
  <si>
    <t>Darby</t>
  </si>
  <si>
    <t>Brew Aleworks</t>
  </si>
  <si>
    <t>Granbury</t>
  </si>
  <si>
    <t>Clandestine Brewing</t>
  </si>
  <si>
    <t>Five Dollar Ranch Brewing Company</t>
  </si>
  <si>
    <t>Helia Brewing Company</t>
  </si>
  <si>
    <t>Hillenbrand Farmhaus Brewery</t>
  </si>
  <si>
    <t>Mad Fritz</t>
  </si>
  <si>
    <t>Saint Helena</t>
  </si>
  <si>
    <t>The Beer Co.</t>
  </si>
  <si>
    <t>The Crac Brewery</t>
  </si>
  <si>
    <t>The Slough Brewing Collective</t>
  </si>
  <si>
    <t>6 &amp; 40 Brewery/Taproom</t>
  </si>
  <si>
    <t>Box Office Brewery</t>
  </si>
  <si>
    <t>Strasburg</t>
  </si>
  <si>
    <t>Eastwood Brewing Company</t>
  </si>
  <si>
    <t>Independent Republic Brewing Company</t>
  </si>
  <si>
    <t>Lost Friend Brewing Company</t>
  </si>
  <si>
    <t>Pretentious Barrel House</t>
  </si>
  <si>
    <t>Sisyphus Brewing</t>
  </si>
  <si>
    <t>Skyline Brewing</t>
  </si>
  <si>
    <t>Stewart's Brewing Co</t>
  </si>
  <si>
    <t>Bear</t>
  </si>
  <si>
    <t>Aristaeus Craft Brewing</t>
  </si>
  <si>
    <t>Langhorne</t>
  </si>
  <si>
    <t>At Ease Brewing</t>
  </si>
  <si>
    <t>Berlin Brewing Co</t>
  </si>
  <si>
    <t>Buffalo RiverWorks Brewery</t>
  </si>
  <si>
    <t>Catalyst Brewing Company</t>
  </si>
  <si>
    <t>Coopers Cave Ale Co</t>
  </si>
  <si>
    <t>Fat Orange Cat Brew Co</t>
  </si>
  <si>
    <t>East Hampton</t>
  </si>
  <si>
    <t>Hopstix</t>
  </si>
  <si>
    <t>Chamblee</t>
  </si>
  <si>
    <t>Light the Lamp Brewery</t>
  </si>
  <si>
    <t>Grayslake</t>
  </si>
  <si>
    <t>Mondays Brewing Company</t>
  </si>
  <si>
    <t>Canonsburg</t>
  </si>
  <si>
    <t>New River Brewing</t>
  </si>
  <si>
    <t>West Jefferson</t>
  </si>
  <si>
    <t>Rabid Brewing, LLC</t>
  </si>
  <si>
    <t>Homewood</t>
  </si>
  <si>
    <t>Seward Brewing</t>
  </si>
  <si>
    <t>Valhalla Brewing Company</t>
  </si>
  <si>
    <t>Brewery 33 Hocking Hills, LLC</t>
  </si>
  <si>
    <t>Logan</t>
  </si>
  <si>
    <t>Brewery Faisan</t>
  </si>
  <si>
    <t>Bull City Burger And Brewery</t>
  </si>
  <si>
    <t>Floodland Brewing</t>
  </si>
  <si>
    <t>MachineHead Brewing Co</t>
  </si>
  <si>
    <t>Antimony Brewing, LLC</t>
  </si>
  <si>
    <t>Ghost Runners Brewery</t>
  </si>
  <si>
    <t>Hiatus Brewing Company</t>
  </si>
  <si>
    <t>Soul Fire Brewing Co</t>
  </si>
  <si>
    <t>Clyde Brewing</t>
  </si>
  <si>
    <t>Old Trade Brewery</t>
  </si>
  <si>
    <t>Brandy Station</t>
  </si>
  <si>
    <t>Shady Oak Barrel House</t>
  </si>
  <si>
    <t>Tumbledown Brewing LLC</t>
  </si>
  <si>
    <t>Windfall Brewing Co.</t>
  </si>
  <si>
    <t>5 Branches Brewing</t>
  </si>
  <si>
    <t>Abjuration Brewing</t>
  </si>
  <si>
    <t>Dos Sirenos Brewing</t>
  </si>
  <si>
    <t>Fossil Craft Beer Company</t>
  </si>
  <si>
    <t>Grand River Brewery</t>
  </si>
  <si>
    <t>Lucy and Howe Brewing Company</t>
  </si>
  <si>
    <t>Jericho</t>
  </si>
  <si>
    <t>Paddle Creek Beer Company</t>
  </si>
  <si>
    <t>East Hartford</t>
  </si>
  <si>
    <t>Sceptre Brewing Arts</t>
  </si>
  <si>
    <t>So Many Roads I Know LLC</t>
  </si>
  <si>
    <t>That Witch Ales You</t>
  </si>
  <si>
    <t>Vino's Brewpub</t>
  </si>
  <si>
    <t>Alpha Michigan Brewing Company</t>
  </si>
  <si>
    <t>Alpine Dog Brewing Company</t>
  </si>
  <si>
    <t>Aquatic Brewing LLC</t>
  </si>
  <si>
    <t>Falmouth</t>
  </si>
  <si>
    <t>BMC  Brewing</t>
  </si>
  <si>
    <t>Pittsboro</t>
  </si>
  <si>
    <t>El Rancho Colorado</t>
  </si>
  <si>
    <t>Farmacy Cultivated Craft</t>
  </si>
  <si>
    <t>REISTERSTOWN</t>
  </si>
  <si>
    <t>Inzane Brewing Co.</t>
  </si>
  <si>
    <t>Ogden Beer Company</t>
  </si>
  <si>
    <t>Promised Land Brewing Company</t>
  </si>
  <si>
    <t>Gilroy</t>
  </si>
  <si>
    <t>Reserve Artisan Ales</t>
  </si>
  <si>
    <t>Route 51 Brewing Company</t>
  </si>
  <si>
    <t>Elkville</t>
  </si>
  <si>
    <t>Six Capital Brewing Company</t>
  </si>
  <si>
    <t>AURORA</t>
  </si>
  <si>
    <t>Sneaky Penguin Brewing Company</t>
  </si>
  <si>
    <t>Yoked Farmhouse &amp; Brewery</t>
  </si>
  <si>
    <t>Port Orchard</t>
  </si>
  <si>
    <t>Angle Tree Brewery</t>
  </si>
  <si>
    <t>North Attleboro</t>
  </si>
  <si>
    <t>Blake's Brewing Co.</t>
  </si>
  <si>
    <t>Armada</t>
  </si>
  <si>
    <t>Nain Rouge Brewery</t>
  </si>
  <si>
    <t>The Seymour Brewing Company</t>
  </si>
  <si>
    <t>Seymour</t>
  </si>
  <si>
    <t>Blue Skies Brewery</t>
  </si>
  <si>
    <t>Onsted</t>
  </si>
  <si>
    <t>Brick and Feather Brewery</t>
  </si>
  <si>
    <t>Turners Falls</t>
  </si>
  <si>
    <t>Brighten Brewing</t>
  </si>
  <si>
    <t>Copley</t>
  </si>
  <si>
    <t>Bron Yr Aur Brewing Co</t>
  </si>
  <si>
    <t>Naches</t>
  </si>
  <si>
    <t>Fass Brewing</t>
  </si>
  <si>
    <t>Fountainhead Brewing Co</t>
  </si>
  <si>
    <t>Hidden Springs Brewhouse</t>
  </si>
  <si>
    <t>Peacemaker Brewing Company</t>
  </si>
  <si>
    <t>Pooles Island Brewing Company</t>
  </si>
  <si>
    <t>Middle River</t>
  </si>
  <si>
    <t>Ruddy Duck Brewery and Grill</t>
  </si>
  <si>
    <t>Dowell</t>
  </si>
  <si>
    <t>Sleepy Eye Brewing Company, LLC</t>
  </si>
  <si>
    <t>Sleepy Eye</t>
  </si>
  <si>
    <t>Altered Suds Beer Co.</t>
  </si>
  <si>
    <t>Aurochs Brewing Company</t>
  </si>
  <si>
    <t>Great Barn Brewery</t>
  </si>
  <si>
    <t>Hawksbill Brewing Company</t>
  </si>
  <si>
    <t>Luray</t>
  </si>
  <si>
    <t>Inner Groove Brewing</t>
  </si>
  <si>
    <t>Loose Screw Beer Co.</t>
  </si>
  <si>
    <t>Mothfire Brewing Co.</t>
  </si>
  <si>
    <t>Pineknotter Brewing Company</t>
  </si>
  <si>
    <t>Northumberland</t>
  </si>
  <si>
    <t>Seven Sisters Brewery</t>
  </si>
  <si>
    <t>Wytheville</t>
  </si>
  <si>
    <t>Slate Town Brewing Co</t>
  </si>
  <si>
    <t>State Street Brewing Company</t>
  </si>
  <si>
    <t>Threshers Brewing Company</t>
  </si>
  <si>
    <t>Searsmont</t>
  </si>
  <si>
    <t>Urban Forest Craft Brewing</t>
  </si>
  <si>
    <t>Abolitionist Ale Works</t>
  </si>
  <si>
    <t>Charles Town</t>
  </si>
  <si>
    <t>Bleeding Heart Brewery</t>
  </si>
  <si>
    <t>Coho Brewing Co</t>
  </si>
  <si>
    <t>Crossbuck Brewing</t>
  </si>
  <si>
    <t>Firewater Brewing Company</t>
  </si>
  <si>
    <t>Heritage Brewing Co</t>
  </si>
  <si>
    <t>La Conner Brewing Co</t>
  </si>
  <si>
    <t>La Conner</t>
  </si>
  <si>
    <t>Loose Rail Brewing</t>
  </si>
  <si>
    <t>Norway Brewing Company</t>
  </si>
  <si>
    <t>Norway</t>
  </si>
  <si>
    <t>Offset Bier Co</t>
  </si>
  <si>
    <t>Park City</t>
  </si>
  <si>
    <t>Satire Brewing Company</t>
  </si>
  <si>
    <t>Selins Grove Brewing Co</t>
  </si>
  <si>
    <t>Tiny Tim's Pizza /West Mountain Brewery</t>
  </si>
  <si>
    <t>Amalgam</t>
  </si>
  <si>
    <t>Carroll Brewing Co.</t>
  </si>
  <si>
    <t>Last Stand Brewing Company</t>
  </si>
  <si>
    <t>Po'Boy Brewery</t>
  </si>
  <si>
    <t>Port Jefferson Station</t>
  </si>
  <si>
    <t>Rebellion Brewing</t>
  </si>
  <si>
    <t>SomePlace Else Brewery</t>
  </si>
  <si>
    <t>Strand Brewery</t>
  </si>
  <si>
    <t>TT's Old Iron Brewery</t>
  </si>
  <si>
    <t>Turgua Brewing Co</t>
  </si>
  <si>
    <t>Brewery Nyx</t>
  </si>
  <si>
    <t>BS Brew Works Inc.</t>
  </si>
  <si>
    <t>Hemlock State Brewing Company</t>
  </si>
  <si>
    <t>Mountlake Terrace</t>
  </si>
  <si>
    <t>HWY 50 Brewery</t>
  </si>
  <si>
    <t>Natural 20 Brewing Co</t>
  </si>
  <si>
    <t>Wolf Branch Brewing Co.</t>
  </si>
  <si>
    <t>Eustis</t>
  </si>
  <si>
    <t>Baa Baa Brewhouse</t>
  </si>
  <si>
    <t>Brookshire</t>
  </si>
  <si>
    <t>Blue Skye Brewery</t>
  </si>
  <si>
    <t>Salina</t>
  </si>
  <si>
    <t>Bolton Beer Works</t>
  </si>
  <si>
    <t>Bolton</t>
  </si>
  <si>
    <t>Devil Wind Brewing LLC</t>
  </si>
  <si>
    <t>Xenia</t>
  </si>
  <si>
    <t>Independent Fermentations Brewing</t>
  </si>
  <si>
    <t>Initiative Brewing</t>
  </si>
  <si>
    <t>Links Brewing Company</t>
  </si>
  <si>
    <t>Outer Limits Brewing, LLC</t>
  </si>
  <si>
    <t>Proctorsville</t>
  </si>
  <si>
    <t>Owen OLearys Restaurant and Brewery</t>
  </si>
  <si>
    <t>Phoenix Upper Main</t>
  </si>
  <si>
    <t>Pink Barrel Cellars</t>
  </si>
  <si>
    <t>Queen City Brewing</t>
  </si>
  <si>
    <t>Tabol Brewing</t>
  </si>
  <si>
    <t>That Damn Mary Brewing Company</t>
  </si>
  <si>
    <t>Hayes</t>
  </si>
  <si>
    <t>The Village Corner / Stone Mountain Brewery</t>
  </si>
  <si>
    <t>Stone Mountain</t>
  </si>
  <si>
    <t>Thirsty Pagan Brewing Co</t>
  </si>
  <si>
    <t>Versailles Brewing Company</t>
  </si>
  <si>
    <t>Wagon Wheel Brewing Company</t>
  </si>
  <si>
    <t>Desert Beer Company</t>
  </si>
  <si>
    <t>Ghostwood Beer Company</t>
  </si>
  <si>
    <t>Palo Alto</t>
  </si>
  <si>
    <t>Mythic Brewing</t>
  </si>
  <si>
    <t>Rocky Mount</t>
  </si>
  <si>
    <t>Navigation Brewing Co</t>
  </si>
  <si>
    <t>Lowell</t>
  </si>
  <si>
    <t>Newtown Brewing Company</t>
  </si>
  <si>
    <t>The Referend Bier Blendery</t>
  </si>
  <si>
    <t>Envy Brewing</t>
  </si>
  <si>
    <t>Peter B's Brewpub</t>
  </si>
  <si>
    <t>Monterey</t>
  </si>
  <si>
    <t>Tahquamenon Falls Brewery and Pub</t>
  </si>
  <si>
    <t>Paradise</t>
  </si>
  <si>
    <t>Top Down Brewing Company</t>
  </si>
  <si>
    <t>Whole Foods Market Brewing Company</t>
  </si>
  <si>
    <t>Bang Brewing</t>
  </si>
  <si>
    <t>Distraction Brewing Company</t>
  </si>
  <si>
    <t>Roslindale</t>
  </si>
  <si>
    <t>Flying Dreams Brewing Co.</t>
  </si>
  <si>
    <t>Franklins Restaurant, Brewery and General Store</t>
  </si>
  <si>
    <t>Hyattsville</t>
  </si>
  <si>
    <t>Akwesasne Mohawk Casino Resort / Maple Brewing</t>
  </si>
  <si>
    <t>Akwesasne</t>
  </si>
  <si>
    <t>Otherwise Brewing</t>
  </si>
  <si>
    <t>(405) Brewing Co</t>
  </si>
  <si>
    <t>Black Lodge Brewing</t>
  </si>
  <si>
    <t>Coeur D'Alene</t>
  </si>
  <si>
    <t>Bushrod Brew Works</t>
  </si>
  <si>
    <t>Eaton</t>
  </si>
  <si>
    <t>Cross Keys Brewing Co</t>
  </si>
  <si>
    <t>Williamstown</t>
  </si>
  <si>
    <t>East Troy Brewery Co.</t>
  </si>
  <si>
    <t>EAST TROY</t>
  </si>
  <si>
    <t>Ocean City</t>
  </si>
  <si>
    <t>Guadalupe Brewing Company</t>
  </si>
  <si>
    <t>NEW BRAUNFELS</t>
  </si>
  <si>
    <t>Hops and Growlers</t>
  </si>
  <si>
    <t>Ocean Springs</t>
  </si>
  <si>
    <t>Hutton &amp; Smith Brewing Company, M. L. King</t>
  </si>
  <si>
    <t>Inu Island Ales</t>
  </si>
  <si>
    <t>Kaneohe</t>
  </si>
  <si>
    <t>Living Waters Brewing Company</t>
  </si>
  <si>
    <t>Local Ties Brewing Company</t>
  </si>
  <si>
    <t>Log Tavern Brewing</t>
  </si>
  <si>
    <t>Lokahi Brewing Company LLC</t>
  </si>
  <si>
    <t>Lucky City Brewing Co.</t>
  </si>
  <si>
    <t>Reidsville</t>
  </si>
  <si>
    <t>Maiden City Brewing Company, LLC</t>
  </si>
  <si>
    <t>Cynthiana</t>
  </si>
  <si>
    <t>Maryland Beer Company, LLC</t>
  </si>
  <si>
    <t>Mortals Key Brewing Company</t>
  </si>
  <si>
    <t>Jamestown</t>
  </si>
  <si>
    <t>Muskogee Brewing Company</t>
  </si>
  <si>
    <t>Muskogee</t>
  </si>
  <si>
    <t>New Boswell Brewing Co</t>
  </si>
  <si>
    <t>Origin Beer Project</t>
  </si>
  <si>
    <t>Oyster Creek Brewing</t>
  </si>
  <si>
    <t>Waretown</t>
  </si>
  <si>
    <t>Pendley Creek Brewing Company</t>
  </si>
  <si>
    <t>Percent Tap House LLC</t>
  </si>
  <si>
    <t>Phat Fish Brewing</t>
  </si>
  <si>
    <t>Dickinson</t>
  </si>
  <si>
    <t>Retriever Brewing Company</t>
  </si>
  <si>
    <t>Orefield</t>
  </si>
  <si>
    <t>Seaboard Brewing</t>
  </si>
  <si>
    <t>Matthews</t>
  </si>
  <si>
    <t>The Crossings Restaurant and Brewpub</t>
  </si>
  <si>
    <t>Putnam</t>
  </si>
  <si>
    <t>White Elephant Beer Company</t>
  </si>
  <si>
    <t>Wolf Tree Brewery</t>
  </si>
  <si>
    <t>Seal Rock</t>
  </si>
  <si>
    <t>Blazing Tree Brewery</t>
  </si>
  <si>
    <t>Durango Beer and Ice Company</t>
  </si>
  <si>
    <t>Modicum Brewing</t>
  </si>
  <si>
    <t>Altoona</t>
  </si>
  <si>
    <t>Obstacle Brewing and Grill</t>
  </si>
  <si>
    <t>OCC Brewing</t>
  </si>
  <si>
    <t>Ozone's Brewhouse</t>
  </si>
  <si>
    <t>Pod City Beer Labs</t>
  </si>
  <si>
    <t>Streetcar 82 Brewing Co.</t>
  </si>
  <si>
    <t>13 Below Brewery</t>
  </si>
  <si>
    <t>Back Alley Brewing Company</t>
  </si>
  <si>
    <t>Bitchin' Kitten Brewery</t>
  </si>
  <si>
    <t>Brewing Academy Of Montana At FVCC</t>
  </si>
  <si>
    <t>First Line Brewing</t>
  </si>
  <si>
    <t>Orchard Park</t>
  </si>
  <si>
    <t>Hog Molly Brewing Company, LLC</t>
  </si>
  <si>
    <t>Lady Justice Brewing</t>
  </si>
  <si>
    <t>Lugan's Brewing</t>
  </si>
  <si>
    <t>Old Louisville Brewery</t>
  </si>
  <si>
    <t>Two Ravens Brewery</t>
  </si>
  <si>
    <t>ZumBier</t>
  </si>
  <si>
    <t>Waukegan</t>
  </si>
  <si>
    <t>Barnstable Brewing</t>
  </si>
  <si>
    <t>Dirty Oar Beer Company</t>
  </si>
  <si>
    <t>O'Meara Bros. Brewing Company</t>
  </si>
  <si>
    <t>Lakeport</t>
  </si>
  <si>
    <t>Shortleaf Brewing</t>
  </si>
  <si>
    <t>O'Fallon</t>
  </si>
  <si>
    <t>Sway Beer</t>
  </si>
  <si>
    <t>Ukiah Brewing Co</t>
  </si>
  <si>
    <t>Ukiah</t>
  </si>
  <si>
    <t>All Sevens Brewing</t>
  </si>
  <si>
    <t>Allegheny Creek Brewing</t>
  </si>
  <si>
    <t>Mount Bethel</t>
  </si>
  <si>
    <t>Apparition Brewing</t>
  </si>
  <si>
    <t>Sugar Hill</t>
  </si>
  <si>
    <t>Aztec Brewing Company</t>
  </si>
  <si>
    <t>Berkeley Springs Brewing Co</t>
  </si>
  <si>
    <t>Berkeley Springs</t>
  </si>
  <si>
    <t>Best End Brewing Company</t>
  </si>
  <si>
    <t>Blue Mountain Pizza and Brew Pub</t>
  </si>
  <si>
    <t>Blue Oak Brewing Co</t>
  </si>
  <si>
    <t>Bobcat Brewery &amp; Cafe</t>
  </si>
  <si>
    <t>Bull Horn Brewing</t>
  </si>
  <si>
    <t>Cedar Glade Brews</t>
  </si>
  <si>
    <t>Citizen 33 Brewery</t>
  </si>
  <si>
    <t>Driggs</t>
  </si>
  <si>
    <t>Clendenin Brewing Company</t>
  </si>
  <si>
    <t>Clendenin</t>
  </si>
  <si>
    <t>Climate City Brewing Co.</t>
  </si>
  <si>
    <t>Cold Springs Inn and Brewing Company</t>
  </si>
  <si>
    <t>Dry Lake Brewing LLC</t>
  </si>
  <si>
    <t>Great Bend</t>
  </si>
  <si>
    <t>Fifth Street Brewpub</t>
  </si>
  <si>
    <t>Gaslight Brewery and Restaurant</t>
  </si>
  <si>
    <t>South Orange</t>
  </si>
  <si>
    <t>Hop Atomica</t>
  </si>
  <si>
    <t>Native Brew Works</t>
  </si>
  <si>
    <t>Jonesboro</t>
  </si>
  <si>
    <t>Oak Mountain Brewing Company LLC</t>
  </si>
  <si>
    <t>Pelham</t>
  </si>
  <si>
    <t>Oyster House Brewing Co.</t>
  </si>
  <si>
    <t>Raven's Ring Brewing</t>
  </si>
  <si>
    <t>River Saint Joe</t>
  </si>
  <si>
    <t>Buchanan</t>
  </si>
  <si>
    <t>Tactical OPS Brewing Inc.</t>
  </si>
  <si>
    <t>Temperance Row Brewing and Uptown Deli</t>
  </si>
  <si>
    <t>Westerville</t>
  </si>
  <si>
    <t>Tennessee Hills Brewstillery</t>
  </si>
  <si>
    <t>The Loramie Brewing Co</t>
  </si>
  <si>
    <t>Fort Loramie</t>
  </si>
  <si>
    <t>The Wheel Apizza Pub</t>
  </si>
  <si>
    <t>Valley River Brewery &amp; Eatery</t>
  </si>
  <si>
    <t>Murphy</t>
  </si>
  <si>
    <t>Vierling Restaurant &amp; Marquette Harbor Brewery</t>
  </si>
  <si>
    <t>Ashtown Brewing Co</t>
  </si>
  <si>
    <t>Longview</t>
  </si>
  <si>
    <t>Bull and Goat Brewery</t>
  </si>
  <si>
    <t>Funky Picnic Brewery &amp; Cafe</t>
  </si>
  <si>
    <t>Great Awakening Brewing Company</t>
  </si>
  <si>
    <t>Great Revivalist Brewing Company</t>
  </si>
  <si>
    <t>Harbor Trail Brewing Company</t>
  </si>
  <si>
    <t>Hex and Hop, Inc.</t>
  </si>
  <si>
    <t>Long Way Brewing</t>
  </si>
  <si>
    <t>Radford</t>
  </si>
  <si>
    <t>Return Brewing</t>
  </si>
  <si>
    <t>Slauterhouse LLC</t>
  </si>
  <si>
    <t>Spotted Octopus Brewing</t>
  </si>
  <si>
    <t>Stahoo's Brewery and Taproom</t>
  </si>
  <si>
    <t>Starview Brews</t>
  </si>
  <si>
    <t>Wedgewood Brewing Company</t>
  </si>
  <si>
    <t>Brew Bridge Brewery</t>
  </si>
  <si>
    <t>Owensboro</t>
  </si>
  <si>
    <t>ConfluxCity Brewing Company</t>
  </si>
  <si>
    <t>First Man Brewery</t>
  </si>
  <si>
    <t>Humboldt Brewing Company</t>
  </si>
  <si>
    <t>La Jara Brewing Company</t>
  </si>
  <si>
    <t>Norwalk</t>
  </si>
  <si>
    <t>Niantic Public House and Brewery</t>
  </si>
  <si>
    <t>Niantic</t>
  </si>
  <si>
    <t>North Mountain Brewing Co</t>
  </si>
  <si>
    <t>Old Mill Brewpub</t>
  </si>
  <si>
    <t>Peckish Pig</t>
  </si>
  <si>
    <t>Quincy Brewing Company</t>
  </si>
  <si>
    <t>Reinvention Brewing Co.</t>
  </si>
  <si>
    <t>Behr Brewing</t>
  </si>
  <si>
    <t>Bravo Brewing Company</t>
  </si>
  <si>
    <t>Pascoag</t>
  </si>
  <si>
    <t>Camp Brewing Company</t>
  </si>
  <si>
    <t>Diversion Brewing Co</t>
  </si>
  <si>
    <t>Chemung</t>
  </si>
  <si>
    <t>Finger Lakes Beer Co</t>
  </si>
  <si>
    <t>Flipside Brewing</t>
  </si>
  <si>
    <t>Lost Kingdom Brewery / Firehouse Distillery</t>
  </si>
  <si>
    <t>Ovid</t>
  </si>
  <si>
    <t>Mudbug Brewery</t>
  </si>
  <si>
    <t>Thibodaux</t>
  </si>
  <si>
    <t>Reverence Brewing</t>
  </si>
  <si>
    <t>Stumblin' Monkey Brewing Co</t>
  </si>
  <si>
    <t>Sunshine Brewing Company</t>
  </si>
  <si>
    <t>Texas Corners Brewing Company</t>
  </si>
  <si>
    <t>The Beer Diviner</t>
  </si>
  <si>
    <t>Cherry Plain</t>
  </si>
  <si>
    <t>Bartlett Hall</t>
  </si>
  <si>
    <t>Blind Lady Ale House</t>
  </si>
  <si>
    <t>Bluemont Station Brewery &amp; Winery</t>
  </si>
  <si>
    <t>Mono Brewery/Mono Mono Korean Fried Chicken</t>
  </si>
  <si>
    <t>Redwood Brewing Co</t>
  </si>
  <si>
    <t>Flint</t>
  </si>
  <si>
    <t>Sage Brewing Company</t>
  </si>
  <si>
    <t>Pasco</t>
  </si>
  <si>
    <t>Velum Fermentation</t>
  </si>
  <si>
    <t>18Seventy Brewing Co.</t>
  </si>
  <si>
    <t>Modesto</t>
  </si>
  <si>
    <t>Big Meadow Brewing Co</t>
  </si>
  <si>
    <t>Bitter Creek Brewing Co</t>
  </si>
  <si>
    <t>Chiefs Brew House</t>
  </si>
  <si>
    <t>COLD Coast Brewing Company</t>
  </si>
  <si>
    <t>Lompoc</t>
  </si>
  <si>
    <t>Colony Mash Brewing Co.</t>
  </si>
  <si>
    <t>Cypress Brewing Company</t>
  </si>
  <si>
    <t>Edison</t>
  </si>
  <si>
    <t>Eerie Abbey Ales</t>
  </si>
  <si>
    <t>Jubeck New World Brewing</t>
  </si>
  <si>
    <t>Lieferbrau Brewery LLC</t>
  </si>
  <si>
    <t>Red Bud</t>
  </si>
  <si>
    <t>Liquid Therapy</t>
  </si>
  <si>
    <t>LocAle Brewing Company</t>
  </si>
  <si>
    <t>Mankato</t>
  </si>
  <si>
    <t>New Motion Beverages/Embolden Beer Company</t>
  </si>
  <si>
    <t>North End Tavern &amp; Brewery</t>
  </si>
  <si>
    <t>Ogle Brewery</t>
  </si>
  <si>
    <t>Wooden Legs Brewing Co</t>
  </si>
  <si>
    <t>Beat Culture Brewery</t>
  </si>
  <si>
    <t>Black Paws Brewing Company</t>
  </si>
  <si>
    <t>Echoes</t>
  </si>
  <si>
    <t>Old 31 Brewing</t>
  </si>
  <si>
    <t>Spanish Fort</t>
  </si>
  <si>
    <t>Union Pier</t>
  </si>
  <si>
    <t>Snarky Loon Brewing Company</t>
  </si>
  <si>
    <t>Jenkins</t>
  </si>
  <si>
    <t>Tonopah Brewing Company</t>
  </si>
  <si>
    <t>Unity Brewing</t>
  </si>
  <si>
    <t>Unrefined Brewing</t>
  </si>
  <si>
    <t>Bevy</t>
  </si>
  <si>
    <t>Blackbeard's Brewing Company</t>
  </si>
  <si>
    <t>Break Even Beermakers</t>
  </si>
  <si>
    <t>Amador City</t>
  </si>
  <si>
    <t>Four Leaf Brewing</t>
  </si>
  <si>
    <t>Clare</t>
  </si>
  <si>
    <t>Hood Canal Brewery</t>
  </si>
  <si>
    <t>Local Motive Brewing Company</t>
  </si>
  <si>
    <t>Milkhouse Brewery at Stillpoint Farm</t>
  </si>
  <si>
    <t>Perspective Brewing Company</t>
  </si>
  <si>
    <t>Portico Brewing Co</t>
  </si>
  <si>
    <t>South Bend Brew Werks</t>
  </si>
  <si>
    <t>The Malai Kitchen</t>
  </si>
  <si>
    <t>Southlake</t>
  </si>
  <si>
    <t>All Rise Brewing Co</t>
  </si>
  <si>
    <t>Amici Madison</t>
  </si>
  <si>
    <t>Bremer Brewing Company</t>
  </si>
  <si>
    <t>Waverly</t>
  </si>
  <si>
    <t>Ebb and Flow Fermentations</t>
  </si>
  <si>
    <t>Cape Girardeau</t>
  </si>
  <si>
    <t>Looking Glass Brewing Company</t>
  </si>
  <si>
    <t>Dewitt</t>
  </si>
  <si>
    <t>Pecatonica Beer Company - Tap House</t>
  </si>
  <si>
    <t>The Heavy Metal Brewing Co.</t>
  </si>
  <si>
    <t>Twisted Elk Brewery</t>
  </si>
  <si>
    <t>Twisted Fate Brewing</t>
  </si>
  <si>
    <t>Danvers</t>
  </si>
  <si>
    <t>Worth Brewing Company</t>
  </si>
  <si>
    <t>BeachFly Brewing Company</t>
  </si>
  <si>
    <t>Rockledge</t>
  </si>
  <si>
    <t>Bent Shovel Brewing</t>
  </si>
  <si>
    <t>Bolt Brewery</t>
  </si>
  <si>
    <t>Bru Daddy's Brewing</t>
  </si>
  <si>
    <t>Cavern Brewing At Lowes Foods</t>
  </si>
  <si>
    <t>Crescent City Brewhouse</t>
  </si>
  <si>
    <t>Cultivation Brewing Co.</t>
  </si>
  <si>
    <t>Norcross</t>
  </si>
  <si>
    <t>Grove Cartel Brewing Co.</t>
  </si>
  <si>
    <t>China Grove</t>
  </si>
  <si>
    <t>Knotty Pine Brewing</t>
  </si>
  <si>
    <t>Le Chien Brewing Company</t>
  </si>
  <si>
    <t>Greenwell Springs</t>
  </si>
  <si>
    <t>Prospect Point Brewing</t>
  </si>
  <si>
    <t>War Pony Brewing Company</t>
  </si>
  <si>
    <t>Lawton</t>
  </si>
  <si>
    <t>Bad Joker Brewing Company</t>
  </si>
  <si>
    <t>Daft Cow Brewery</t>
  </si>
  <si>
    <t>Alachua</t>
  </si>
  <si>
    <t>Eluvium Brewing Co.</t>
  </si>
  <si>
    <t>Fired Up Brewing</t>
  </si>
  <si>
    <t>Colville</t>
  </si>
  <si>
    <t>HomeGrown Brewing Company</t>
  </si>
  <si>
    <t>Rapp Brewing Company</t>
  </si>
  <si>
    <t>Seminole</t>
  </si>
  <si>
    <t>5 Stones Artisan Brewery</t>
  </si>
  <si>
    <t>Barrel Splitters Brewing</t>
  </si>
  <si>
    <t>Candia Road Brewing Company</t>
  </si>
  <si>
    <t>Copperhill Brewery</t>
  </si>
  <si>
    <t>Deviant Wolfe Brewing</t>
  </si>
  <si>
    <t>Double Down Brewing Company</t>
  </si>
  <si>
    <t>Gallaghers' Where U Brew</t>
  </si>
  <si>
    <t>Oro Brewing Company</t>
  </si>
  <si>
    <t>The Liquid Garage</t>
  </si>
  <si>
    <t>Argyle Brewing Company</t>
  </si>
  <si>
    <t>Greenwich</t>
  </si>
  <si>
    <t>Bonafide Beer Co.</t>
  </si>
  <si>
    <t>Brokerage Brewing Company</t>
  </si>
  <si>
    <t>West Lafayette</t>
  </si>
  <si>
    <t>Five Shores Brewing</t>
  </si>
  <si>
    <t>Beulah</t>
  </si>
  <si>
    <t>Groundwork Brewing</t>
  </si>
  <si>
    <t>Hayes Public House</t>
  </si>
  <si>
    <t>Lost Way Brewery</t>
  </si>
  <si>
    <t>Holdrege</t>
  </si>
  <si>
    <t>Pints Pub Brewery and Freehouse</t>
  </si>
  <si>
    <t>The Eighth State Brewing Company</t>
  </si>
  <si>
    <t>The Velo Fellow</t>
  </si>
  <si>
    <t>Verde Brewing Co</t>
  </si>
  <si>
    <t>Camp Verde</t>
  </si>
  <si>
    <t>12Degree Brewing</t>
  </si>
  <si>
    <t>Bearmoose Brewing Company</t>
  </si>
  <si>
    <t>Buttzville Brewing Company</t>
  </si>
  <si>
    <t>Covert Artisan Ales &amp; Cellars</t>
  </si>
  <si>
    <t>First Flight Island Restaurant &amp; Brewery</t>
  </si>
  <si>
    <t>Good Brewing Co.</t>
  </si>
  <si>
    <t>Griffin Brewing Co.</t>
  </si>
  <si>
    <t>Gulfport Brewery + Eatery</t>
  </si>
  <si>
    <t>Iron Pipe Alewerks</t>
  </si>
  <si>
    <t>Manifest Beer Company</t>
  </si>
  <si>
    <t>Skaneateles Brewery</t>
  </si>
  <si>
    <t>Skaneateles</t>
  </si>
  <si>
    <t>Snow Eater Brewing Company</t>
  </si>
  <si>
    <t>Liberty Lake</t>
  </si>
  <si>
    <t>Suds Monkey Brewing</t>
  </si>
  <si>
    <t>Tri Hop Brewery</t>
  </si>
  <si>
    <t>1787 Brewing Company</t>
  </si>
  <si>
    <t>Camber Brewing Co</t>
  </si>
  <si>
    <t>Cedar Crest Brewing and Wine Bar</t>
  </si>
  <si>
    <t>Deviant Libation</t>
  </si>
  <si>
    <t>Dodge City Brewing</t>
  </si>
  <si>
    <t>Dodge City</t>
  </si>
  <si>
    <t>Fishtowne Brew House</t>
  </si>
  <si>
    <t>Beaufort</t>
  </si>
  <si>
    <t>Four Points Brewing</t>
  </si>
  <si>
    <t>Charleroi</t>
  </si>
  <si>
    <t>New Union Brewing</t>
  </si>
  <si>
    <t>Pottstown United Brewing Co</t>
  </si>
  <si>
    <t>Purpose Brewing and Cellars</t>
  </si>
  <si>
    <t>Sawstone Brewing Co</t>
  </si>
  <si>
    <t>Morehead</t>
  </si>
  <si>
    <t>The Whitechapel Projects</t>
  </si>
  <si>
    <t>Long Branch</t>
  </si>
  <si>
    <t>Tilt Wurks Brewhouse &amp; Casino</t>
  </si>
  <si>
    <t>Miles City</t>
  </si>
  <si>
    <t>Woodland Farm Brewery</t>
  </si>
  <si>
    <t>Belfry Brewery</t>
  </si>
  <si>
    <t>Cottonwood</t>
  </si>
  <si>
    <t>Five-0-Five Brewing Company</t>
  </si>
  <si>
    <t>Hairless Hare Brewery</t>
  </si>
  <si>
    <t>Vandalia</t>
  </si>
  <si>
    <t>Kootenai River Brewing Co</t>
  </si>
  <si>
    <t>Bonners Ferry</t>
  </si>
  <si>
    <t>Packinghouse Brewing Co, The</t>
  </si>
  <si>
    <t>Rowdy's Brewing Company</t>
  </si>
  <si>
    <t>Bandolero Brewery</t>
  </si>
  <si>
    <t>Bloom Brew</t>
  </si>
  <si>
    <t>West Newton</t>
  </si>
  <si>
    <t>High Springs Brewing Company</t>
  </si>
  <si>
    <t>High Springs</t>
  </si>
  <si>
    <t>Phantom Power</t>
  </si>
  <si>
    <t>Millersville</t>
  </si>
  <si>
    <t>Taylor House Brewing Co</t>
  </si>
  <si>
    <t>Catasauqua</t>
  </si>
  <si>
    <t>The Mason Jar Brewing Company</t>
  </si>
  <si>
    <t>Menifee</t>
  </si>
  <si>
    <t>Tuned Up Brewing Company</t>
  </si>
  <si>
    <t>Spring City</t>
  </si>
  <si>
    <t>Asian Brothers Brewing Company</t>
  </si>
  <si>
    <t>Isleton</t>
  </si>
  <si>
    <t>Northbound Smokehouse Brewpub</t>
  </si>
  <si>
    <t>1820 BrewWerks</t>
  </si>
  <si>
    <t>Kalida</t>
  </si>
  <si>
    <t>3Halves Brewing Co, LLC</t>
  </si>
  <si>
    <t>Auburn Brewing Company</t>
  </si>
  <si>
    <t>Autark Brewhouse</t>
  </si>
  <si>
    <t>Brew Republic Bierwerks</t>
  </si>
  <si>
    <t>Cave Brewing Co</t>
  </si>
  <si>
    <t>Chesepiooc Real Ale Brewery</t>
  </si>
  <si>
    <t>Crofton</t>
  </si>
  <si>
    <t>Descendants Brewing Company</t>
  </si>
  <si>
    <t>Irondequoit Beer Company</t>
  </si>
  <si>
    <t>Lakeside Tavern &amp; Brewery</t>
  </si>
  <si>
    <t>Moby Dick Brewing Co.</t>
  </si>
  <si>
    <t>New Bedford</t>
  </si>
  <si>
    <t>New Crescent Brewing Co.</t>
  </si>
  <si>
    <t>Orr's Brewing Company</t>
  </si>
  <si>
    <t>Parallel 45 Brewing</t>
  </si>
  <si>
    <t>Roslyn Brewing Co</t>
  </si>
  <si>
    <t>Roslyn</t>
  </si>
  <si>
    <t>Starkweather Brewing Company</t>
  </si>
  <si>
    <t>Sunset Reservoir Brewing Company</t>
  </si>
  <si>
    <t>Union Brothers Brewing</t>
  </si>
  <si>
    <t>Harmony</t>
  </si>
  <si>
    <t>1812 Brewery</t>
  </si>
  <si>
    <t>Anecdote Brewing Co.</t>
  </si>
  <si>
    <t>Indian Rocks Beach</t>
  </si>
  <si>
    <t>Block North LLC</t>
  </si>
  <si>
    <t>Aitkin</t>
  </si>
  <si>
    <t>Dunsmuir Brewery Works</t>
  </si>
  <si>
    <t>Dunsmuir</t>
  </si>
  <si>
    <t>Dutch's BrewHouse</t>
  </si>
  <si>
    <t>La Cantina Brewing Company</t>
  </si>
  <si>
    <t>Riverwatch Brewery</t>
  </si>
  <si>
    <t>Santa Paula Brewing Company</t>
  </si>
  <si>
    <t>Santa Paula</t>
  </si>
  <si>
    <t>Sons of Liberty Beer &amp; Spirits Co.</t>
  </si>
  <si>
    <t>Tallulah Brewing Company</t>
  </si>
  <si>
    <t>Unseen Creatures Brewing and Blending</t>
  </si>
  <si>
    <t>Albion Malleable Brewing Company</t>
  </si>
  <si>
    <t>Benson Brewery</t>
  </si>
  <si>
    <t>Death Valley Brewing</t>
  </si>
  <si>
    <t>Tecopa</t>
  </si>
  <si>
    <t>Hank Hudson Brewing Co.</t>
  </si>
  <si>
    <t>Mechanicville</t>
  </si>
  <si>
    <t>Idol Beer Works</t>
  </si>
  <si>
    <t>Iron Mule Brewery</t>
  </si>
  <si>
    <t>Krootz Brewing Company</t>
  </si>
  <si>
    <t>Rockcreek Brewing</t>
  </si>
  <si>
    <t>Steady Brewing</t>
  </si>
  <si>
    <t>Sutter Buttes Brewing</t>
  </si>
  <si>
    <t>Yuba City</t>
  </si>
  <si>
    <t>The Wild Rover Brewery</t>
  </si>
  <si>
    <t>Backstep Brewing Company</t>
  </si>
  <si>
    <t>Crawfordsville</t>
  </si>
  <si>
    <t>Bloomer Brewing Co</t>
  </si>
  <si>
    <t>Bloomer</t>
  </si>
  <si>
    <t>Last Minute Brewing</t>
  </si>
  <si>
    <t>Scott Township</t>
  </si>
  <si>
    <t>Lily's Seafood Grill and Brewery</t>
  </si>
  <si>
    <t>Royal Oak</t>
  </si>
  <si>
    <t>Rising River Brewing</t>
  </si>
  <si>
    <t>Macungie</t>
  </si>
  <si>
    <t>Seaside Brewery</t>
  </si>
  <si>
    <t>SEASIDE</t>
  </si>
  <si>
    <t>Acorn Brewing</t>
  </si>
  <si>
    <t>Branding Iron Brewing Company</t>
  </si>
  <si>
    <t>Brewery 26</t>
  </si>
  <si>
    <t>Desert Monks Brewing Co.</t>
  </si>
  <si>
    <t>Franklin Street Brewing Company</t>
  </si>
  <si>
    <t>Nolan Creek Brewery</t>
  </si>
  <si>
    <t>Belton</t>
  </si>
  <si>
    <t>Outworld Brewing</t>
  </si>
  <si>
    <t>Parts &amp; Labor Brewing Company</t>
  </si>
  <si>
    <t>Titanic Brewing Co</t>
  </si>
  <si>
    <t>Upper Pass Beer Co</t>
  </si>
  <si>
    <t>Bacova Beer Company</t>
  </si>
  <si>
    <t>Big Dog Craft Brewing</t>
  </si>
  <si>
    <t>Buffalo Mountain Brewery</t>
  </si>
  <si>
    <t>Floyd</t>
  </si>
  <si>
    <t>Bywater Brew Pub</t>
  </si>
  <si>
    <t>Fox City Brewing Co</t>
  </si>
  <si>
    <t>Forsyth</t>
  </si>
  <si>
    <t>Grateful Grain Brewing Company</t>
  </si>
  <si>
    <t>Monmouth</t>
  </si>
  <si>
    <t>High-Hand Brewing Co.</t>
  </si>
  <si>
    <t>Kodiak Island Brewing Co, LLC</t>
  </si>
  <si>
    <t>Kodiak</t>
  </si>
  <si>
    <t>Last Days of Autumn Brewing</t>
  </si>
  <si>
    <t>Provincetown Brewing Co.</t>
  </si>
  <si>
    <t>Provincetown</t>
  </si>
  <si>
    <t>Red Swing Brewhouse</t>
  </si>
  <si>
    <t>Richbrau Brewing</t>
  </si>
  <si>
    <t>Rusty Gold Brewing</t>
  </si>
  <si>
    <t>Solar Brewing Company</t>
  </si>
  <si>
    <t>Oak Island</t>
  </si>
  <si>
    <t>Stratosphere Brewing Company</t>
  </si>
  <si>
    <t>Stump City Brewing LLC</t>
  </si>
  <si>
    <t>Gloversville</t>
  </si>
  <si>
    <t>Throne Brewing</t>
  </si>
  <si>
    <t>Tub Town Brewing</t>
  </si>
  <si>
    <t>Bath</t>
  </si>
  <si>
    <t>Twisted Gingers Brewing Company</t>
  </si>
  <si>
    <t>LAFAYETTE HILL</t>
  </si>
  <si>
    <t>Water Street Brewing Co.</t>
  </si>
  <si>
    <t>Binghamton</t>
  </si>
  <si>
    <t>Weasel Boy Brewing Co  LLC</t>
  </si>
  <si>
    <t>Baileson Brewing Company, LLC</t>
  </si>
  <si>
    <t>Brewery At The Culinary Institute Of America</t>
  </si>
  <si>
    <t>Brightside Aleworks</t>
  </si>
  <si>
    <t>Crazy Llama Brewing Company</t>
  </si>
  <si>
    <t>Extra Billys Brewery and Smokehouse</t>
  </si>
  <si>
    <t>Fair Oaks Brew Pub</t>
  </si>
  <si>
    <t>Fair Oaks</t>
  </si>
  <si>
    <t>Four Generals Brewing</t>
  </si>
  <si>
    <t>Harmon Lane Brewing</t>
  </si>
  <si>
    <t>Lucas Frank Household</t>
  </si>
  <si>
    <t>Luchador Brewing Company</t>
  </si>
  <si>
    <t>Chino Hills</t>
  </si>
  <si>
    <t>New Village Brewery and Taproom</t>
  </si>
  <si>
    <t>Oriental</t>
  </si>
  <si>
    <t>Normaltown Brewing Co.</t>
  </si>
  <si>
    <t>Outrun Brewing Company</t>
  </si>
  <si>
    <t>Second Dawn Brewing Co.</t>
  </si>
  <si>
    <t>Very Nice Brewing Co</t>
  </si>
  <si>
    <t>Wild barley kitchen &amp; Brewery</t>
  </si>
  <si>
    <t>Apogee Brewing Company</t>
  </si>
  <si>
    <t>Bruehol Benicia Brewing</t>
  </si>
  <si>
    <t>Benicia</t>
  </si>
  <si>
    <t>Drylands Brewing</t>
  </si>
  <si>
    <t>Lovington</t>
  </si>
  <si>
    <t>Fenwick Farms Brewing Company</t>
  </si>
  <si>
    <t>Rensselaer</t>
  </si>
  <si>
    <t>Kopacetic Beer Factory</t>
  </si>
  <si>
    <t>Monticello</t>
  </si>
  <si>
    <t>Adamstown</t>
  </si>
  <si>
    <t>Ocean View Brew Works</t>
  </si>
  <si>
    <t>Odd Otter Brewing Company</t>
  </si>
  <si>
    <t>Panacea Brewing Company</t>
  </si>
  <si>
    <t>Slippery Pig Brewery</t>
  </si>
  <si>
    <t>Bell Ringer Brew CO</t>
  </si>
  <si>
    <t>BellRinger Brewing Company</t>
  </si>
  <si>
    <t>Cactus Land Brewing Company</t>
  </si>
  <si>
    <t>Adkins</t>
  </si>
  <si>
    <t>Feed Store Beer Co</t>
  </si>
  <si>
    <t>Footbridge Brewery</t>
  </si>
  <si>
    <t>Boothbay Harbor</t>
  </si>
  <si>
    <t>Redemption Rock Brewing Co</t>
  </si>
  <si>
    <t>Trinken Brewing Co.</t>
  </si>
  <si>
    <t>West Bath</t>
  </si>
  <si>
    <t>Artifact Brewing</t>
  </si>
  <si>
    <t>Hatboro</t>
  </si>
  <si>
    <t>BBGB Brewery And Hop Farm</t>
  </si>
  <si>
    <t>Biltmore Brewing Company</t>
  </si>
  <si>
    <t>Birchwood Brewing Co</t>
  </si>
  <si>
    <t>Gray</t>
  </si>
  <si>
    <t>Boulder Dam Brewing Company</t>
  </si>
  <si>
    <t>Boulder City</t>
  </si>
  <si>
    <t>Busted Sandal Brewing Company</t>
  </si>
  <si>
    <t>California Wild Ales</t>
  </si>
  <si>
    <t>Camelback Brewing Company</t>
  </si>
  <si>
    <t>Cornerstone Brewing Co</t>
  </si>
  <si>
    <t>Berea</t>
  </si>
  <si>
    <t>Iron Tug Brewing</t>
  </si>
  <si>
    <t>Karst Brewing</t>
  </si>
  <si>
    <t>Koocanusa Brewery</t>
  </si>
  <si>
    <t>Locust Post Brewery</t>
  </si>
  <si>
    <t>Little Orleans</t>
  </si>
  <si>
    <t>Second State Brewing Company</t>
  </si>
  <si>
    <t>Skyroc Brewery</t>
  </si>
  <si>
    <t>Attleboro</t>
  </si>
  <si>
    <t>Unplugged Brewing Co.</t>
  </si>
  <si>
    <t>Elyria</t>
  </si>
  <si>
    <t>Utara Brewing Company</t>
  </si>
  <si>
    <t>Autodidact Beer</t>
  </si>
  <si>
    <t>Morris Plains</t>
  </si>
  <si>
    <t>Beer Is Good Brewing Company</t>
  </si>
  <si>
    <t>Crooked Current Brewery</t>
  </si>
  <si>
    <t>Dry Ground Brewing Company</t>
  </si>
  <si>
    <t>Four Fathers Brewing</t>
  </si>
  <si>
    <t>In the Loop Brewing</t>
  </si>
  <si>
    <t>Lumber House Brewing Company</t>
  </si>
  <si>
    <t>Black Diamond</t>
  </si>
  <si>
    <t>Reach Break Brewing</t>
  </si>
  <si>
    <t>Schaendorf Brewing Company</t>
  </si>
  <si>
    <t>Westville Brewery</t>
  </si>
  <si>
    <t>Westville</t>
  </si>
  <si>
    <t>Yale Terrace Brewery</t>
  </si>
  <si>
    <t>Cranford</t>
  </si>
  <si>
    <t>Bellwether Brewing Co</t>
  </si>
  <si>
    <t>Craft Advisory Brewing</t>
  </si>
  <si>
    <t>Fresh Coast Beer Works</t>
  </si>
  <si>
    <t>Ghost Isle Brewery</t>
  </si>
  <si>
    <t>Go Brewing</t>
  </si>
  <si>
    <t>Greywolf Brewing</t>
  </si>
  <si>
    <t>Norco</t>
  </si>
  <si>
    <t>Medford Brewing</t>
  </si>
  <si>
    <t>Prodigy Brewing</t>
  </si>
  <si>
    <t>Quintopia Brewing Co</t>
  </si>
  <si>
    <t>3 Car Garage Brewing Co</t>
  </si>
  <si>
    <t>3 Iron Brewing Company</t>
  </si>
  <si>
    <t>Colton</t>
  </si>
  <si>
    <t>Block Brewing Company</t>
  </si>
  <si>
    <t>Chrysalis Barrel Aged Beer</t>
  </si>
  <si>
    <t>Creative Creature Brewing Company</t>
  </si>
  <si>
    <t>Evening Sky Brewing Company</t>
  </si>
  <si>
    <t>Fluvial Brewing</t>
  </si>
  <si>
    <t>Harrison</t>
  </si>
  <si>
    <t>Goat Lab</t>
  </si>
  <si>
    <t>Hopvine Brewing Company</t>
  </si>
  <si>
    <t>Peace of Mind Brewing</t>
  </si>
  <si>
    <t>Lynnwood</t>
  </si>
  <si>
    <t>Untamed Waters Brewing</t>
  </si>
  <si>
    <t>Black Monk Brewery</t>
  </si>
  <si>
    <t>Blue Collar Brewery, Inc.</t>
  </si>
  <si>
    <t>Blue Ridge Brewing Co</t>
  </si>
  <si>
    <t>Dixie Saloon Brewery</t>
  </si>
  <si>
    <t>Mackinaw City</t>
  </si>
  <si>
    <t>Edge Of The World Brewery</t>
  </si>
  <si>
    <t>Colorado City</t>
  </si>
  <si>
    <t>Keg and Barrel Brewing Company Inc.</t>
  </si>
  <si>
    <t>Dundee</t>
  </si>
  <si>
    <t>Nostrovia Brewing Co</t>
  </si>
  <si>
    <t>Old Sheepdog Brewery</t>
  </si>
  <si>
    <t>Revel Brewing</t>
  </si>
  <si>
    <t>Park Rapids</t>
  </si>
  <si>
    <t>The Brewery At Hershey</t>
  </si>
  <si>
    <t>The Railyard Brewing Co</t>
  </si>
  <si>
    <t>WeBe Brewing Company</t>
  </si>
  <si>
    <t>Bear Hands Brewing Company, Inc.</t>
  </si>
  <si>
    <t>Broadview Brewing Company</t>
  </si>
  <si>
    <t>Broadview Heights</t>
  </si>
  <si>
    <t>Disco Witch Brewing</t>
  </si>
  <si>
    <t>Yulee</t>
  </si>
  <si>
    <t>Sun Valley Brewing Co</t>
  </si>
  <si>
    <t>Tilion Brewing Company</t>
  </si>
  <si>
    <t>Cannon Falls</t>
  </si>
  <si>
    <t>Belly Love Brewing Company</t>
  </si>
  <si>
    <t>Gilla Brewing Co.</t>
  </si>
  <si>
    <t>Gonzales</t>
  </si>
  <si>
    <t>Great Sacandaga Brewing Co</t>
  </si>
  <si>
    <t>Broadalbin</t>
  </si>
  <si>
    <t>Huckleberry Brewing Company</t>
  </si>
  <si>
    <t>Low Road Brewing</t>
  </si>
  <si>
    <t>Pivot Brewing Company</t>
  </si>
  <si>
    <t>Rockfish Brewing Company</t>
  </si>
  <si>
    <t>Stripe Nine Brewing Co.</t>
  </si>
  <si>
    <t>Tetrad Brewing Company</t>
  </si>
  <si>
    <t>The Last Chair Brewery</t>
  </si>
  <si>
    <t>The Other One Brewing Co.</t>
  </si>
  <si>
    <t>Thin Brew Line Brewing Company</t>
  </si>
  <si>
    <t>Wadsworth Brewing Company</t>
  </si>
  <si>
    <t>Wadsworth</t>
  </si>
  <si>
    <t>White Rooster Farmhouse Brewery</t>
  </si>
  <si>
    <t>Beyond The Mountain Brewing Company</t>
  </si>
  <si>
    <t>Black Lung Brewing Company</t>
  </si>
  <si>
    <t>BrickHaven Brewing Company</t>
  </si>
  <si>
    <t>Grand Ledge</t>
  </si>
  <si>
    <t>Crafty Ales and Lagers</t>
  </si>
  <si>
    <t>Phelps</t>
  </si>
  <si>
    <t>Crooked Creek Brewery</t>
  </si>
  <si>
    <t>St. Helens</t>
  </si>
  <si>
    <t>Flyers Restaurant and Brewery</t>
  </si>
  <si>
    <t>Oak Harbor</t>
  </si>
  <si>
    <t>North 47 Brewing Co</t>
  </si>
  <si>
    <t>Pompano Beach Brewing Company</t>
  </si>
  <si>
    <t>Twin Elder Brewery</t>
  </si>
  <si>
    <t>TwoGuys Brewing</t>
  </si>
  <si>
    <t>Dimes Brewhouse</t>
  </si>
  <si>
    <t>Dimondale</t>
  </si>
  <si>
    <t>EagleMonk Pub and Brewery</t>
  </si>
  <si>
    <t>Foxhole Brewhouse</t>
  </si>
  <si>
    <t>Willmar</t>
  </si>
  <si>
    <t>Garland Brew Werks</t>
  </si>
  <si>
    <t>Lantern Brewing</t>
  </si>
  <si>
    <t>Uptown Brewing Co</t>
  </si>
  <si>
    <t>Waco Ale Company</t>
  </si>
  <si>
    <t>14 Lakes Brewery</t>
  </si>
  <si>
    <t>Crosslake</t>
  </si>
  <si>
    <t>1700 Brewing</t>
  </si>
  <si>
    <t>Dalton Union</t>
  </si>
  <si>
    <t>MARYSVILLE</t>
  </si>
  <si>
    <t>Gally's Brewing Co</t>
  </si>
  <si>
    <t>Harlowton</t>
  </si>
  <si>
    <t>Johnnie MacCracken's Celtic Firehouse Pub, Inc.</t>
  </si>
  <si>
    <t>Minglewood Brewery</t>
  </si>
  <si>
    <t>Salt Point Brewing Co, LLC</t>
  </si>
  <si>
    <t>Seneca Lake Brewing Company</t>
  </si>
  <si>
    <t>Rock Stream</t>
  </si>
  <si>
    <t>Southern Philosophy Brewing</t>
  </si>
  <si>
    <t>Bainbridge</t>
  </si>
  <si>
    <t>Steel Cactus Brewing</t>
  </si>
  <si>
    <t>WildEdge Brewing Collective</t>
  </si>
  <si>
    <t>Cortez</t>
  </si>
  <si>
    <t>8-Bit Aleworks</t>
  </si>
  <si>
    <t>Avondale</t>
  </si>
  <si>
    <t>Broke Brewing Company</t>
  </si>
  <si>
    <t>Central District Brewing</t>
  </si>
  <si>
    <t>Covered Bridge Brewhaus Taproom</t>
  </si>
  <si>
    <t>Shamokin</t>
  </si>
  <si>
    <t>Crisis Brewing</t>
  </si>
  <si>
    <t>Dam Brewhouse, LLC.</t>
  </si>
  <si>
    <t>Campton</t>
  </si>
  <si>
    <t>Fox N Hare Brewing Company</t>
  </si>
  <si>
    <t>Gottberg Brew Pub</t>
  </si>
  <si>
    <t>Mountain Valley Brewing</t>
  </si>
  <si>
    <t>Axton</t>
  </si>
  <si>
    <t>Pearl Beach Brew Pub</t>
  </si>
  <si>
    <t>Two Heroes Brewery &amp; Public House</t>
  </si>
  <si>
    <t>South Hero</t>
  </si>
  <si>
    <t>Vis Major Brewing Co</t>
  </si>
  <si>
    <t>28 Songs Brewing Company</t>
  </si>
  <si>
    <t>Adventurous Brewing</t>
  </si>
  <si>
    <t>Audacious Aleworks</t>
  </si>
  <si>
    <t>Bad Tom Smith Brewing</t>
  </si>
  <si>
    <t>Biere De Mac Brew Works</t>
  </si>
  <si>
    <t>Bolo Beer Co</t>
  </si>
  <si>
    <t>Valentine</t>
  </si>
  <si>
    <t>Broken Window Brewing Company LLC.</t>
  </si>
  <si>
    <t>Monaca Brewing Company</t>
  </si>
  <si>
    <t>Monaca</t>
  </si>
  <si>
    <t>Sager Beer Works</t>
  </si>
  <si>
    <t>Say When Brewing Company</t>
  </si>
  <si>
    <t>Denison</t>
  </si>
  <si>
    <t>Scratch Brewing Company</t>
  </si>
  <si>
    <t>Ava</t>
  </si>
  <si>
    <t>Three Bull Brewing Co</t>
  </si>
  <si>
    <t>Vulgar Brewing Company</t>
  </si>
  <si>
    <t>Winchester Brew Works</t>
  </si>
  <si>
    <t>Afterthought Brewing Company</t>
  </si>
  <si>
    <t>Atomic Ale Brewpub and Eatery</t>
  </si>
  <si>
    <t>Brass Works Brewing Company LLC</t>
  </si>
  <si>
    <t>Cisco Brewers</t>
  </si>
  <si>
    <t>Erratic Ale Co.</t>
  </si>
  <si>
    <t>Flagstaff Brewing Co</t>
  </si>
  <si>
    <t>Gideon's Brewing Company</t>
  </si>
  <si>
    <t>Moriches Field Brewing Company</t>
  </si>
  <si>
    <t>New Braunfels Brewing</t>
  </si>
  <si>
    <t>Side Lot Brewery</t>
  </si>
  <si>
    <t>Wauconda</t>
  </si>
  <si>
    <t>The Original 40 Brewing Company</t>
  </si>
  <si>
    <t>SAN DIEGO</t>
  </si>
  <si>
    <t>True West Brewing Company</t>
  </si>
  <si>
    <t>Valor Brewpub</t>
  </si>
  <si>
    <t>Asylum Brewing</t>
  </si>
  <si>
    <t>Brewing Tree Beer Company</t>
  </si>
  <si>
    <t>Eastpoint Beer Company</t>
  </si>
  <si>
    <t>Eastpoint</t>
  </si>
  <si>
    <t>Ghost Tree Brewing Company</t>
  </si>
  <si>
    <t>Mia and Pias Pizzeria/Brewhouse</t>
  </si>
  <si>
    <t>Northern Maine Brewing Co</t>
  </si>
  <si>
    <t>Caribou</t>
  </si>
  <si>
    <t>Overshores Brewing Co</t>
  </si>
  <si>
    <t>Pizza Pro</t>
  </si>
  <si>
    <t>Paragould</t>
  </si>
  <si>
    <t>Ronin Fermentation Project</t>
  </si>
  <si>
    <t>Sheepscot Valley Brewing Co</t>
  </si>
  <si>
    <t>Whitefield</t>
  </si>
  <si>
    <t>Thirsty Crab Brewery</t>
  </si>
  <si>
    <t>Langley</t>
  </si>
  <si>
    <t>Trail's Edge Brewing Co.</t>
  </si>
  <si>
    <t>Yellow Sun Brewing Company</t>
  </si>
  <si>
    <t>Rutherfordton</t>
  </si>
  <si>
    <t>Blue Monkey Brewing Co.</t>
  </si>
  <si>
    <t>North Royalton</t>
  </si>
  <si>
    <t>High Steel Beer Co</t>
  </si>
  <si>
    <t>Shelton</t>
  </si>
  <si>
    <t>Alematic Artisan Ales</t>
  </si>
  <si>
    <t>Huber Heights</t>
  </si>
  <si>
    <t>Angry Hops Brewing</t>
  </si>
  <si>
    <t>Busey Brews</t>
  </si>
  <si>
    <t>Colorado Boy Pizzeria</t>
  </si>
  <si>
    <t>Double Horn Brewing Co</t>
  </si>
  <si>
    <t>Fibonacci Brewing Company</t>
  </si>
  <si>
    <t>Freak Folk Bier</t>
  </si>
  <si>
    <t>Freedom Brew &amp; Shine</t>
  </si>
  <si>
    <t>High Gravity Brewing Company</t>
  </si>
  <si>
    <t>InnerSpace Brewing Company</t>
  </si>
  <si>
    <t>Little Cottage Brewery</t>
  </si>
  <si>
    <t>Avondale Estates</t>
  </si>
  <si>
    <t>Personal Best Brewing</t>
  </si>
  <si>
    <t>Public House Crested Butte</t>
  </si>
  <si>
    <t>Saints Row Brewing</t>
  </si>
  <si>
    <t>Sugar Run Brewing Company</t>
  </si>
  <si>
    <t>The Highway Brewing Co.</t>
  </si>
  <si>
    <t>West Branch</t>
  </si>
  <si>
    <t>The Outlaw Brewing Company</t>
  </si>
  <si>
    <t>TightKnit Brewing Co</t>
  </si>
  <si>
    <t>Toasty Kettlyst Beer Company</t>
  </si>
  <si>
    <t>Gibsonville</t>
  </si>
  <si>
    <t>Two Rivers Alehouse NC</t>
  </si>
  <si>
    <t>Vennture Brew Co</t>
  </si>
  <si>
    <t>Wild Hops Brewery</t>
  </si>
  <si>
    <t>Woodland Republic Brewing &amp; Blending</t>
  </si>
  <si>
    <t>Xota Brewing Company</t>
  </si>
  <si>
    <t>Waterboro</t>
  </si>
  <si>
    <t>Zony Mash Beer Project</t>
  </si>
  <si>
    <t>Afterburner Brewing Company</t>
  </si>
  <si>
    <t>Badger Mountain Brewing, LLC</t>
  </si>
  <si>
    <t>Bethany Brewing</t>
  </si>
  <si>
    <t>Frothy Moon Brewhouse</t>
  </si>
  <si>
    <t>Great Valley Farm Brewery</t>
  </si>
  <si>
    <t>Natural Bridge</t>
  </si>
  <si>
    <t>Guadalupe Mountain Brewing Company</t>
  </si>
  <si>
    <t>Humble Monk Brewing Co</t>
  </si>
  <si>
    <t>Ivory Bill Brewing Co</t>
  </si>
  <si>
    <t>Siloam Springs</t>
  </si>
  <si>
    <t>Junkyard on 66 Brewery</t>
  </si>
  <si>
    <t>Grants</t>
  </si>
  <si>
    <t>Lops Brewing</t>
  </si>
  <si>
    <t>Woonsocket</t>
  </si>
  <si>
    <t>Oil Horse Brewing Company</t>
  </si>
  <si>
    <t>Ramshackle Brewing Company</t>
  </si>
  <si>
    <t>River Mile 38 Brewing Co</t>
  </si>
  <si>
    <t>Cathlamet</t>
  </si>
  <si>
    <t>Settlers Brewing Company</t>
  </si>
  <si>
    <t>Shoug Brewing Company</t>
  </si>
  <si>
    <t>Bent Hill Brewery</t>
  </si>
  <si>
    <t>Death Of The Fox Brewing Company</t>
  </si>
  <si>
    <t>Clarksboro</t>
  </si>
  <si>
    <t>Shale Creek Brewing</t>
  </si>
  <si>
    <t>Texas Cannon Brewing Company</t>
  </si>
  <si>
    <t>Active Ingredient Brewing Company</t>
  </si>
  <si>
    <t>Malta</t>
  </si>
  <si>
    <t>Ark Brewery</t>
  </si>
  <si>
    <t>Lumberton</t>
  </si>
  <si>
    <t>Chehalem Valley Brewing Co</t>
  </si>
  <si>
    <t>Ghost Note Brewing</t>
  </si>
  <si>
    <t>Immigrant Son Brewery</t>
  </si>
  <si>
    <t>Joshua Tree Brewery</t>
  </si>
  <si>
    <t>Leo Brewing/ Public House At The Markets</t>
  </si>
  <si>
    <t>Lost Mined Brewing Company</t>
  </si>
  <si>
    <t>Megaton Brewery</t>
  </si>
  <si>
    <t>Kingwood</t>
  </si>
  <si>
    <t>MiddleCoast Brewing Company</t>
  </si>
  <si>
    <t>Pipe The Side Brewing Company</t>
  </si>
  <si>
    <t>Hampstead</t>
  </si>
  <si>
    <t>Rural City Beer Co.</t>
  </si>
  <si>
    <t>Reamstown</t>
  </si>
  <si>
    <t>Skint Chestnut Brewing Company</t>
  </si>
  <si>
    <t>Powder Springs</t>
  </si>
  <si>
    <t>Strange Design Public House</t>
  </si>
  <si>
    <t>Geneseo</t>
  </si>
  <si>
    <t>UnHitched Brewing Company</t>
  </si>
  <si>
    <t>louisville</t>
  </si>
  <si>
    <t>Wild Side Brewing Company</t>
  </si>
  <si>
    <t>Big Trouble Brewing</t>
  </si>
  <si>
    <t>Gallatin</t>
  </si>
  <si>
    <t>Chilton Mill Brewing</t>
  </si>
  <si>
    <t>Crazy Dingo Brewing Company</t>
  </si>
  <si>
    <t>Donum Dei Brewery</t>
  </si>
  <si>
    <t>Happy Trails Brewing Company</t>
  </si>
  <si>
    <t>Myriad Brewing Company</t>
  </si>
  <si>
    <t>Neches Brewing Company</t>
  </si>
  <si>
    <t>Port Neches</t>
  </si>
  <si>
    <t>Our Lady of Perpetual Hops</t>
  </si>
  <si>
    <t>Swells'a Brewing</t>
  </si>
  <si>
    <t>Wyandotte</t>
  </si>
  <si>
    <t>Ye Olde Brothers Brewery</t>
  </si>
  <si>
    <t>Azalea City Brewing Company</t>
  </si>
  <si>
    <t>Palatka</t>
  </si>
  <si>
    <t>Buffalo Commons Brewing Co</t>
  </si>
  <si>
    <t>Mandan</t>
  </si>
  <si>
    <t>Coastline Brewing Company</t>
  </si>
  <si>
    <t>WESTBROOK</t>
  </si>
  <si>
    <t>Hopping Eagle Brewing Company</t>
  </si>
  <si>
    <t>Lost Art Brewhouse</t>
  </si>
  <si>
    <t>The Nordic Brewing Co</t>
  </si>
  <si>
    <t>The Outskirts Brewing Co.</t>
  </si>
  <si>
    <t>Selah</t>
  </si>
  <si>
    <t>Torg Brewery</t>
  </si>
  <si>
    <t>Aggieville Brewing Company</t>
  </si>
  <si>
    <t>Divine Science Brewing</t>
  </si>
  <si>
    <t>Ineffable Brewing Company</t>
  </si>
  <si>
    <t>Klondike Brewing Co</t>
  </si>
  <si>
    <t>Potlatch Brewing Co</t>
  </si>
  <si>
    <t>Hoodsport</t>
  </si>
  <si>
    <t>The Vincennes Brewing Company</t>
  </si>
  <si>
    <t>Vincennes</t>
  </si>
  <si>
    <t>Trap Rock Brewing Co.</t>
  </si>
  <si>
    <t>Saint Croix Falls</t>
  </si>
  <si>
    <t>1937 Brewing Company</t>
  </si>
  <si>
    <t>67 Degrees Brewing</t>
  </si>
  <si>
    <t>Al. Ringling Brewing Co.</t>
  </si>
  <si>
    <t>At Large Brewing</t>
  </si>
  <si>
    <t>Big Rip Brewing Company</t>
  </si>
  <si>
    <t>North Kansas City</t>
  </si>
  <si>
    <t>Blü Dragonfly Brewing</t>
  </si>
  <si>
    <t>Raton</t>
  </si>
  <si>
    <t>Blue Heron Brewing Co. LLC</t>
  </si>
  <si>
    <t>Embudo</t>
  </si>
  <si>
    <t>Columbus House Brewery</t>
  </si>
  <si>
    <t>Curran Brewing Co</t>
  </si>
  <si>
    <t>Decatur Brew Works</t>
  </si>
  <si>
    <t>Double Branch Brewing &amp; Bites</t>
  </si>
  <si>
    <t>Loophole Brewing</t>
  </si>
  <si>
    <t>Belchertown</t>
  </si>
  <si>
    <t>MadHopper Brewing</t>
  </si>
  <si>
    <t>Native Dog Brewing</t>
  </si>
  <si>
    <t>Portneuf Valley Brewing Co</t>
  </si>
  <si>
    <t>Rockport Brewing Company</t>
  </si>
  <si>
    <t>Rockport</t>
  </si>
  <si>
    <t>Tahoe National Brewing Co</t>
  </si>
  <si>
    <t>Three Mugs Brewing Company</t>
  </si>
  <si>
    <t>Battle Street Brewery</t>
  </si>
  <si>
    <t>Dansville</t>
  </si>
  <si>
    <t>Indian Valley Brewing</t>
  </si>
  <si>
    <t>NOBO Brewing Company</t>
  </si>
  <si>
    <t>Quenched &amp; Tempered Brewery</t>
  </si>
  <si>
    <t>Wolf House Brewing</t>
  </si>
  <si>
    <t>Brewery 99</t>
  </si>
  <si>
    <t>New Bern</t>
  </si>
  <si>
    <t>Lebanon Brewing Co.</t>
  </si>
  <si>
    <t>Mt Pleasant</t>
  </si>
  <si>
    <t>Wet City Brewing</t>
  </si>
  <si>
    <t>Cool City Brewing Company</t>
  </si>
  <si>
    <t>Two Rivers</t>
  </si>
  <si>
    <t>Eastern Front Brewing Co</t>
  </si>
  <si>
    <t>Mattituck</t>
  </si>
  <si>
    <t>Eavesdrop Brewery</t>
  </si>
  <si>
    <t>Elder Son Brewing Co.</t>
  </si>
  <si>
    <t>Great Flats Brewing</t>
  </si>
  <si>
    <t>Mexitaly Brick Oven Brewhouse</t>
  </si>
  <si>
    <t>Pitchers Sports Restaurant and Brewery</t>
  </si>
  <si>
    <t>Ranch House Brewery</t>
  </si>
  <si>
    <t>Oracle</t>
  </si>
  <si>
    <t>The RAD Brew Co</t>
  </si>
  <si>
    <t>Triple J Chophouse and Brew Co</t>
  </si>
  <si>
    <t>Two Plumbers Brewery + Arcade</t>
  </si>
  <si>
    <t>1817 Brewery</t>
  </si>
  <si>
    <t>okolona</t>
  </si>
  <si>
    <t>760 Craft Works</t>
  </si>
  <si>
    <t>Lochiel Brewing</t>
  </si>
  <si>
    <t>Long Beach Brewing Company</t>
  </si>
  <si>
    <t>MoCo Brewing Project</t>
  </si>
  <si>
    <t>Wartburg</t>
  </si>
  <si>
    <t>Mountain Star Brewing Co</t>
  </si>
  <si>
    <t>SJ Brewing Company</t>
  </si>
  <si>
    <t>Spring Creek Brewing Company</t>
  </si>
  <si>
    <t>Bye-i Brewing LLC</t>
  </si>
  <si>
    <t>Cohoes</t>
  </si>
  <si>
    <t>Insurgent Brewing Co.</t>
  </si>
  <si>
    <t>Chino Valley</t>
  </si>
  <si>
    <t>Mississippi Ale House</t>
  </si>
  <si>
    <t>Olive Branch</t>
  </si>
  <si>
    <t>Neon Bear Brewery</t>
  </si>
  <si>
    <t>Pomona CA</t>
  </si>
  <si>
    <t>Rendezvous Brewing</t>
  </si>
  <si>
    <t>Snow Republic Brewing Company</t>
  </si>
  <si>
    <t>West Dover</t>
  </si>
  <si>
    <t>The Fox Brewpub</t>
  </si>
  <si>
    <t>Three Missions Brewery</t>
  </si>
  <si>
    <t>Torrent Brewing Co</t>
  </si>
  <si>
    <t>Ward House Brewery</t>
  </si>
  <si>
    <t>Waseca</t>
  </si>
  <si>
    <t>Bang the Drum Brewery</t>
  </si>
  <si>
    <t>Deadline Brewing Project</t>
  </si>
  <si>
    <t>Differential Brewing Co</t>
  </si>
  <si>
    <t>Golden Fox Brewing LLC</t>
  </si>
  <si>
    <t>Half Pint Brewing Company</t>
  </si>
  <si>
    <t>Hoquiam Brewing Company</t>
  </si>
  <si>
    <t>Hoquiam</t>
  </si>
  <si>
    <t>Iron Tree Brewing Company</t>
  </si>
  <si>
    <t>Christiansburg</t>
  </si>
  <si>
    <t>Landmade  Brewing</t>
  </si>
  <si>
    <t>Poolesville</t>
  </si>
  <si>
    <t>Loop Brewing Co</t>
  </si>
  <si>
    <t>Mc Cook</t>
  </si>
  <si>
    <t>Mash Monkeys Brewing Company</t>
  </si>
  <si>
    <t>Off the Grid Brewing Co</t>
  </si>
  <si>
    <t>Apple Valley</t>
  </si>
  <si>
    <t>Ojai Valley Brewery</t>
  </si>
  <si>
    <t>Ojai</t>
  </si>
  <si>
    <t>Planetary Brewing Company</t>
  </si>
  <si>
    <t>Richter Aleworks</t>
  </si>
  <si>
    <t>Sawyers Brewing Company</t>
  </si>
  <si>
    <t>Montague</t>
  </si>
  <si>
    <t>TaleSpinner Craft Brewery</t>
  </si>
  <si>
    <t>Valley Craft Ales</t>
  </si>
  <si>
    <t>Yetters Brewing Company</t>
  </si>
  <si>
    <t>Barnhouse Brewery</t>
  </si>
  <si>
    <t>Brew -N- Krew Ale House</t>
  </si>
  <si>
    <t>Fringe Beerworks</t>
  </si>
  <si>
    <t>Grand Avenue Brewing Company</t>
  </si>
  <si>
    <t>Ice House Brewery &amp; Kitchen</t>
  </si>
  <si>
    <t>Colonial Beach</t>
  </si>
  <si>
    <t>Knack Brewing and Fermentations</t>
  </si>
  <si>
    <t>Kankakee</t>
  </si>
  <si>
    <t>Pioneer Valley Brewery</t>
  </si>
  <si>
    <t>Recluse Brew Works</t>
  </si>
  <si>
    <t>Tannery Run Brew Works</t>
  </si>
  <si>
    <t>Two Mile Brewing Co</t>
  </si>
  <si>
    <t>Leadville</t>
  </si>
  <si>
    <t>Untitled Art</t>
  </si>
  <si>
    <t>Damsel Brew Pub</t>
  </si>
  <si>
    <t>Double Bluff Brewing</t>
  </si>
  <si>
    <t>Fieldcrest Brewing Company</t>
  </si>
  <si>
    <t>Wilbraham</t>
  </si>
  <si>
    <t>Living Proof Beer Company</t>
  </si>
  <si>
    <t>R &amp; R Brewing</t>
  </si>
  <si>
    <t>Mount Olive</t>
  </si>
  <si>
    <t>Snake Island Brewing</t>
  </si>
  <si>
    <t>Toa Alta</t>
  </si>
  <si>
    <t>Puerto Rico</t>
  </si>
  <si>
    <t>4kd Crick Brewery</t>
  </si>
  <si>
    <t>Defiance</t>
  </si>
  <si>
    <t>Altruist Brewing Company</t>
  </si>
  <si>
    <t>Fiskdale</t>
  </si>
  <si>
    <t>Balsam Falls Brewing</t>
  </si>
  <si>
    <t>Bixi Beer</t>
  </si>
  <si>
    <t>Bootleggers Brewing Co</t>
  </si>
  <si>
    <t>Bout the Hops Brewing</t>
  </si>
  <si>
    <t>Mount Laurel</t>
  </si>
  <si>
    <t>Burnt Field Brewing</t>
  </si>
  <si>
    <t>Dancing Grain Farm Brewery</t>
  </si>
  <si>
    <t>Door 4 Brewing Co</t>
  </si>
  <si>
    <t>DrumTrout Brewing Co</t>
  </si>
  <si>
    <t>Frey's Brewing Company</t>
  </si>
  <si>
    <t>Grains &amp; Taps</t>
  </si>
  <si>
    <t>Grizzlybird Brewing Company</t>
  </si>
  <si>
    <t>Guesswork Brewing Company</t>
  </si>
  <si>
    <t>Here and Now Brewing Company</t>
  </si>
  <si>
    <t>Hometown Brewing Company</t>
  </si>
  <si>
    <t>Kelsey Creek Brewing</t>
  </si>
  <si>
    <t>Kelseyville</t>
  </si>
  <si>
    <t>Livingood's Restaurant &amp; Brewery</t>
  </si>
  <si>
    <t>Peru</t>
  </si>
  <si>
    <t>Oakbrook Brewing Company</t>
  </si>
  <si>
    <t>One Eyed Buffalo Brewing Company LLC</t>
  </si>
  <si>
    <t>Thermopolis</t>
  </si>
  <si>
    <t>Propolis Brewing LLC</t>
  </si>
  <si>
    <t>Quarry Brewing</t>
  </si>
  <si>
    <t>Red Sash Brewing</t>
  </si>
  <si>
    <t>River Remedy Brewing Company</t>
  </si>
  <si>
    <t>3rd Level Brewing</t>
  </si>
  <si>
    <t>Black Pony Brewing Company</t>
  </si>
  <si>
    <t>Brown Beard Brewing Company</t>
  </si>
  <si>
    <t>Catalina Brewing Company</t>
  </si>
  <si>
    <t>Forbidden Barrel Brewing</t>
  </si>
  <si>
    <t>Worthington</t>
  </si>
  <si>
    <t>Mystic Ways Brewing</t>
  </si>
  <si>
    <t>Skull Tree Brewing</t>
  </si>
  <si>
    <t>Sole Track Brewing LLC</t>
  </si>
  <si>
    <t>Rumney</t>
  </si>
  <si>
    <t>Bambei Brewing Company LLC</t>
  </si>
  <si>
    <t>BlackRock Brewers</t>
  </si>
  <si>
    <t>Brewing Reserve of California</t>
  </si>
  <si>
    <t>Dialectic Brewing Company</t>
  </si>
  <si>
    <t>Dwinell Country Ales</t>
  </si>
  <si>
    <t>Goldendale</t>
  </si>
  <si>
    <t>Farm Road Brewing</t>
  </si>
  <si>
    <t>Great Oak Brewing Company</t>
  </si>
  <si>
    <t>Holy Moley Brewing Company</t>
  </si>
  <si>
    <t>Dennison</t>
  </si>
  <si>
    <t>Kismetic Beer Company</t>
  </si>
  <si>
    <t>Lake Anne Brew House</t>
  </si>
  <si>
    <t>Reston</t>
  </si>
  <si>
    <t>North Branch Brewing Co</t>
  </si>
  <si>
    <t>Keyser</t>
  </si>
  <si>
    <t>Santa Ana River Brewing Company</t>
  </si>
  <si>
    <t>The Boroughs Brewing Company</t>
  </si>
  <si>
    <t>Danielson</t>
  </si>
  <si>
    <t>Blue Heron Brew Pub</t>
  </si>
  <si>
    <t>Bottle Bay Brewing</t>
  </si>
  <si>
    <t>Boxcar Brew Works</t>
  </si>
  <si>
    <t>Du Bois</t>
  </si>
  <si>
    <t>Broken Chair Brewery</t>
  </si>
  <si>
    <t>Buffalo Olde Brewery</t>
  </si>
  <si>
    <t>Coal Country Brewing</t>
  </si>
  <si>
    <t>Ebensburg</t>
  </si>
  <si>
    <t>Czar's Brewing LLC</t>
  </si>
  <si>
    <t>Richmond Farm &amp; Brewery</t>
  </si>
  <si>
    <t>Right Mind Brewing</t>
  </si>
  <si>
    <t>Avalanche Brewing Co</t>
  </si>
  <si>
    <t>Backstory Brewery</t>
  </si>
  <si>
    <t>Sulphur Springs</t>
  </si>
  <si>
    <t>Cadillac Straits Brewing Company</t>
  </si>
  <si>
    <t>Madison Heights</t>
  </si>
  <si>
    <t>Cellador Ales</t>
  </si>
  <si>
    <t>North Hills</t>
  </si>
  <si>
    <t>Dostal Alley Brewpub &amp; Casino</t>
  </si>
  <si>
    <t>Central City</t>
  </si>
  <si>
    <t>Fenders Brewing Company</t>
  </si>
  <si>
    <t>Polk City</t>
  </si>
  <si>
    <t>Garrett's Brewing Company</t>
  </si>
  <si>
    <t>Trumansburg</t>
  </si>
  <si>
    <t>Hand-Brewed Beer</t>
  </si>
  <si>
    <t>Chatsworth</t>
  </si>
  <si>
    <t>Iron Bridge Icehouse</t>
  </si>
  <si>
    <t>Bastrop</t>
  </si>
  <si>
    <t>Penn Cove Brewing Company</t>
  </si>
  <si>
    <t>Coupeville</t>
  </si>
  <si>
    <t>Pratt Brewing Company</t>
  </si>
  <si>
    <t>Spring Grove</t>
  </si>
  <si>
    <t>Ribald Brewing</t>
  </si>
  <si>
    <t>Soggy Bottom Brewing Co.</t>
  </si>
  <si>
    <t>Big Head Brewing Co.</t>
  </si>
  <si>
    <t>Cooper Mountain Ale Works</t>
  </si>
  <si>
    <t>Tigard</t>
  </si>
  <si>
    <t>Core4 Brewing</t>
  </si>
  <si>
    <t>Crooked Label Brewing Company</t>
  </si>
  <si>
    <t>Downey Brewing Company</t>
  </si>
  <si>
    <t>Dearborn</t>
  </si>
  <si>
    <t>Downriver Brewing Company</t>
  </si>
  <si>
    <t>Stroudsburg</t>
  </si>
  <si>
    <t>Engine 14 Brewery</t>
  </si>
  <si>
    <t>Fairport Brewing Co</t>
  </si>
  <si>
    <t>Four Fingers Brewing Company</t>
  </si>
  <si>
    <t>Fox Tale Fermentation Project</t>
  </si>
  <si>
    <t>Halcyon Brewing Company</t>
  </si>
  <si>
    <t>Hayesville Brewing Co</t>
  </si>
  <si>
    <t>Hayesville</t>
  </si>
  <si>
    <t>Historically Hoppy Brewing Co.</t>
  </si>
  <si>
    <t>Loons Landing Brewery</t>
  </si>
  <si>
    <t>Savage</t>
  </si>
  <si>
    <t>Sad Boys Brewing</t>
  </si>
  <si>
    <t>Second Profession Brewing Company</t>
  </si>
  <si>
    <t>Thirsty Farmer Brew Works</t>
  </si>
  <si>
    <t>Biglerville</t>
  </si>
  <si>
    <t>Von Jakob Winery</t>
  </si>
  <si>
    <t>Alto Pass</t>
  </si>
  <si>
    <t>Dead Canary Brewing Co</t>
  </si>
  <si>
    <t>Long Lot Farm Brewery</t>
  </si>
  <si>
    <t>Mama Ree's Pizza and Brewhouse</t>
  </si>
  <si>
    <t>Nine Maidens Brewing Company</t>
  </si>
  <si>
    <t>Oaklyn Springs Brewery</t>
  </si>
  <si>
    <t>Other One Brewing Company</t>
  </si>
  <si>
    <t>Clifton Park</t>
  </si>
  <si>
    <t>Science Project Brewing Company</t>
  </si>
  <si>
    <t>Logansport</t>
  </si>
  <si>
    <t>Sidetracked Brewery</t>
  </si>
  <si>
    <t>Subculture Artisan Ales</t>
  </si>
  <si>
    <t>Traders Brewing Company</t>
  </si>
  <si>
    <t>INDIANAPOLIS</t>
  </si>
  <si>
    <t>Vinyl Brewing Company, LLC</t>
  </si>
  <si>
    <t>Watson Farmhouse Brewery</t>
  </si>
  <si>
    <t>Southbury</t>
  </si>
  <si>
    <t>Bateau Brewing</t>
  </si>
  <si>
    <t>Irrelevant Beer</t>
  </si>
  <si>
    <t>Las Palmas Brewing Company</t>
  </si>
  <si>
    <t>Palm Springs</t>
  </si>
  <si>
    <t>River Bottoms Brewing Company</t>
  </si>
  <si>
    <t>Stars &amp; Stripes Brewing</t>
  </si>
  <si>
    <t>Three Bulls Tavern &amp; Brewery</t>
  </si>
  <si>
    <t>Topwater Brewing Co</t>
  </si>
  <si>
    <t>Barrington</t>
  </si>
  <si>
    <t>Viking Brewpub</t>
  </si>
  <si>
    <t>Stoughton</t>
  </si>
  <si>
    <t>Bare Arms Brewing, LLC</t>
  </si>
  <si>
    <t>Golden Grove Farm &amp; Brew</t>
  </si>
  <si>
    <t>Piedmont</t>
  </si>
  <si>
    <t>Guernsey Brewhouse</t>
  </si>
  <si>
    <t>House Divided Brewery</t>
  </si>
  <si>
    <t>Necromantic Brew Co</t>
  </si>
  <si>
    <t>Olde Bedford Brewing Company</t>
  </si>
  <si>
    <t>Prince Michel Vineyard and Winery</t>
  </si>
  <si>
    <t>Leon</t>
  </si>
  <si>
    <t>Sabbatical Brewing Co</t>
  </si>
  <si>
    <t>Settle Down Brewery &amp; Taproom</t>
  </si>
  <si>
    <t>The Common Beer Company</t>
  </si>
  <si>
    <t>Toppled Turtle Brewing Company</t>
  </si>
  <si>
    <t>Dumas</t>
  </si>
  <si>
    <t>16 Stone Brewpub</t>
  </si>
  <si>
    <t>Holland Patent</t>
  </si>
  <si>
    <t>Beer Naked Brewery</t>
  </si>
  <si>
    <t>Marlboro</t>
  </si>
  <si>
    <t>Boondocks Brewing</t>
  </si>
  <si>
    <t>Dirty Job Brewing</t>
  </si>
  <si>
    <t>Elm Street Brewing Company</t>
  </si>
  <si>
    <t>Flat Mountain Brewhouse</t>
  </si>
  <si>
    <t>Floyd County Brewing Company</t>
  </si>
  <si>
    <t>Hudson Ale Works</t>
  </si>
  <si>
    <t>JAKL Beer Works</t>
  </si>
  <si>
    <t>Mad Paddle Brewery</t>
  </si>
  <si>
    <t>Sophisticated Hound Brewing Company</t>
  </si>
  <si>
    <t>St. Benedict's Brew Works</t>
  </si>
  <si>
    <t>Ferdinand</t>
  </si>
  <si>
    <t>Bellbrook</t>
  </si>
  <si>
    <t>Brewery 4 Two 4</t>
  </si>
  <si>
    <t>Ciclops Cyderi and Brewery</t>
  </si>
  <si>
    <t>Common Corners Brewing</t>
  </si>
  <si>
    <t>Walnut</t>
  </si>
  <si>
    <t>Gravity Brew Works</t>
  </si>
  <si>
    <t>Big Flat</t>
  </si>
  <si>
    <t>Harbottle Brewing Company</t>
  </si>
  <si>
    <t>Kennebec River Brewery</t>
  </si>
  <si>
    <t>The Forks</t>
  </si>
  <si>
    <t>Problem Solved Brewing Company</t>
  </si>
  <si>
    <t>East Windsor</t>
  </si>
  <si>
    <t>Shackett's Brewing Company</t>
  </si>
  <si>
    <t>Steampunk Brew Works</t>
  </si>
  <si>
    <t>Contrast Artisan Ales</t>
  </si>
  <si>
    <t>Hoh River Brewery</t>
  </si>
  <si>
    <t>Lat 65 Brewing Co.</t>
  </si>
  <si>
    <t>Mill Hill Brewery</t>
  </si>
  <si>
    <t>Thunder Brothers Brewery</t>
  </si>
  <si>
    <t>Isanti</t>
  </si>
  <si>
    <t>Wanderlust Brewing Company</t>
  </si>
  <si>
    <t>Whirligig Brewing</t>
  </si>
  <si>
    <t>St Johnsbury</t>
  </si>
  <si>
    <t>Adobe Creek Brewing Company</t>
  </si>
  <si>
    <t>Big Hart Brewing Company</t>
  </si>
  <si>
    <t>Hart</t>
  </si>
  <si>
    <t>Buffalo Bills Brewery</t>
  </si>
  <si>
    <t>Crooked Keg Brewing Company</t>
  </si>
  <si>
    <t>Cultured Collective</t>
  </si>
  <si>
    <t>Orange Park</t>
  </si>
  <si>
    <t>Eisenadler Brauhaus</t>
  </si>
  <si>
    <t>Palatine Bridge</t>
  </si>
  <si>
    <t>ExBEERiment Brewing</t>
  </si>
  <si>
    <t>Father &amp; Sons Tap Room &amp; Brewery</t>
  </si>
  <si>
    <t>Gravel Bottom Craft Brewery</t>
  </si>
  <si>
    <t>Ada</t>
  </si>
  <si>
    <t>Highway 1 Brewing Company</t>
  </si>
  <si>
    <t>Pescadero</t>
  </si>
  <si>
    <t>i and i brewing</t>
  </si>
  <si>
    <t>Chino</t>
  </si>
  <si>
    <t>Iron Furnace Brewing</t>
  </si>
  <si>
    <t>Franconia</t>
  </si>
  <si>
    <t>Mexca Brew Co.</t>
  </si>
  <si>
    <t>El Centro</t>
  </si>
  <si>
    <t>Mill 77 Brewing</t>
  </si>
  <si>
    <t>Paddled South Brewing Co.</t>
  </si>
  <si>
    <t>Scythe Brewing Company</t>
  </si>
  <si>
    <t>Shep's Brewing Company</t>
  </si>
  <si>
    <t>Three Rivers Brewing Co</t>
  </si>
  <si>
    <t>Three Rivers</t>
  </si>
  <si>
    <t>Threshold Brewing &amp; Blending</t>
  </si>
  <si>
    <t>Anarchy Brewing Co.</t>
  </si>
  <si>
    <t>Big Chief Brewing</t>
  </si>
  <si>
    <t>Horsham</t>
  </si>
  <si>
    <t>Fat Bat Brewing Company, LLC</t>
  </si>
  <si>
    <t>Frye Brewing</t>
  </si>
  <si>
    <t>Point Pleasant Boro</t>
  </si>
  <si>
    <t>Harbor Light Brewery</t>
  </si>
  <si>
    <t>Juniata Brewing Company</t>
  </si>
  <si>
    <t>Huntingdon</t>
  </si>
  <si>
    <t>Leveller Brewing Co.</t>
  </si>
  <si>
    <t>Meyers Brewing Company</t>
  </si>
  <si>
    <t>Outfit Brewing</t>
  </si>
  <si>
    <t>Paper Street Brewing Co</t>
  </si>
  <si>
    <t>Ridge Runner Farms and Brewing Co.</t>
  </si>
  <si>
    <t>Maurertown</t>
  </si>
  <si>
    <t>Slowdrift Brewing Company</t>
  </si>
  <si>
    <t>Gales Creek</t>
  </si>
  <si>
    <t>The 5 Barrel</t>
  </si>
  <si>
    <t>Timber Town Beer Company</t>
  </si>
  <si>
    <t>Priest River</t>
  </si>
  <si>
    <t>Bath Brewing Company</t>
  </si>
  <si>
    <t>Bierly Brewing</t>
  </si>
  <si>
    <t>Buffalo Brewpub</t>
  </si>
  <si>
    <t>Burlington Beer Works</t>
  </si>
  <si>
    <t>Granville Brewing Company</t>
  </si>
  <si>
    <t>Green Bus Brewing</t>
  </si>
  <si>
    <t>Leader Brewing</t>
  </si>
  <si>
    <t>Palm Bay</t>
  </si>
  <si>
    <t>Ogle County Brewery</t>
  </si>
  <si>
    <t>RG Brewery / Five Sons Winery</t>
  </si>
  <si>
    <t>Brockport</t>
  </si>
  <si>
    <t>Ronan Cooperative Brewery</t>
  </si>
  <si>
    <t>Ronan</t>
  </si>
  <si>
    <t>Seneca Lodge Craft Brewing At Seneca Lodge</t>
  </si>
  <si>
    <t>Watkins Glen</t>
  </si>
  <si>
    <t>The Lot Beer Co</t>
  </si>
  <si>
    <t>Arundel Cellars &amp; Brewing Co</t>
  </si>
  <si>
    <t>North East</t>
  </si>
  <si>
    <t>Cacapon Mountain Brewing Company</t>
  </si>
  <si>
    <t>Chapel Brewing</t>
  </si>
  <si>
    <t>Dundas</t>
  </si>
  <si>
    <t>Coquina Coast Brewing Company</t>
  </si>
  <si>
    <t>Flagler Beach</t>
  </si>
  <si>
    <t>Crazy Gnome LLC</t>
  </si>
  <si>
    <t>East First Brewery</t>
  </si>
  <si>
    <t>Campbellsville</t>
  </si>
  <si>
    <t>Fibs Brewing Company</t>
  </si>
  <si>
    <t>Des Plaines</t>
  </si>
  <si>
    <t>Firehawk Brewpub</t>
  </si>
  <si>
    <t>Kingston Standard Brewing Co.</t>
  </si>
  <si>
    <t>Long-Bell Brewing Company</t>
  </si>
  <si>
    <t>McAllister Brewing Company</t>
  </si>
  <si>
    <t>Minocqua Brewing Co</t>
  </si>
  <si>
    <t>Minocqua</t>
  </si>
  <si>
    <t>Molly's Pint Brewpub</t>
  </si>
  <si>
    <t>Muckraker Beermaker</t>
  </si>
  <si>
    <t>Muffleheads Brewery</t>
  </si>
  <si>
    <t>Wakeman</t>
  </si>
  <si>
    <t>Oak Pond Brewing Co</t>
  </si>
  <si>
    <t>Opera House Brewing Company</t>
  </si>
  <si>
    <t>Red Clover Ale Company</t>
  </si>
  <si>
    <t>South 40 Brewery, LLC</t>
  </si>
  <si>
    <t>Studduck Beers</t>
  </si>
  <si>
    <t>Lonsdale</t>
  </si>
  <si>
    <t>Uncommon Ground</t>
  </si>
  <si>
    <t>Union Station Brewing Company</t>
  </si>
  <si>
    <t>Jesup</t>
  </si>
  <si>
    <t>Wicked Warren's</t>
  </si>
  <si>
    <t>8th Day Brewing Company</t>
  </si>
  <si>
    <t>Bosk Brew Works</t>
  </si>
  <si>
    <t>Chile Line Brewery</t>
  </si>
  <si>
    <t>Copper Mine Brewing Co</t>
  </si>
  <si>
    <t>Dueling Dogs Brewing Company</t>
  </si>
  <si>
    <t>Tenacity Brewing</t>
  </si>
  <si>
    <t>Third State Brewing</t>
  </si>
  <si>
    <t>Angry Inch Brewing</t>
  </si>
  <si>
    <t>Chaotic Good Brewing Company</t>
  </si>
  <si>
    <t>Kasson</t>
  </si>
  <si>
    <t>Great Life Brewing</t>
  </si>
  <si>
    <t>Harbor Mountain Brewing Co</t>
  </si>
  <si>
    <t>Sitka</t>
  </si>
  <si>
    <t>Naples Brewing Company</t>
  </si>
  <si>
    <t>Off The Rails Brewing Company</t>
  </si>
  <si>
    <t>River Rock Brewery</t>
  </si>
  <si>
    <t>Galt</t>
  </si>
  <si>
    <t>Slickfin Brewing Company LLC</t>
  </si>
  <si>
    <t>Fort Edward</t>
  </si>
  <si>
    <t>Tackle Box Brewing LLC</t>
  </si>
  <si>
    <t>THC Beer Company</t>
  </si>
  <si>
    <t>Blue Ocean Brewing</t>
  </si>
  <si>
    <t>HALF MOON BAY</t>
  </si>
  <si>
    <t>Fly Boy Brewery and Eats / Props &amp; Hops Brewing</t>
  </si>
  <si>
    <t>Sylvan Grove</t>
  </si>
  <si>
    <t>Gilded Skull Brewing &amp; Blending</t>
  </si>
  <si>
    <t>GOTL Brewing Co</t>
  </si>
  <si>
    <t>Hell or High Water Brewing</t>
  </si>
  <si>
    <t>Liberty Hill</t>
  </si>
  <si>
    <t>Heroes Brewery At Brook Hill</t>
  </si>
  <si>
    <t>Hop Hound Brew Pub</t>
  </si>
  <si>
    <t>Murray</t>
  </si>
  <si>
    <t>Mad Pecker Brewing</t>
  </si>
  <si>
    <t>Old Abe’s Brew House</t>
  </si>
  <si>
    <t>Old Mill Brewpub &amp; Grill</t>
  </si>
  <si>
    <t>Plainwell</t>
  </si>
  <si>
    <t>Planted Flag Brewing</t>
  </si>
  <si>
    <t>River Company Restaurant &amp; Brewery Inc, The</t>
  </si>
  <si>
    <t>Sinepuxent Brewing Company</t>
  </si>
  <si>
    <t>Temperate Habits Brewing Company</t>
  </si>
  <si>
    <t>Zephyrhills Brewing Company</t>
  </si>
  <si>
    <t>Zephyrhills</t>
  </si>
  <si>
    <t>101st Brewery</t>
  </si>
  <si>
    <t>Brooks Brewing</t>
  </si>
  <si>
    <t>Shelby Charter Township</t>
  </si>
  <si>
    <t>Brotherwell Brewing</t>
  </si>
  <si>
    <t>Ourayle House Brewery / Mr. Grumpy Pants Brewing</t>
  </si>
  <si>
    <t>Rickhouse Brewery</t>
  </si>
  <si>
    <t>Mineral Wells</t>
  </si>
  <si>
    <t>Smoking River Brewing Company</t>
  </si>
  <si>
    <t>Meeker</t>
  </si>
  <si>
    <t>Bait House Brewery</t>
  </si>
  <si>
    <t>Boho Brewing</t>
  </si>
  <si>
    <t>Parkville</t>
  </si>
  <si>
    <t>Broken Hatchet Brewing</t>
  </si>
  <si>
    <t>Cheshire Craft Brewing</t>
  </si>
  <si>
    <t>Cheshire</t>
  </si>
  <si>
    <t>Heavy Reel Brewing</t>
  </si>
  <si>
    <t>Seaside Heights</t>
  </si>
  <si>
    <t>Hogback Mountain Brewery</t>
  </si>
  <si>
    <t>Lumen Beer Co.</t>
  </si>
  <si>
    <t>Mad Knight Brewing Company</t>
  </si>
  <si>
    <t>Orchestrated Minds Brewing</t>
  </si>
  <si>
    <t>Outrider Beer Co</t>
  </si>
  <si>
    <t>Prairie Pride Brewery</t>
  </si>
  <si>
    <t>Grand Island</t>
  </si>
  <si>
    <t>Southpaw Brewing Company</t>
  </si>
  <si>
    <t>Yaphank</t>
  </si>
  <si>
    <t>Westby Edge Brewing Co</t>
  </si>
  <si>
    <t>Wild Man Brewing Company</t>
  </si>
  <si>
    <t>Raymond</t>
  </si>
  <si>
    <t>Back Hill Beer Co</t>
  </si>
  <si>
    <t>Barley Head Brewery</t>
  </si>
  <si>
    <t>For the Love of God Brewing</t>
  </si>
  <si>
    <t>Many Good Things Brewing</t>
  </si>
  <si>
    <t>Palmer Brewery &amp; Cider House</t>
  </si>
  <si>
    <t>Pastime Brewery Bar and Grill</t>
  </si>
  <si>
    <t>Oroville</t>
  </si>
  <si>
    <t>Red Tandem Brewery</t>
  </si>
  <si>
    <t>Schmohz Brewery</t>
  </si>
  <si>
    <t>Soo Brewing Company / 1668 Winery</t>
  </si>
  <si>
    <t>Sault Sainte Marie</t>
  </si>
  <si>
    <t>WeHa Brewing &amp; Roasting Company</t>
  </si>
  <si>
    <t>51st State Brewing Company</t>
  </si>
  <si>
    <t>Kingsford</t>
  </si>
  <si>
    <t>5th Line Brewing Company</t>
  </si>
  <si>
    <t>Bellport Brewing Company</t>
  </si>
  <si>
    <t>Bellport</t>
  </si>
  <si>
    <t>Bier's Inwood Brewery</t>
  </si>
  <si>
    <t>Charlevoix</t>
  </si>
  <si>
    <t>Biloba Brewing</t>
  </si>
  <si>
    <t>Brookfield</t>
  </si>
  <si>
    <t>Cellarman's Pub &amp; Brewery</t>
  </si>
  <si>
    <t>Copp Brewery &amp; Winery</t>
  </si>
  <si>
    <t>Crystal River</t>
  </si>
  <si>
    <t>Eclipse Craft Brewing</t>
  </si>
  <si>
    <t>Sunbury</t>
  </si>
  <si>
    <t>Griesedieck Brothers Brewery</t>
  </si>
  <si>
    <t>Happy Street Bru-Werks</t>
  </si>
  <si>
    <t>Iron Tracks Brewing Company</t>
  </si>
  <si>
    <t>Tinton Falls</t>
  </si>
  <si>
    <t>Lake Drum Brewing</t>
  </si>
  <si>
    <t>Lubec Brewing Co</t>
  </si>
  <si>
    <t>Lubec</t>
  </si>
  <si>
    <t>Moderation Brewing</t>
  </si>
  <si>
    <t>Odd Alewives Farm Brewery</t>
  </si>
  <si>
    <t>Waldoboro</t>
  </si>
  <si>
    <t>Plan Bee Farm Brewery</t>
  </si>
  <si>
    <t>Rusty Bus Brewing Company</t>
  </si>
  <si>
    <t>Strong Arm Brew Works</t>
  </si>
  <si>
    <t>Bust'd Brewing</t>
  </si>
  <si>
    <t>Peoria Heights</t>
  </si>
  <si>
    <t>Damascus Brewery</t>
  </si>
  <si>
    <t>Damascus</t>
  </si>
  <si>
    <t>Drift Prairie Brewing Co</t>
  </si>
  <si>
    <t>East Channel Brewing Company</t>
  </si>
  <si>
    <t>Fish Moon Brewing Company</t>
  </si>
  <si>
    <t>Rushville</t>
  </si>
  <si>
    <t>Rip Rap Brewing Company</t>
  </si>
  <si>
    <t>5 Alarm Brewing Co</t>
  </si>
  <si>
    <t>Blindhouse Beer Company</t>
  </si>
  <si>
    <t>Brockopp Brewing LLC</t>
  </si>
  <si>
    <t>Valley City</t>
  </si>
  <si>
    <t>Cartecay River Brewing Co</t>
  </si>
  <si>
    <t>Ellijay</t>
  </si>
  <si>
    <t>Dubtown Brewing Company</t>
  </si>
  <si>
    <t>Grand Adventure Brewing Company</t>
  </si>
  <si>
    <t>Kremmling</t>
  </si>
  <si>
    <t>Lot 50 Brewing</t>
  </si>
  <si>
    <t>Paris</t>
  </si>
  <si>
    <t>McArthur's Brew House</t>
  </si>
  <si>
    <t>Mountain Hops Brewhouse</t>
  </si>
  <si>
    <t>Mountain View Brewing Company</t>
  </si>
  <si>
    <t>Oak City Brewing Company</t>
  </si>
  <si>
    <t>Knightdale</t>
  </si>
  <si>
    <t>Red White &amp; Brew Beer Co, LLC</t>
  </si>
  <si>
    <t>Skeleton Key Brewery</t>
  </si>
  <si>
    <t>Woodridge</t>
  </si>
  <si>
    <t>11 Worth Station Brewhouse</t>
  </si>
  <si>
    <t>127 Brewing</t>
  </si>
  <si>
    <t>5 Lakes Brew Pub</t>
  </si>
  <si>
    <t>Byron Center</t>
  </si>
  <si>
    <t>Analytical Brewing</t>
  </si>
  <si>
    <t>Big House Brew Pub</t>
  </si>
  <si>
    <t>Chelsea</t>
  </si>
  <si>
    <t>Black Label Brewing Company</t>
  </si>
  <si>
    <t>Bryant</t>
  </si>
  <si>
    <t>Dr. Jeckylls Beer Lab</t>
  </si>
  <si>
    <t>Pantego</t>
  </si>
  <si>
    <t>Four Circles Brewery</t>
  </si>
  <si>
    <t>Gateway Brewing, Inc</t>
  </si>
  <si>
    <t>Honeybee Coffee and Brewery Co.</t>
  </si>
  <si>
    <t>ISM Brewing</t>
  </si>
  <si>
    <t>Lago Vista Brewing Company</t>
  </si>
  <si>
    <t>Lago Vista</t>
  </si>
  <si>
    <t>ManyFriends Brewing Company</t>
  </si>
  <si>
    <t>Mordecai Beverage Company</t>
  </si>
  <si>
    <t>Mount Diablo Brewing Company</t>
  </si>
  <si>
    <t>Pleasanton</t>
  </si>
  <si>
    <t>Nostalgia Brewing Co</t>
  </si>
  <si>
    <t>Radicle Effect Brewerks</t>
  </si>
  <si>
    <t>The Filling Station Microbrewery</t>
  </si>
  <si>
    <t>Anvil Brewing</t>
  </si>
  <si>
    <t>Crusader Brewing Company</t>
  </si>
  <si>
    <t>Devil and the Deep</t>
  </si>
  <si>
    <t>Juno Brewery</t>
  </si>
  <si>
    <t>Oceanside Brewing Company</t>
  </si>
  <si>
    <t>The Maple Grille LLC</t>
  </si>
  <si>
    <t>Hemlock</t>
  </si>
  <si>
    <t>Big Bear Mountain Brewery</t>
  </si>
  <si>
    <t>Iconic Brewing</t>
  </si>
  <si>
    <t>Man Cave Brewing</t>
  </si>
  <si>
    <t>Quantum Brewing Co</t>
  </si>
  <si>
    <t>Starving Artist Brewing</t>
  </si>
  <si>
    <t>Trek Brewing</t>
  </si>
  <si>
    <t>Beliveau Farm Brewery</t>
  </si>
  <si>
    <t>Fillmore 13 Brewery</t>
  </si>
  <si>
    <t>Pontiac</t>
  </si>
  <si>
    <t>Limberlost Brewing Company</t>
  </si>
  <si>
    <t>Thompson Falls</t>
  </si>
  <si>
    <t>Slackers Brewing Co.</t>
  </si>
  <si>
    <t>Stockholms Vardshus</t>
  </si>
  <si>
    <t>The Mack House Brewpub</t>
  </si>
  <si>
    <t>Davie</t>
  </si>
  <si>
    <t>Arlyn's Good Beer</t>
  </si>
  <si>
    <t>Atrevida Beer Company</t>
  </si>
  <si>
    <t>Bascule Brewery And Public House</t>
  </si>
  <si>
    <t>Lorain</t>
  </si>
  <si>
    <t>Bays Mountain Brewing Company</t>
  </si>
  <si>
    <t>Kingsport</t>
  </si>
  <si>
    <t>Brocklebank Craft Brewing</t>
  </si>
  <si>
    <t>Chalice Brewing</t>
  </si>
  <si>
    <t>Cloven Hoof Brewing Co.</t>
  </si>
  <si>
    <t>Ashtabula</t>
  </si>
  <si>
    <t>Eternity Brewing Co</t>
  </si>
  <si>
    <t>Good-Rich Brewery</t>
  </si>
  <si>
    <t>Khaos Brewing</t>
  </si>
  <si>
    <t>plainfield</t>
  </si>
  <si>
    <t>Lazy Circles Brewing</t>
  </si>
  <si>
    <t>Mad Malts Brewery &amp; Tap Room</t>
  </si>
  <si>
    <t>Monkey Wrench Brewing Company LLC</t>
  </si>
  <si>
    <t>Providence Brewing Company</t>
  </si>
  <si>
    <t>Public House 28 Brewery</t>
  </si>
  <si>
    <t>Anthony</t>
  </si>
  <si>
    <t>Satulah Mountain Brewing Co</t>
  </si>
  <si>
    <t>Highlands</t>
  </si>
  <si>
    <t>Sawbriar Brewing</t>
  </si>
  <si>
    <t>Second Crossing Brew Co</t>
  </si>
  <si>
    <t>Strange Duck Brewing</t>
  </si>
  <si>
    <t>Commerce</t>
  </si>
  <si>
    <t>The UrbanWoody Brewery</t>
  </si>
  <si>
    <t>Fostoria</t>
  </si>
  <si>
    <t>Urban Vines Winery and Brewery</t>
  </si>
  <si>
    <t>Village Idiot Brewing Company</t>
  </si>
  <si>
    <t>Common Law Brewing Co.</t>
  </si>
  <si>
    <t>Dearborn Brewing</t>
  </si>
  <si>
    <t>Gravity Box Brewing Company, LLC</t>
  </si>
  <si>
    <t>Long Timber Brewing Co</t>
  </si>
  <si>
    <t>Onsite Brewing Company</t>
  </si>
  <si>
    <t>Pilger Ruh Brewing</t>
  </si>
  <si>
    <t>Taplands Brewery</t>
  </si>
  <si>
    <t>Apoptosis Brewing Company</t>
  </si>
  <si>
    <t>Blind Butcher Brewing Company</t>
  </si>
  <si>
    <t>Inwood</t>
  </si>
  <si>
    <t>Craft Kitchen and Brewery</t>
  </si>
  <si>
    <t>Daydreaming Brewing Company</t>
  </si>
  <si>
    <t>Hiawassee Brew</t>
  </si>
  <si>
    <t>Hiawassee</t>
  </si>
  <si>
    <t>Iron Hart</t>
  </si>
  <si>
    <t>Isaac's Brewhouse</t>
  </si>
  <si>
    <t>Karrikin Spirits</t>
  </si>
  <si>
    <t>Lost Woods Brewery</t>
  </si>
  <si>
    <t>Old Bull Brewing</t>
  </si>
  <si>
    <t>Frenchtown</t>
  </si>
  <si>
    <t>Outfield Beer Company</t>
  </si>
  <si>
    <t>Bonner Springs</t>
  </si>
  <si>
    <t>Pine and Palm Brewing</t>
  </si>
  <si>
    <t>Porter Brewing Co.</t>
  </si>
  <si>
    <t>Rock'n Dough Pizza and Brewery</t>
  </si>
  <si>
    <t>Steelbound Brewery &amp; Distillery</t>
  </si>
  <si>
    <t>Thirsty Souls Community Brewing</t>
  </si>
  <si>
    <t>Traust Brewing Company</t>
  </si>
  <si>
    <t>Wizard Works Brewing Company</t>
  </si>
  <si>
    <t>Civilian Brewing Corps</t>
  </si>
  <si>
    <t>Essential Fermentation Restaurant &amp; Brewery</t>
  </si>
  <si>
    <t>Fabled Brew Works</t>
  </si>
  <si>
    <t>Erlanger</t>
  </si>
  <si>
    <t>LaOtto Brewing LLC</t>
  </si>
  <si>
    <t>Laotto</t>
  </si>
  <si>
    <t>Mount Shasta Brewing Company Inc.</t>
  </si>
  <si>
    <t>Weed</t>
  </si>
  <si>
    <t>Rahr Technical Center &amp; Brewery</t>
  </si>
  <si>
    <t>Thompson Brewing Co</t>
  </si>
  <si>
    <t>Brewery At Four Star Farms</t>
  </si>
  <si>
    <t>Copper pig brewery LLC</t>
  </si>
  <si>
    <t>Harpers Restaurant and Brewpub</t>
  </si>
  <si>
    <t>Hopland Brewstillery</t>
  </si>
  <si>
    <t>Salt Mine City brewing co</t>
  </si>
  <si>
    <t>David City</t>
  </si>
  <si>
    <t>Siluria Brewing Company. LLC</t>
  </si>
  <si>
    <t>Alabaster</t>
  </si>
  <si>
    <t>3 Disciples Brewing</t>
  </si>
  <si>
    <t>A Homestead Brew</t>
  </si>
  <si>
    <t>Acclamation Brewing</t>
  </si>
  <si>
    <t>Arctic Circle Brewing Company</t>
  </si>
  <si>
    <t>Back Mountain Brewing Company</t>
  </si>
  <si>
    <t>Battle Mountain Brewing Company</t>
  </si>
  <si>
    <t>Big Rail Brewing</t>
  </si>
  <si>
    <t>Black Walnut Brewery</t>
  </si>
  <si>
    <t>Buck Hill Brewery and Restaurant</t>
  </si>
  <si>
    <t>Blairstown</t>
  </si>
  <si>
    <t>Hop The Griffin</t>
  </si>
  <si>
    <t>Hyperion Brewing</t>
  </si>
  <si>
    <t>Lindgren Craft Brewery</t>
  </si>
  <si>
    <t>Duncannon</t>
  </si>
  <si>
    <t>Lost Hiker Brewing Company</t>
  </si>
  <si>
    <t>Ruidoso Downs</t>
  </si>
  <si>
    <t>Lydian Stone Brewing Company</t>
  </si>
  <si>
    <t>York Haven</t>
  </si>
  <si>
    <t>Ruby Beach Brewing Company</t>
  </si>
  <si>
    <t>Salt City Brewing</t>
  </si>
  <si>
    <t>Third Life Brewing</t>
  </si>
  <si>
    <t>Brewery 719</t>
  </si>
  <si>
    <t>Chappell Brewing</t>
  </si>
  <si>
    <t>Faklandia Brewing</t>
  </si>
  <si>
    <t>Heliotrope Brewery</t>
  </si>
  <si>
    <t>Hidden Key Brewing Co.</t>
  </si>
  <si>
    <t>Greencastle</t>
  </si>
  <si>
    <t>Hoppy Dude Brews</t>
  </si>
  <si>
    <t>Hinckley</t>
  </si>
  <si>
    <t>Luppoleto Brewing Company</t>
  </si>
  <si>
    <t>Windsor Locks</t>
  </si>
  <si>
    <t>Northwoods Brewpub and Grill</t>
  </si>
  <si>
    <t>Osseo</t>
  </si>
  <si>
    <t>R’Noggin Brewing</t>
  </si>
  <si>
    <t>Silver Lake Brewing Project</t>
  </si>
  <si>
    <t>Perry</t>
  </si>
  <si>
    <t>The Koontz Lake Brewing Company</t>
  </si>
  <si>
    <t>Walkerton</t>
  </si>
  <si>
    <t>Upper Peninsula Brewing Company</t>
  </si>
  <si>
    <t>Negaunee</t>
  </si>
  <si>
    <t>Volunteer Brewing Company</t>
  </si>
  <si>
    <t>Bavarian Brothers Brewing</t>
  </si>
  <si>
    <t>Shepherdstown</t>
  </si>
  <si>
    <t>Brew Lab</t>
  </si>
  <si>
    <t>Center Square Brewing / Altland House</t>
  </si>
  <si>
    <t>Abbottstown</t>
  </si>
  <si>
    <t>Coastal Karma Brewing</t>
  </si>
  <si>
    <t>Lake Park</t>
  </si>
  <si>
    <t>Father John's Microbrewery</t>
  </si>
  <si>
    <t>Four Phantoms Brewing Company</t>
  </si>
  <si>
    <t>Gene McCarthy's/Old First Ward Brewing Company</t>
  </si>
  <si>
    <t>Genova's Italian Restaurant &amp; Brewery</t>
  </si>
  <si>
    <t>Island City Brewing Company</t>
  </si>
  <si>
    <t>Winona</t>
  </si>
  <si>
    <t>Jack Mason's Tavern and Brewery</t>
  </si>
  <si>
    <t>Clifton Forge</t>
  </si>
  <si>
    <t>Lucky Goat Brewing</t>
  </si>
  <si>
    <t>Wareham</t>
  </si>
  <si>
    <t>Millstone Pizza and Brewery</t>
  </si>
  <si>
    <t>Cody</t>
  </si>
  <si>
    <t>Quick Trigger Brewing Company</t>
  </si>
  <si>
    <t>Ahoskie</t>
  </si>
  <si>
    <t>Relentless Brewing Co</t>
  </si>
  <si>
    <t>Solera Brewery</t>
  </si>
  <si>
    <t>Mount Hood Parkdale</t>
  </si>
  <si>
    <t>Stiggs Brewery &amp; Kitchen</t>
  </si>
  <si>
    <t>Boyne City</t>
  </si>
  <si>
    <t>Three Frogs Beer Company</t>
  </si>
  <si>
    <t>Angry Fish Brewing Company</t>
  </si>
  <si>
    <t>Canyon Ferry Brewing</t>
  </si>
  <si>
    <t>Townsend</t>
  </si>
  <si>
    <t>Dudleytown Brewing Co., LLC</t>
  </si>
  <si>
    <t>High Road Taproom</t>
  </si>
  <si>
    <t>Innovation Beerworks</t>
  </si>
  <si>
    <t>Richville</t>
  </si>
  <si>
    <t>Iron John's Brewing Company</t>
  </si>
  <si>
    <t>Montello Brewing Company</t>
  </si>
  <si>
    <t>Montello</t>
  </si>
  <si>
    <t>Owls Roost Brewery</t>
  </si>
  <si>
    <t>Franklinton</t>
  </si>
  <si>
    <t>Public Offering Brewing Company</t>
  </si>
  <si>
    <t>Renaissance Brewing Co</t>
  </si>
  <si>
    <t>River Time Brewing</t>
  </si>
  <si>
    <t>Darrington</t>
  </si>
  <si>
    <t>The Friendly Fermenter</t>
  </si>
  <si>
    <t>Unruly Brewing Company</t>
  </si>
  <si>
    <t>2 Doors Down Brewing</t>
  </si>
  <si>
    <t>25 O'Clock Brewing Company</t>
  </si>
  <si>
    <t>Atrium Brewing</t>
  </si>
  <si>
    <t>Be Here Brewing Company</t>
  </si>
  <si>
    <t>Big Rack Brew Haus</t>
  </si>
  <si>
    <t>Winterset</t>
  </si>
  <si>
    <t>Blind Bat Brewery LLC, The</t>
  </si>
  <si>
    <t>Centerport</t>
  </si>
  <si>
    <t>Broken Throne Brewing</t>
  </si>
  <si>
    <t>Pikeville</t>
  </si>
  <si>
    <t>Gravity Storm Brewery Cooperative</t>
  </si>
  <si>
    <t>Hardware Brewing Co.</t>
  </si>
  <si>
    <t>Kendrick</t>
  </si>
  <si>
    <t>Horn Run Brewing</t>
  </si>
  <si>
    <t>Eastport</t>
  </si>
  <si>
    <t>Jasper Ridge Brewery</t>
  </si>
  <si>
    <t>Ishpeming</t>
  </si>
  <si>
    <t>Random Precision Brewing Company</t>
  </si>
  <si>
    <t>Shades of Brew Brewery</t>
  </si>
  <si>
    <t>Table 41 Brewing Co.</t>
  </si>
  <si>
    <t>Thumb Knuckle Brewing Company</t>
  </si>
  <si>
    <t>Luxemburg</t>
  </si>
  <si>
    <t>Tindall Road Brewing Company</t>
  </si>
  <si>
    <t>Bordentown</t>
  </si>
  <si>
    <t>3 Freaks Brewing Co</t>
  </si>
  <si>
    <t>Highlands Ranch</t>
  </si>
  <si>
    <t>CraftRoots Brewing</t>
  </si>
  <si>
    <t>Crooked Eye Brewery</t>
  </si>
  <si>
    <t>Downpour Brewing LLC</t>
  </si>
  <si>
    <t>Fermentery Form</t>
  </si>
  <si>
    <t>Leander</t>
  </si>
  <si>
    <t>Over Town Brewing Company</t>
  </si>
  <si>
    <t>Treaty Oak Distilling</t>
  </si>
  <si>
    <t>Bankwalker Brewing Company</t>
  </si>
  <si>
    <t>Beaver Brewing Co</t>
  </si>
  <si>
    <t>Beaver Falls</t>
  </si>
  <si>
    <t>Bircus Brewing</t>
  </si>
  <si>
    <t>Bubes Brewery</t>
  </si>
  <si>
    <t>Buon Appetito Ristorante</t>
  </si>
  <si>
    <t>Dread River Distilling Company</t>
  </si>
  <si>
    <t>Fire and Fury Brewing Company</t>
  </si>
  <si>
    <t>Great White Buffalo Brewing Company</t>
  </si>
  <si>
    <t>Grove City Brewing Company</t>
  </si>
  <si>
    <t>Hydraulic Hearth</t>
  </si>
  <si>
    <t>Jigsy's Brewpub &amp; Restaurant</t>
  </si>
  <si>
    <t>Lopez Island Brewing Co.&amp; Brewvado Tap Room</t>
  </si>
  <si>
    <t>Lopez Island</t>
  </si>
  <si>
    <t>Neuse River Brewing Company</t>
  </si>
  <si>
    <t>Nocturnal Brewing Company</t>
  </si>
  <si>
    <t>North Forty Beer Company</t>
  </si>
  <si>
    <t>Odd By Nature Brewing</t>
  </si>
  <si>
    <t>Cape Neddick</t>
  </si>
  <si>
    <t>Rebel Hill Brewing Company</t>
  </si>
  <si>
    <t>Stony Run Brew House</t>
  </si>
  <si>
    <t>The Other Farm &amp; Forge</t>
  </si>
  <si>
    <t>Boyertown</t>
  </si>
  <si>
    <t>Three Leg Run</t>
  </si>
  <si>
    <t>Wellsboro House</t>
  </si>
  <si>
    <t>Wellsboro</t>
  </si>
  <si>
    <t>Bootleg Brewers - Sandhills Brewing Company</t>
  </si>
  <si>
    <t>Contentment Brewing Company</t>
  </si>
  <si>
    <t>HORNBURG BREWING COMPANY</t>
  </si>
  <si>
    <t>Hancock</t>
  </si>
  <si>
    <t>Horny Toad Brewing Co. LLC</t>
  </si>
  <si>
    <t>Rowena</t>
  </si>
  <si>
    <t>Metal Works Brewing Company</t>
  </si>
  <si>
    <t>Old 290 Brewery</t>
  </si>
  <si>
    <t>Outlaw Cigar / Gunslinger Saloon Brewing</t>
  </si>
  <si>
    <t>SQZBX Brewery</t>
  </si>
  <si>
    <t>Stainless Brewing &amp; Spirits</t>
  </si>
  <si>
    <t>Bent Bine Brew Co. LLC</t>
  </si>
  <si>
    <t>Belfair</t>
  </si>
  <si>
    <t>Big Country Organic Brewing Company</t>
  </si>
  <si>
    <t>Pflugerville</t>
  </si>
  <si>
    <t>In-Law Brewing Co</t>
  </si>
  <si>
    <t>Chase Mills</t>
  </si>
  <si>
    <t>Lyonsmith Brewing Company</t>
  </si>
  <si>
    <t>Keuka Park</t>
  </si>
  <si>
    <t>Mulberry Station Brewing Company</t>
  </si>
  <si>
    <t>New Spring Beer</t>
  </si>
  <si>
    <t>Obercreek Brewing Company</t>
  </si>
  <si>
    <t>Wappingers Falls</t>
  </si>
  <si>
    <t>Pantomime Mixtures</t>
  </si>
  <si>
    <t>Patriot Acres Farm Brewery</t>
  </si>
  <si>
    <t>Sudlersville</t>
  </si>
  <si>
    <t>Perkiomen Valley Brewery</t>
  </si>
  <si>
    <t>Green Lane</t>
  </si>
  <si>
    <t>Spaceway Brewing Company</t>
  </si>
  <si>
    <t>Steele Hall Brewing</t>
  </si>
  <si>
    <t>Teton Thai Brewing</t>
  </si>
  <si>
    <t>The Lone Wolfe Brewing Co.</t>
  </si>
  <si>
    <t>Wolfeboro</t>
  </si>
  <si>
    <t>The Runaway Micropub and Nanobrewery</t>
  </si>
  <si>
    <t>Batch Slapped Brewing Company</t>
  </si>
  <si>
    <t>Bay State Brewing Company</t>
  </si>
  <si>
    <t>Leicester</t>
  </si>
  <si>
    <t>Brick and Barrel Brewing</t>
  </si>
  <si>
    <t>Cranker's Brewery</t>
  </si>
  <si>
    <t>Big Rapids</t>
  </si>
  <si>
    <t>Doghaus Brewery</t>
  </si>
  <si>
    <t>Harbinger Beer Company LLC</t>
  </si>
  <si>
    <t>Caddo</t>
  </si>
  <si>
    <t>Longmire Springs Brewing</t>
  </si>
  <si>
    <t>Packwood</t>
  </si>
  <si>
    <t>Penny Pinchers Brewing Co</t>
  </si>
  <si>
    <t>Millbury</t>
  </si>
  <si>
    <t>Six Car Pub and Brewery</t>
  </si>
  <si>
    <t>Star City Brewing Company</t>
  </si>
  <si>
    <t>Station 1 Brewing Company and Music Hall</t>
  </si>
  <si>
    <t>Suamico</t>
  </si>
  <si>
    <t>Supermoon Beer Co</t>
  </si>
  <si>
    <t>The Hop Brewery</t>
  </si>
  <si>
    <t>Christopher</t>
  </si>
  <si>
    <t>Union Brewing</t>
  </si>
  <si>
    <t>Wildwood Brewing Co</t>
  </si>
  <si>
    <t>Woodhouse Blending &amp; Brewing</t>
  </si>
  <si>
    <t>Zymurgy Brewing Co</t>
  </si>
  <si>
    <t>Acrospire Brewing, LLC</t>
  </si>
  <si>
    <t>Glenshaw</t>
  </si>
  <si>
    <t>Boom City Brewing</t>
  </si>
  <si>
    <t>Chesterton</t>
  </si>
  <si>
    <t>Chief Spring's Fire and Irons Brew Pub</t>
  </si>
  <si>
    <t>ESP Brewing Company</t>
  </si>
  <si>
    <t>Full Distance Brewing</t>
  </si>
  <si>
    <t>Ohm Brewing Company</t>
  </si>
  <si>
    <t>Prison Brews</t>
  </si>
  <si>
    <t>Rustic Leaf Brewing Company</t>
  </si>
  <si>
    <t>Skunkworts Brewing Concern</t>
  </si>
  <si>
    <t>West Palm Beach</t>
  </si>
  <si>
    <t>The Ouachitas Brewing</t>
  </si>
  <si>
    <t>mena</t>
  </si>
  <si>
    <t>Turkey Creek Brewery</t>
  </si>
  <si>
    <t>HOLLISTER</t>
  </si>
  <si>
    <t>206 Brewing Company</t>
  </si>
  <si>
    <t>Carol Stream</t>
  </si>
  <si>
    <t>Bike Lane Brewing</t>
  </si>
  <si>
    <t>Byers Brewing Company</t>
  </si>
  <si>
    <t>DeKalb</t>
  </si>
  <si>
    <t>Cotee River Brewing Company</t>
  </si>
  <si>
    <t>If I Brewed the World Brewery</t>
  </si>
  <si>
    <t>Jamex Brewing Co</t>
  </si>
  <si>
    <t>Ladybird Brewing</t>
  </si>
  <si>
    <t>Winfield</t>
  </si>
  <si>
    <t>Limestone Beer Co</t>
  </si>
  <si>
    <t>Muddy River Farm Brewery</t>
  </si>
  <si>
    <t>Unadilla</t>
  </si>
  <si>
    <t>Roc Hopper Brewing Company</t>
  </si>
  <si>
    <t>Round Top Brewing</t>
  </si>
  <si>
    <t>Round Top</t>
  </si>
  <si>
    <t>Sanctuary Spirits</t>
  </si>
  <si>
    <t>Sled Dawg Brewery - Greenwood, SC</t>
  </si>
  <si>
    <t>Wellsville Brewing Company</t>
  </si>
  <si>
    <t>Wellsville</t>
  </si>
  <si>
    <t>AFT Brewery</t>
  </si>
  <si>
    <t>Callao Brewing Company</t>
  </si>
  <si>
    <t>Callao</t>
  </si>
  <si>
    <t>Colonial Beach Brewing, LLC</t>
  </si>
  <si>
    <t>Factory Street Brewing Company</t>
  </si>
  <si>
    <t>South Boston</t>
  </si>
  <si>
    <t>Far Field Beer Company</t>
  </si>
  <si>
    <t>Lawndale</t>
  </si>
  <si>
    <t>Flytes Brewhouse</t>
  </si>
  <si>
    <t>Pleasant View</t>
  </si>
  <si>
    <t>G34.3 Brewing Company</t>
  </si>
  <si>
    <t>Humboldt Regeneration</t>
  </si>
  <si>
    <t>Missouri Breaks Brewing</t>
  </si>
  <si>
    <t>Wolf Point</t>
  </si>
  <si>
    <t>Octonia Stone Brew Works</t>
  </si>
  <si>
    <t>Ruckersville</t>
  </si>
  <si>
    <t>Monroeville</t>
  </si>
  <si>
    <t>Wayland Brewing</t>
  </si>
  <si>
    <t>White Mountain Brewing Company</t>
  </si>
  <si>
    <t>Another Round Brewing Company</t>
  </si>
  <si>
    <t>Beavers Bend Brewery</t>
  </si>
  <si>
    <t>Black Snake Brewing Company</t>
  </si>
  <si>
    <t>Staatsburg</t>
  </si>
  <si>
    <t>Clarion River Brewing Company</t>
  </si>
  <si>
    <t>Clarion</t>
  </si>
  <si>
    <t>Five Point Five Brewing Company</t>
  </si>
  <si>
    <t>Hi-Fidelity</t>
  </si>
  <si>
    <t>Juicy Brewing</t>
  </si>
  <si>
    <t>Kelsey City Brewing Company</t>
  </si>
  <si>
    <t>Liquid Roots Brewing Project</t>
  </si>
  <si>
    <t>Lenoir</t>
  </si>
  <si>
    <t>Magic City Brewing Company</t>
  </si>
  <si>
    <t>Man Overboard Brewing Co.</t>
  </si>
  <si>
    <t>Mt. View Brewing</t>
  </si>
  <si>
    <t>Six Pack Brewing</t>
  </si>
  <si>
    <t>Springfield Manor Winery Distillery Brewery</t>
  </si>
  <si>
    <t>Thurmont</t>
  </si>
  <si>
    <t>Three Bridges Distillery and Taproom</t>
  </si>
  <si>
    <t>Blackadder Brewing Company</t>
  </si>
  <si>
    <t>Brewery Nonic</t>
  </si>
  <si>
    <t>Edisto River Brewing</t>
  </si>
  <si>
    <t>Firewhistle Brewing</t>
  </si>
  <si>
    <t>Holliday Brewing</t>
  </si>
  <si>
    <t>Noble Savage Brewing Company</t>
  </si>
  <si>
    <t>Winter Hill Brewing Company</t>
  </si>
  <si>
    <t>WT Brews LLC</t>
  </si>
  <si>
    <t>Baldwinsville</t>
  </si>
  <si>
    <t>Audacity Brewing</t>
  </si>
  <si>
    <t>Baldwin City Beer Company</t>
  </si>
  <si>
    <t>Baldwin City</t>
  </si>
  <si>
    <t>Dobra Zupas</t>
  </si>
  <si>
    <t>Beckley</t>
  </si>
  <si>
    <t>From the Barrel Brewing Company</t>
  </si>
  <si>
    <t>Hop Cycle Brewing Company</t>
  </si>
  <si>
    <t>Banks</t>
  </si>
  <si>
    <t>La Crosse Distilling Co</t>
  </si>
  <si>
    <t>Lithology Brewing Co</t>
  </si>
  <si>
    <t>Moment Brewing</t>
  </si>
  <si>
    <t>Silverdale</t>
  </si>
  <si>
    <t>Prosper Brewing</t>
  </si>
  <si>
    <t>North Tonawanda</t>
  </si>
  <si>
    <t>Scotch Hill Brewing Co.</t>
  </si>
  <si>
    <t>Fair Haven</t>
  </si>
  <si>
    <t>Tunnel Vision Brewery</t>
  </si>
  <si>
    <t>Harbor Springs</t>
  </si>
  <si>
    <t>4 Stitch Brewing Co.</t>
  </si>
  <si>
    <t>Mill Creek</t>
  </si>
  <si>
    <t>Avant Garde Aleworks</t>
  </si>
  <si>
    <t>Berkeley Alley Beer Co.</t>
  </si>
  <si>
    <t>BIT Brewery</t>
  </si>
  <si>
    <t>Brick Streets Brewery</t>
  </si>
  <si>
    <t>Corsicana</t>
  </si>
  <si>
    <t>Colorado Plus</t>
  </si>
  <si>
    <t>Conversion Brewing</t>
  </si>
  <si>
    <t>Creek Bottom Brew LLC</t>
  </si>
  <si>
    <t>Oldenburg</t>
  </si>
  <si>
    <t>Helper Beer</t>
  </si>
  <si>
    <t>Helper</t>
  </si>
  <si>
    <t>Hot Air Brewing</t>
  </si>
  <si>
    <t>Creston</t>
  </si>
  <si>
    <t>Loaded Dice Brewery</t>
  </si>
  <si>
    <t>Minor Key Brewing</t>
  </si>
  <si>
    <t>East Greenbush</t>
  </si>
  <si>
    <t>Patriotic American Brewery</t>
  </si>
  <si>
    <t>Seguin Brewing Company</t>
  </si>
  <si>
    <t>Seguin</t>
  </si>
  <si>
    <t>Stony Lake Brewing Company</t>
  </si>
  <si>
    <t>Ataraxia Aleworks</t>
  </si>
  <si>
    <t>Koi Pond Brewing Co</t>
  </si>
  <si>
    <t>Kyros Brewing Co</t>
  </si>
  <si>
    <t>Reads Landing Brewing Co</t>
  </si>
  <si>
    <t>Reads Landing</t>
  </si>
  <si>
    <t>Star Route Brewery</t>
  </si>
  <si>
    <t>The Ridge Brewery West Seneca</t>
  </si>
  <si>
    <t>Wages Brewing Company</t>
  </si>
  <si>
    <t>West Plains</t>
  </si>
  <si>
    <t>Black Creek Brewery</t>
  </si>
  <si>
    <t>Roxboro</t>
  </si>
  <si>
    <t>Bonito Valley Brewing Company</t>
  </si>
  <si>
    <t>Bradley Farm / RB Brew, LLC</t>
  </si>
  <si>
    <t>Brewery LaHoff</t>
  </si>
  <si>
    <t>Climax</t>
  </si>
  <si>
    <t>Chimney Rustic Ales</t>
  </si>
  <si>
    <t>Funguys Brewery</t>
  </si>
  <si>
    <t>Highway 20 Brewing Company</t>
  </si>
  <si>
    <t>Hudson River Brewery</t>
  </si>
  <si>
    <t>Manson</t>
  </si>
  <si>
    <t>Ledge Hill Brewing Company</t>
  </si>
  <si>
    <t>Ticonderoga</t>
  </si>
  <si>
    <t>Red Moose Brewing Company</t>
  </si>
  <si>
    <t>Tepeyolot Cerveceria</t>
  </si>
  <si>
    <t>Dahlonega</t>
  </si>
  <si>
    <t>Vortex Alley Brewery</t>
  </si>
  <si>
    <t>Ponca City</t>
  </si>
  <si>
    <t>Waverly Brewing Company</t>
  </si>
  <si>
    <t>42nd Parallel Brewing Co.</t>
  </si>
  <si>
    <t>Bird Creek Brewing</t>
  </si>
  <si>
    <t>Canyon Lakes Brewing Co</t>
  </si>
  <si>
    <t>Elwood</t>
  </si>
  <si>
    <t>Chafunkta Brewing Co</t>
  </si>
  <si>
    <t>Mandeville</t>
  </si>
  <si>
    <t>Fenceline Beer Lab</t>
  </si>
  <si>
    <t>Huxley</t>
  </si>
  <si>
    <t>Good Neighbor Craft House</t>
  </si>
  <si>
    <t>North Bend</t>
  </si>
  <si>
    <t>Keyworth Brewing Company</t>
  </si>
  <si>
    <t>Lake Stevens Brewing Company</t>
  </si>
  <si>
    <t>Lake Stevens</t>
  </si>
  <si>
    <t>MoonRidge Brewpub</t>
  </si>
  <si>
    <t>Cornell</t>
  </si>
  <si>
    <t>Rochester Brewing and Roasting Company</t>
  </si>
  <si>
    <t>The Brew Bank Brewing Company</t>
  </si>
  <si>
    <t>Ridgway</t>
  </si>
  <si>
    <t>The New Museum Brewers &amp; Blenders</t>
  </si>
  <si>
    <t>Point Arena</t>
  </si>
  <si>
    <t>Tilted Axis Brewing Company</t>
  </si>
  <si>
    <t>Lapeer</t>
  </si>
  <si>
    <t>Artillery Brewing Co</t>
  </si>
  <si>
    <t>Bag and Kettle, The</t>
  </si>
  <si>
    <t>Carrabassett Valley</t>
  </si>
  <si>
    <t>Beachcrest Brewing Company</t>
  </si>
  <si>
    <t>Gleneden Beach</t>
  </si>
  <si>
    <t>Blue Line Brewery</t>
  </si>
  <si>
    <t>Saranac Lake</t>
  </si>
  <si>
    <t>Cape Vincent Brewing Co</t>
  </si>
  <si>
    <t>Cape Vincent</t>
  </si>
  <si>
    <t>Local Time Brewing</t>
  </si>
  <si>
    <t>Marlowe Artisanal Ales</t>
  </si>
  <si>
    <t>Molalla River Brewing Company</t>
  </si>
  <si>
    <t>Molalla</t>
  </si>
  <si>
    <t>Reelfoot Brewing Company, LLC</t>
  </si>
  <si>
    <t>Spring Dam Brewing Co</t>
  </si>
  <si>
    <t>Roaring Spring</t>
  </si>
  <si>
    <t>Sunset Hill Brewing Company</t>
  </si>
  <si>
    <t>Gilbertsville</t>
  </si>
  <si>
    <t>The Norwich Inn - Jasper Murdock's Alehouse</t>
  </si>
  <si>
    <t>VK Brewing</t>
  </si>
  <si>
    <t>Alternative Medicine Brewing Co., LLC</t>
  </si>
  <si>
    <t>Boss City Brewing Co.</t>
  </si>
  <si>
    <t>Bound By Fate Brewing, LLC</t>
  </si>
  <si>
    <t>Schuylerville</t>
  </si>
  <si>
    <t>Brewery Twenty Five</t>
  </si>
  <si>
    <t>Hollister</t>
  </si>
  <si>
    <t>Charleston Nano Brewery</t>
  </si>
  <si>
    <t>Copperhead Brewery</t>
  </si>
  <si>
    <t>Cut Bank Creek Brewery</t>
  </si>
  <si>
    <t>Cut Bank</t>
  </si>
  <si>
    <t>Kidd Squid Brewing Company</t>
  </si>
  <si>
    <t>Sag Harbor</t>
  </si>
  <si>
    <t>McHoppers Brew Co</t>
  </si>
  <si>
    <t>Fernley</t>
  </si>
  <si>
    <t>Middleton Brewing  Co</t>
  </si>
  <si>
    <t>Old Bridgeview Brewing</t>
  </si>
  <si>
    <t>Otium Brewing, LLC</t>
  </si>
  <si>
    <t>Prestonrose Farm and Brewing Co.</t>
  </si>
  <si>
    <t>Quartzite Brewing Company</t>
  </si>
  <si>
    <t>San Juan Brews</t>
  </si>
  <si>
    <t>Skeeta Hawk Brewing LLC</t>
  </si>
  <si>
    <t>The Redding Beer Company</t>
  </si>
  <si>
    <t>60cc Brewing</t>
  </si>
  <si>
    <t>BarmHaus Brewing Co.</t>
  </si>
  <si>
    <t>Garden Valley</t>
  </si>
  <si>
    <t>Blade &amp; Barrel Brewing Co</t>
  </si>
  <si>
    <t>Böser Geist Brewing Co.</t>
  </si>
  <si>
    <t>Country Monks Brewing</t>
  </si>
  <si>
    <t>Subiaco</t>
  </si>
  <si>
    <t>Dirt Church Brewing Co</t>
  </si>
  <si>
    <t>Hannegan's House Beer Co.</t>
  </si>
  <si>
    <t>National City</t>
  </si>
  <si>
    <t>Hillsdale Brewing Company</t>
  </si>
  <si>
    <t>Lost Towns Brewing Company</t>
  </si>
  <si>
    <t>Gilbertville</t>
  </si>
  <si>
    <t>Naughty Pine Brewing Co.</t>
  </si>
  <si>
    <t>Westlake Village</t>
  </si>
  <si>
    <t>Nightshade and Dark's Pandemonium Brewing</t>
  </si>
  <si>
    <t>Old Mill Craft Beer</t>
  </si>
  <si>
    <t>Bidwell</t>
  </si>
  <si>
    <t>Procreations Brewing Company LLC</t>
  </si>
  <si>
    <t>Ross Brewing Company</t>
  </si>
  <si>
    <t>Port Monmouth</t>
  </si>
  <si>
    <t>Village Vintner Winery &amp; Brewery</t>
  </si>
  <si>
    <t>Algonquin</t>
  </si>
  <si>
    <t>West LA Beer Company</t>
  </si>
  <si>
    <t>Swanzey</t>
  </si>
  <si>
    <t>Alebird Taphouse and Brewery</t>
  </si>
  <si>
    <t>Barsideous Brewing</t>
  </si>
  <si>
    <t>Faces Brewing Co.</t>
  </si>
  <si>
    <t>Foam &amp; Folly Brewing</t>
  </si>
  <si>
    <t>Rebel Sailor Brewing Company LLC</t>
  </si>
  <si>
    <t>Shortsville</t>
  </si>
  <si>
    <t>Rivers and Rails Brewing</t>
  </si>
  <si>
    <t>Thief River Falls</t>
  </si>
  <si>
    <t>Roaring 20s Brewery &amp; Taphouse</t>
  </si>
  <si>
    <t>New Lebanon</t>
  </si>
  <si>
    <t>Bear Belly Brewing Company</t>
  </si>
  <si>
    <t>Kings Beach</t>
  </si>
  <si>
    <t>Copper Turtle and Taverne</t>
  </si>
  <si>
    <t>Hickory Creek Brewing Company LLC</t>
  </si>
  <si>
    <t>Huff Brewing Company, LLC</t>
  </si>
  <si>
    <t>Bellville</t>
  </si>
  <si>
    <t>Lake 11 Brewing</t>
  </si>
  <si>
    <t>Lake of the Ozarks Brewing Company</t>
  </si>
  <si>
    <t>Osage Beach</t>
  </si>
  <si>
    <t>Location Six Brewing</t>
  </si>
  <si>
    <t>Waller</t>
  </si>
  <si>
    <t>Mad County Brewing</t>
  </si>
  <si>
    <t>Magosh Brewing</t>
  </si>
  <si>
    <t>Kingsburg</t>
  </si>
  <si>
    <t>Malt &amp; Barrel Brewing Co.</t>
  </si>
  <si>
    <t>Branson</t>
  </si>
  <si>
    <t>Maxie's Brew House</t>
  </si>
  <si>
    <t>Shippensburg</t>
  </si>
  <si>
    <t>Murray Street Brewing</t>
  </si>
  <si>
    <t>Mattawan</t>
  </si>
  <si>
    <t>Old Firehall Brewing Company</t>
  </si>
  <si>
    <t>Starbuck</t>
  </si>
  <si>
    <t>POG Brewing Company</t>
  </si>
  <si>
    <t>Ramblin Reds Brewing Company</t>
  </si>
  <si>
    <t>Wauseon</t>
  </si>
  <si>
    <t>Shelter Island Craft Brewery</t>
  </si>
  <si>
    <t>Shelter Island</t>
  </si>
  <si>
    <t>Side Door Brewing Company</t>
  </si>
  <si>
    <t>Vosburgh Brewing</t>
  </si>
  <si>
    <t>Elizaville</t>
  </si>
  <si>
    <t>Awkward Brewing</t>
  </si>
  <si>
    <t>Bandera</t>
  </si>
  <si>
    <t>Craftboro Brewing Depot</t>
  </si>
  <si>
    <t>East Aurora Brewery</t>
  </si>
  <si>
    <t>Hares Hill Brewing Company</t>
  </si>
  <si>
    <t>Monhegan Brewing Co.</t>
  </si>
  <si>
    <t>Monhegan</t>
  </si>
  <si>
    <t>Suburban Brewing Co</t>
  </si>
  <si>
    <t>Honey Brook</t>
  </si>
  <si>
    <t>Backbeat Brewing Company</t>
  </si>
  <si>
    <t>Bell Brothers Brewing</t>
  </si>
  <si>
    <t>Eccentric Brewing Company</t>
  </si>
  <si>
    <t>Grand Traverse Brewing Company</t>
  </si>
  <si>
    <t>Harper Lane Brewery</t>
  </si>
  <si>
    <t>Ledgeview Brewing Company</t>
  </si>
  <si>
    <t>Warsaw</t>
  </si>
  <si>
    <t>Loudoun Brewing Co</t>
  </si>
  <si>
    <t>Market Cross Pub &amp; Brewery</t>
  </si>
  <si>
    <t>Mechanical Brewery</t>
  </si>
  <si>
    <t>Pridgin Family Brewery</t>
  </si>
  <si>
    <t>Scranton</t>
  </si>
  <si>
    <t>Spokanite Brewing Company</t>
  </si>
  <si>
    <t>Strange Colt Brewery</t>
  </si>
  <si>
    <t>Summerhill Brewing LLC</t>
  </si>
  <si>
    <t>Talking Rock Brewery</t>
  </si>
  <si>
    <t>Talking Rock</t>
  </si>
  <si>
    <t>Yeasty Brews</t>
  </si>
  <si>
    <t>Cooling Pond Brewery</t>
  </si>
  <si>
    <t>Mineral</t>
  </si>
  <si>
    <t>Kettlerock Brewing</t>
  </si>
  <si>
    <t>Kismet Brewing Company</t>
  </si>
  <si>
    <t>Notaviva Craft Fermentations</t>
  </si>
  <si>
    <t>Our Brewing Co</t>
  </si>
  <si>
    <t>Patron Saints Brewery</t>
  </si>
  <si>
    <t>Red Tail Brewing Company, LLC</t>
  </si>
  <si>
    <t>Reed City</t>
  </si>
  <si>
    <t>Wellspent Brewing Company</t>
  </si>
  <si>
    <t>Beard Engine Brewing Company</t>
  </si>
  <si>
    <t>Alba</t>
  </si>
  <si>
    <t>Black Flamingo Brewing Company</t>
  </si>
  <si>
    <t>East Regiment Beer Company</t>
  </si>
  <si>
    <t>Lost Hollow Beer Co., LLC</t>
  </si>
  <si>
    <t>Civic Brewing Company</t>
  </si>
  <si>
    <t>Sopchoppy</t>
  </si>
  <si>
    <t>Coast Fork Brewing</t>
  </si>
  <si>
    <t>Cool Beerwerks</t>
  </si>
  <si>
    <t>Cool</t>
  </si>
  <si>
    <t>Depot Saloon</t>
  </si>
  <si>
    <t>Greene Eagle Winery and Brewpub</t>
  </si>
  <si>
    <t>Happy Hippie Brewing  Company</t>
  </si>
  <si>
    <t>Harvest Brewing</t>
  </si>
  <si>
    <t>Hop Avenue Brewing Company</t>
  </si>
  <si>
    <t>Bridge City</t>
  </si>
  <si>
    <t>Midnight Run Brewing</t>
  </si>
  <si>
    <t>Sonoma Grille</t>
  </si>
  <si>
    <t>SquareHead Brewing</t>
  </si>
  <si>
    <t>Valkyrie Brewing</t>
  </si>
  <si>
    <t>Yeti Restaurant</t>
  </si>
  <si>
    <t>Yorkholo Brewing Co</t>
  </si>
  <si>
    <t>Craft Creek Brewing Company</t>
  </si>
  <si>
    <t>Four Eyed Guys Brewing</t>
  </si>
  <si>
    <t>Funky Town Brewery / Iron Tree Tables and Taps</t>
  </si>
  <si>
    <t>Harry Stuff Brewing Co.</t>
  </si>
  <si>
    <t>Wawaka</t>
  </si>
  <si>
    <t>Liquid Shoes Brewing</t>
  </si>
  <si>
    <t>Moon Tower Sudworks</t>
  </si>
  <si>
    <t>Premier Brewing Company</t>
  </si>
  <si>
    <t>New Oxford</t>
  </si>
  <si>
    <t>Sacred Vice Brewing</t>
  </si>
  <si>
    <t>Skeleton Crew Brew</t>
  </si>
  <si>
    <t>Onalaska</t>
  </si>
  <si>
    <t>Spires Social Brewing Co.</t>
  </si>
  <si>
    <t>Wackadoo Brewing</t>
  </si>
  <si>
    <t>Agonic Brewing Company</t>
  </si>
  <si>
    <t>Rice Lake</t>
  </si>
  <si>
    <t>Allerton Brewing Company</t>
  </si>
  <si>
    <t>Battle Lake</t>
  </si>
  <si>
    <t>Black Viking Brewing</t>
  </si>
  <si>
    <t>Boring Rose Brewing</t>
  </si>
  <si>
    <t>Bricksworth Beer Co.</t>
  </si>
  <si>
    <t>Corbett Brewing Co</t>
  </si>
  <si>
    <t>Core3Brewery</t>
  </si>
  <si>
    <t>Deep Fried Beers</t>
  </si>
  <si>
    <t>DisBatch Brewing Company</t>
  </si>
  <si>
    <t>Macedon</t>
  </si>
  <si>
    <t>Dog Days Brewing</t>
  </si>
  <si>
    <t>Duneyrr Fermenta Winery and Brewery</t>
  </si>
  <si>
    <t>East Village Brewing Company</t>
  </si>
  <si>
    <t>El Diablo Brewing Company</t>
  </si>
  <si>
    <t>First and Main Brew, LLC</t>
  </si>
  <si>
    <t>Craig</t>
  </si>
  <si>
    <t>Frogg Brewing</t>
  </si>
  <si>
    <t>Gas City Brewing Company</t>
  </si>
  <si>
    <t>Gas City</t>
  </si>
  <si>
    <t>Growler Bay Brewing Co</t>
  </si>
  <si>
    <t>Horus Aged Ales</t>
  </si>
  <si>
    <t>Isle Brewers Guild</t>
  </si>
  <si>
    <t>Itza Brewing</t>
  </si>
  <si>
    <t>Lake Tribe Brewing</t>
  </si>
  <si>
    <t>Laneside Pub &amp; Brewery</t>
  </si>
  <si>
    <t>Laurel Highlands Brewing</t>
  </si>
  <si>
    <t>Uniontown</t>
  </si>
  <si>
    <t>Leaf &amp; Hive Brew Lab</t>
  </si>
  <si>
    <t>Lemons Mill Brewery</t>
  </si>
  <si>
    <t>Harrodsburg</t>
  </si>
  <si>
    <t>Lost Spring Brewing Company</t>
  </si>
  <si>
    <t>Milton's Brewing</t>
  </si>
  <si>
    <t>Muddy Banks Brewing Company</t>
  </si>
  <si>
    <t>Sullivan</t>
  </si>
  <si>
    <t>Parallel Brewing Co.</t>
  </si>
  <si>
    <t>Point Remove Brewing Company</t>
  </si>
  <si>
    <t>Morrilton</t>
  </si>
  <si>
    <t>Public House at the Markets Brewery and Restaurant</t>
  </si>
  <si>
    <t>Red Dragon Brewery</t>
  </si>
  <si>
    <t>Redlight Redlight Brewpub</t>
  </si>
  <si>
    <t>Tap on Main Brewing</t>
  </si>
  <si>
    <t>The Beer Barn</t>
  </si>
  <si>
    <t>Oliver Springs</t>
  </si>
  <si>
    <t>Thirsty Eye Brewing</t>
  </si>
  <si>
    <t>Trailhead Brewing Company</t>
  </si>
  <si>
    <t>Rockwood</t>
  </si>
  <si>
    <t>Whistle Pig Brewing Company</t>
  </si>
  <si>
    <t>Angry Ferret Brewing Company</t>
  </si>
  <si>
    <t>Black Bear Brewery</t>
  </si>
  <si>
    <t>Broken Timbers Brewing Company</t>
  </si>
  <si>
    <t>Coatza Brewing Co</t>
  </si>
  <si>
    <t>Cork &amp; Barrel</t>
  </si>
  <si>
    <t>Sandy</t>
  </si>
  <si>
    <t>Couch Dog Brewing</t>
  </si>
  <si>
    <t>Division 23 Brewing</t>
  </si>
  <si>
    <t>Five Eye Brewing</t>
  </si>
  <si>
    <t>Grafton Winery &amp; Brewhaus</t>
  </si>
  <si>
    <t>Late Start Brewing</t>
  </si>
  <si>
    <t>Old West Brewing Co.</t>
  </si>
  <si>
    <t>Upper Room Brewery</t>
  </si>
  <si>
    <t>Welton Brewing Company</t>
  </si>
  <si>
    <t>1188 Brewing Company</t>
  </si>
  <si>
    <t>John Day</t>
  </si>
  <si>
    <t>Black Forest Brewery</t>
  </si>
  <si>
    <t>Blondes and Brewnettes</t>
  </si>
  <si>
    <t>West Grove</t>
  </si>
  <si>
    <t>Brown Soul Brewing Company</t>
  </si>
  <si>
    <t>South Gate</t>
  </si>
  <si>
    <t>Catfish Charlies / Catfish Creek Brew Pub</t>
  </si>
  <si>
    <t>Dakota Shivers Brewing</t>
  </si>
  <si>
    <t>Lead</t>
  </si>
  <si>
    <t>Diner Brew Co.</t>
  </si>
  <si>
    <t>New Rochelle</t>
  </si>
  <si>
    <t>Dirty Couch Brewing</t>
  </si>
  <si>
    <t>SEATTLE</t>
  </si>
  <si>
    <t>Dyke Beer</t>
  </si>
  <si>
    <t>Granite Coast Brewing Company</t>
  </si>
  <si>
    <t>Peabody</t>
  </si>
  <si>
    <t>Hive Brewing Company</t>
  </si>
  <si>
    <t>Incinerati Brewing Company</t>
  </si>
  <si>
    <t>Lost Valley Brewing Co</t>
  </si>
  <si>
    <t>Southern Hart Brewing</t>
  </si>
  <si>
    <t>Hartwell</t>
  </si>
  <si>
    <t>The Farm &amp; The Odd Fellows, LLC</t>
  </si>
  <si>
    <t>Brother Ass Brewing</t>
  </si>
  <si>
    <t>Hop Creek Pub</t>
  </si>
  <si>
    <t>Indian Springs Brewing Company</t>
  </si>
  <si>
    <t>Neosho</t>
  </si>
  <si>
    <t>Johnny's Calistoga / Mud City Brews</t>
  </si>
  <si>
    <t>Kilmarnock</t>
  </si>
  <si>
    <t>Old Planters Brewing Co.</t>
  </si>
  <si>
    <t>Old Tappan Brewing Company</t>
  </si>
  <si>
    <t>Bayville</t>
  </si>
  <si>
    <t>Skipolini's Pizza</t>
  </si>
  <si>
    <t>Rocklin</t>
  </si>
  <si>
    <t>The Cape Vincent Brewing Co., Inc</t>
  </si>
  <si>
    <t>Three Odd Guys Brewing</t>
  </si>
  <si>
    <t>Apopka</t>
  </si>
  <si>
    <t>Black Frog Brewery</t>
  </si>
  <si>
    <t>HOLLAND</t>
  </si>
  <si>
    <t>Boogie's Brewery &amp; Distillery</t>
  </si>
  <si>
    <t>Crooked Beech Brewing</t>
  </si>
  <si>
    <t>Drop Bear Brewery LLC</t>
  </si>
  <si>
    <t>Headley's Brewing Company</t>
  </si>
  <si>
    <t>Carnegie</t>
  </si>
  <si>
    <t>One Shot Distillery &amp; Brewery</t>
  </si>
  <si>
    <t>Rice Family Brewing, LLC</t>
  </si>
  <si>
    <t>Spacecat Brewing Company</t>
  </si>
  <si>
    <t>The Recreation Parlor</t>
  </si>
  <si>
    <t>Gravette</t>
  </si>
  <si>
    <t>The Station U Brew</t>
  </si>
  <si>
    <t>Torzala Brewing LLC</t>
  </si>
  <si>
    <t>Track 94 Brewery</t>
  </si>
  <si>
    <t>Warehouse Gourmet Bistro &amp; Brew Pub</t>
  </si>
  <si>
    <t>Apex Brewery</t>
  </si>
  <si>
    <t>Bath Ale Works</t>
  </si>
  <si>
    <t>Wiscasset</t>
  </si>
  <si>
    <t>Drop the H Brewing Company</t>
  </si>
  <si>
    <t>Eridanus Brewing</t>
  </si>
  <si>
    <t>Horse Heaven Hills Brewery</t>
  </si>
  <si>
    <t>Prosser</t>
  </si>
  <si>
    <t>Indio Brewing Co</t>
  </si>
  <si>
    <t>Kennay Farms Distilling</t>
  </si>
  <si>
    <t>Rochelle</t>
  </si>
  <si>
    <t>Laxton Hollow Brewing Works</t>
  </si>
  <si>
    <t>Oil Well Craft Beer</t>
  </si>
  <si>
    <t>Ave Maria</t>
  </si>
  <si>
    <t>Outlander Brewery &amp; Pub</t>
  </si>
  <si>
    <t>Powers Creek Brewery</t>
  </si>
  <si>
    <t>Blue Lake</t>
  </si>
  <si>
    <t>Snowbird Mountains Brewery</t>
  </si>
  <si>
    <t>Andrews</t>
  </si>
  <si>
    <t>St Ambrose Cellars</t>
  </si>
  <si>
    <t>B2 Taphouse &amp; Brewery</t>
  </si>
  <si>
    <t>Bierkeller Columbia</t>
  </si>
  <si>
    <t>Cedar City Brewing Company</t>
  </si>
  <si>
    <t>Dog'Gone Brewery</t>
  </si>
  <si>
    <t>Dragon's Tale Brewery</t>
  </si>
  <si>
    <t>Durand Brewing Company</t>
  </si>
  <si>
    <t>Durand</t>
  </si>
  <si>
    <t>Flat River Brewing</t>
  </si>
  <si>
    <t>ONE WAY Brewing</t>
  </si>
  <si>
    <t>Longmeadow</t>
  </si>
  <si>
    <t>Ørkenoy</t>
  </si>
  <si>
    <t>Rough Cut Brewing Company</t>
  </si>
  <si>
    <t>Kerhonkson</t>
  </si>
  <si>
    <t>Sparky's Brewing Company</t>
  </si>
  <si>
    <t>Upside Brewing</t>
  </si>
  <si>
    <t>Chattabrewchee Southern Brewhouse</t>
  </si>
  <si>
    <t>Fayetteville Beer Works</t>
  </si>
  <si>
    <t>Four Keys Brewing</t>
  </si>
  <si>
    <t>Blissfield</t>
  </si>
  <si>
    <t>Hixtown Brewing Co</t>
  </si>
  <si>
    <t>Villa Rica</t>
  </si>
  <si>
    <t>Hunter's Handmade Brewery</t>
  </si>
  <si>
    <t>Johnnie Byrd Brewing Company</t>
  </si>
  <si>
    <t>Krafty Draft Brew Pub</t>
  </si>
  <si>
    <t>Modest Roots Brewing Co.</t>
  </si>
  <si>
    <t>Tyngsborough</t>
  </si>
  <si>
    <t>Naked Iguana Brewery</t>
  </si>
  <si>
    <t>Roundhead Brewing Company</t>
  </si>
  <si>
    <t>The Palouse Brewery</t>
  </si>
  <si>
    <t>Palouse</t>
  </si>
  <si>
    <t>Upper Stem Brewery</t>
  </si>
  <si>
    <t>Wet Dogs Brewing</t>
  </si>
  <si>
    <t>2 Doors Down Brewing Company</t>
  </si>
  <si>
    <t>Wisconsin Rapids</t>
  </si>
  <si>
    <t>Barnshed Brewing</t>
  </si>
  <si>
    <t>Bastet Brewing</t>
  </si>
  <si>
    <t>BierKraft</t>
  </si>
  <si>
    <t>McAlester</t>
  </si>
  <si>
    <t>Big T Brew Pub</t>
  </si>
  <si>
    <t>Black Fleet Brewing</t>
  </si>
  <si>
    <t>Dublin Corners Farm Brewery</t>
  </si>
  <si>
    <t>Linwood</t>
  </si>
  <si>
    <t>Genus Brewing / Nu Home Brew and Bottles</t>
  </si>
  <si>
    <t>Hop Oast Pub &amp; Brewery</t>
  </si>
  <si>
    <t>Off Main Brewing</t>
  </si>
  <si>
    <t>Piston Pete's Brewery &amp; Distillery</t>
  </si>
  <si>
    <t>Rowlands Calumet Brewing Co</t>
  </si>
  <si>
    <t>Chilton</t>
  </si>
  <si>
    <t>SchillingBridge Winery &amp; Microbrewery</t>
  </si>
  <si>
    <t>Pawnee City</t>
  </si>
  <si>
    <t>Jamaica Plain</t>
  </si>
  <si>
    <t>Urban Harvest Brewing Company</t>
  </si>
  <si>
    <t>1035 Brewing</t>
  </si>
  <si>
    <t>1st Down Brewing Co.</t>
  </si>
  <si>
    <t>5 Barrel Bullet Brewing Company</t>
  </si>
  <si>
    <t>New Philadelphia</t>
  </si>
  <si>
    <t>Burnt Tree Brewing</t>
  </si>
  <si>
    <t>Ennis</t>
  </si>
  <si>
    <t>Colludium Brewery</t>
  </si>
  <si>
    <t>Eaton Pub &amp; Grille Brewery / Charlotte Brewing Co</t>
  </si>
  <si>
    <t>Flapjack Brewery</t>
  </si>
  <si>
    <t>Freshwater Beer Co.</t>
  </si>
  <si>
    <t>Granite Roots Brewing</t>
  </si>
  <si>
    <t>Hub City Brewing Company</t>
  </si>
  <si>
    <t>Belen</t>
  </si>
  <si>
    <t>Mad Rooster Beer Company</t>
  </si>
  <si>
    <t>Mandatory Fun Beer Works</t>
  </si>
  <si>
    <t>Mentor Brewing Company</t>
  </si>
  <si>
    <t>Mentor</t>
  </si>
  <si>
    <t>Oak St. Brewery</t>
  </si>
  <si>
    <t>One Legged Pheasant Brewery</t>
  </si>
  <si>
    <t>Oxford Brewing Company</t>
  </si>
  <si>
    <t>Pillow &amp; Oats Brewing</t>
  </si>
  <si>
    <t>River Hops Brewing</t>
  </si>
  <si>
    <t>Timber Patch Brewing</t>
  </si>
  <si>
    <t>Morton</t>
  </si>
  <si>
    <t>Tradewater Brewing Company</t>
  </si>
  <si>
    <t>Madisonville</t>
  </si>
  <si>
    <t>Walking Distance Brewing Co.</t>
  </si>
  <si>
    <t>5th Element Brewing</t>
  </si>
  <si>
    <t>Ambition Brewing</t>
  </si>
  <si>
    <t>Wilton</t>
  </si>
  <si>
    <t>Colfax Ale Cellar</t>
  </si>
  <si>
    <t>Gowanda Brewing at The Wicked Glen</t>
  </si>
  <si>
    <t>Laurentide Beer Company</t>
  </si>
  <si>
    <t>Micropolis Brewing</t>
  </si>
  <si>
    <t>Mindscape Fermentations</t>
  </si>
  <si>
    <t>Reifenberg Brewing</t>
  </si>
  <si>
    <t>Valatie</t>
  </si>
  <si>
    <t>Rockbridge Vineyard &amp; Brewery</t>
  </si>
  <si>
    <t>Raphine</t>
  </si>
  <si>
    <t>Solarc Brewing</t>
  </si>
  <si>
    <t>Spent Grain Brewing</t>
  </si>
  <si>
    <t>Tanasi Brewing &amp; Supplies</t>
  </si>
  <si>
    <t>Thieme &amp; Wagner Brewery</t>
  </si>
  <si>
    <t>Twisted Copper Brewing Company</t>
  </si>
  <si>
    <t>Calexico Brewing Company</t>
  </si>
  <si>
    <t>Calexico</t>
  </si>
  <si>
    <t>Electric Brewing</t>
  </si>
  <si>
    <t>Fort Bayou Brewing Company</t>
  </si>
  <si>
    <t>Green Line Brewery</t>
  </si>
  <si>
    <t>Hops and Seed</t>
  </si>
  <si>
    <t>Jacobs Brewhouse and Grocer</t>
  </si>
  <si>
    <t>Deadwood</t>
  </si>
  <si>
    <t>John Ryan Brewery</t>
  </si>
  <si>
    <t>Official Brewing Company</t>
  </si>
  <si>
    <t>Punch Buggy Brewing Company</t>
  </si>
  <si>
    <t>Sandy Valley Brewing</t>
  </si>
  <si>
    <t>Suds Brothers Brewery</t>
  </si>
  <si>
    <t>Ellisville</t>
  </si>
  <si>
    <t>Working Hands Brewing</t>
  </si>
  <si>
    <t>British Bulldog Brewery</t>
  </si>
  <si>
    <t>Ridgeline Brewing Company</t>
  </si>
  <si>
    <t>Watertown Brewing Co</t>
  </si>
  <si>
    <t>WHYM Craft Pub &amp; Brewery</t>
  </si>
  <si>
    <t>Adventure Club Brewing</t>
  </si>
  <si>
    <t>Arable Brewing Company</t>
  </si>
  <si>
    <t>Back Porch Brewing</t>
  </si>
  <si>
    <t>Crane's Castle Brewing</t>
  </si>
  <si>
    <t>Exit 16 Brewing</t>
  </si>
  <si>
    <t>La Center</t>
  </si>
  <si>
    <t>Hardwood Bar and Smokery</t>
  </si>
  <si>
    <t>Hunter's Brewing</t>
  </si>
  <si>
    <t>Johnson's Landing</t>
  </si>
  <si>
    <t>Lazy Mountain Brewing Company</t>
  </si>
  <si>
    <t>Northville Winery and Brewery</t>
  </si>
  <si>
    <t>Ombibulous Brewing Company</t>
  </si>
  <si>
    <t>Red Point Taphouse</t>
  </si>
  <si>
    <t>Riseform Brewing Co.</t>
  </si>
  <si>
    <t>Marcellus</t>
  </si>
  <si>
    <t>Sequatchie Valley Brewing Company</t>
  </si>
  <si>
    <t>Steeple Brewing Co</t>
  </si>
  <si>
    <t>Two Frogs Brewing Company</t>
  </si>
  <si>
    <t>Barn Door Brewing</t>
  </si>
  <si>
    <t>Explorer Brewing Company</t>
  </si>
  <si>
    <t>Kelso</t>
  </si>
  <si>
    <t>Infusion Brewing Company of Trinity</t>
  </si>
  <si>
    <t>J. Fargo's Family Dining &amp; Micro Brewery / Coyote J Brewing Co</t>
  </si>
  <si>
    <t>Olive Pit Brewing Co.</t>
  </si>
  <si>
    <t>Lisbon Falls</t>
  </si>
  <si>
    <t>Some Nerve Brewing Company</t>
  </si>
  <si>
    <t>Manitowish Waters</t>
  </si>
  <si>
    <t>Westfield River Brewing Co</t>
  </si>
  <si>
    <t>Southwick</t>
  </si>
  <si>
    <t>Back Paddle Brewing</t>
  </si>
  <si>
    <t>Brew Life Brewing</t>
  </si>
  <si>
    <t>Broken Tee Brewing Company</t>
  </si>
  <si>
    <t>Highwood</t>
  </si>
  <si>
    <t>Crazy Mountain Brewing Co</t>
  </si>
  <si>
    <t>Frankenboltzzzz Brewing Co</t>
  </si>
  <si>
    <t>Geronimo Brewing Inc</t>
  </si>
  <si>
    <t>Doylestown</t>
  </si>
  <si>
    <t>Hop Chaos Brewing Company</t>
  </si>
  <si>
    <t>Jack's Brewing Co</t>
  </si>
  <si>
    <t>Mad Pursuit Brewing Company</t>
  </si>
  <si>
    <t>McHenry Brewing Company</t>
  </si>
  <si>
    <t>McHenry</t>
  </si>
  <si>
    <t>Moscow Brewing Company</t>
  </si>
  <si>
    <t>Old Skool Brewing</t>
  </si>
  <si>
    <t>Baker</t>
  </si>
  <si>
    <t>Private Press Brewing</t>
  </si>
  <si>
    <t>Put-In-Bay Brewing Co</t>
  </si>
  <si>
    <t>Put In Bay</t>
  </si>
  <si>
    <t>River Trail Brewing</t>
  </si>
  <si>
    <t>The Leprechaun's Lab</t>
  </si>
  <si>
    <t>Westwood Brewing</t>
  </si>
  <si>
    <t>Rathdrum</t>
  </si>
  <si>
    <t>Wicked Teuton Brewing Company</t>
  </si>
  <si>
    <t>45 Degree Brewhouse</t>
  </si>
  <si>
    <t>Breakaway Brewing Company</t>
  </si>
  <si>
    <t>Company Distilling</t>
  </si>
  <si>
    <t>Final Gravity Brewing Co.</t>
  </si>
  <si>
    <t>Henrico</t>
  </si>
  <si>
    <t>Kodiac Brewing Company LLC</t>
  </si>
  <si>
    <t>Mackenzie Brewing Company</t>
  </si>
  <si>
    <t>Valley Park</t>
  </si>
  <si>
    <t>Madcow Brewing Co.</t>
  </si>
  <si>
    <t>Old Colorado Brewing Co</t>
  </si>
  <si>
    <t>Portland Zoo</t>
  </si>
  <si>
    <t>Strum Brewing Company</t>
  </si>
  <si>
    <t>Therapy Brewing</t>
  </si>
  <si>
    <t>Montoursville</t>
  </si>
  <si>
    <t>Banter Brewing Co</t>
  </si>
  <si>
    <t>Bear Tent Brewing Co</t>
  </si>
  <si>
    <t>Brewery Outré</t>
  </si>
  <si>
    <t>Brown's Canyon Brewing Company</t>
  </si>
  <si>
    <t>Element Brewing Co</t>
  </si>
  <si>
    <t>Millers Falls</t>
  </si>
  <si>
    <t>Elevation 66 Brewing Co</t>
  </si>
  <si>
    <t>El Cerrito</t>
  </si>
  <si>
    <t>On Rotation Brewery &amp; Kitchen</t>
  </si>
  <si>
    <t>Overflow Brewing Company</t>
  </si>
  <si>
    <t>Right Around The Corner</t>
  </si>
  <si>
    <t>Sandbox Brewing Company</t>
  </si>
  <si>
    <t>St Clair Brown Winery &amp; Brewery</t>
  </si>
  <si>
    <t>Sustainable Beverage Tech.</t>
  </si>
  <si>
    <t>Thirsty Skull Brewing</t>
  </si>
  <si>
    <t>Siler City</t>
  </si>
  <si>
    <t>Trove Brewing</t>
  </si>
  <si>
    <t>Aiken Brewing Co</t>
  </si>
  <si>
    <t>Aiken</t>
  </si>
  <si>
    <t>Arclight Brewing Company</t>
  </si>
  <si>
    <t>Watervliet</t>
  </si>
  <si>
    <t>BeerClub Brewing</t>
  </si>
  <si>
    <t>Mora</t>
  </si>
  <si>
    <t>Brew Practitioners, LLC.</t>
  </si>
  <si>
    <t>Copper Hop Brewing Co/Copper Hop Ranch</t>
  </si>
  <si>
    <t>Elgin</t>
  </si>
  <si>
    <t>Crowing Hen, LLC</t>
  </si>
  <si>
    <t>Carlton</t>
  </si>
  <si>
    <t>Downstream Crafted Brewing Company</t>
  </si>
  <si>
    <t>Quapaw</t>
  </si>
  <si>
    <t>Empty Pint Brewing Company</t>
  </si>
  <si>
    <t>Goat Lips Chew and Brewhouse / Redneck Riviera Brewing</t>
  </si>
  <si>
    <t>Hot House Brewing At Barone Gardens</t>
  </si>
  <si>
    <t>Cicero</t>
  </si>
  <si>
    <t>Johanssons Dining House</t>
  </si>
  <si>
    <t>Outer Planet Craft Brewing</t>
  </si>
  <si>
    <t>Serious Brewing Co.</t>
  </si>
  <si>
    <t>The Brewery of Broken Dreams</t>
  </si>
  <si>
    <t>Tusculum Brewing Company</t>
  </si>
  <si>
    <t>Angry Swede Brewing Company</t>
  </si>
  <si>
    <t>Brewery 44</t>
  </si>
  <si>
    <t>Carver</t>
  </si>
  <si>
    <t>Spring Valley</t>
  </si>
  <si>
    <t>Irrigation Ales</t>
  </si>
  <si>
    <t>Courtland</t>
  </si>
  <si>
    <t>Kent Beer Company</t>
  </si>
  <si>
    <t>Lucky Brewing Co</t>
  </si>
  <si>
    <t>Mammoth Oak Brewing Company</t>
  </si>
  <si>
    <t>Mechanistic Brewing</t>
  </si>
  <si>
    <t>Odd Logic Brewing Company</t>
  </si>
  <si>
    <t>Off Camber Brewing</t>
  </si>
  <si>
    <t>Red Pig Brewery</t>
  </si>
  <si>
    <t>Holly Hill</t>
  </si>
  <si>
    <t>Beer Thug Brewing</t>
  </si>
  <si>
    <t>Bell Gardens</t>
  </si>
  <si>
    <t>Birdhouse Brewing Company</t>
  </si>
  <si>
    <t>Honeoye</t>
  </si>
  <si>
    <t>Boring Brewing Co., LLC</t>
  </si>
  <si>
    <t>El Cid Brewing Company</t>
  </si>
  <si>
    <t>Fat Ass Ranch &amp; Brewery</t>
  </si>
  <si>
    <t>Forbes Trail Brewing</t>
  </si>
  <si>
    <t>Gentle Giant Brewing Company</t>
  </si>
  <si>
    <t>Hired Hand Brewing Co</t>
  </si>
  <si>
    <t>Vergennes</t>
  </si>
  <si>
    <t>JD's Sports Pub and Brewery</t>
  </si>
  <si>
    <t>Jefferson Beer Supply</t>
  </si>
  <si>
    <t>Jefferson</t>
  </si>
  <si>
    <t>Lake Texoma Lodge And Resort</t>
  </si>
  <si>
    <t>Leikam Brewing</t>
  </si>
  <si>
    <t>Lost Elephant Brewing Company</t>
  </si>
  <si>
    <t>Elmer</t>
  </si>
  <si>
    <t>Bailey</t>
  </si>
  <si>
    <t>Pond Hill Farm</t>
  </si>
  <si>
    <t>Riverside Rhapsody Beer Company</t>
  </si>
  <si>
    <t>Rock God Brewing Company</t>
  </si>
  <si>
    <t>Roots Brewing Company</t>
  </si>
  <si>
    <t>Oneonta</t>
  </si>
  <si>
    <t>Rule of 3 Brewing</t>
  </si>
  <si>
    <t>Shattered Oak Brewing</t>
  </si>
  <si>
    <t>Turtleback Ridge Brewery</t>
  </si>
  <si>
    <t>EWING</t>
  </si>
  <si>
    <t>Amory's Tomb Brewing Co</t>
  </si>
  <si>
    <t>Maynard</t>
  </si>
  <si>
    <t>Battered Boar Brewing Co</t>
  </si>
  <si>
    <t>Bell Springs Brewing Company</t>
  </si>
  <si>
    <t>BellCraft Brew Co.</t>
  </si>
  <si>
    <t>Good Day Brew Co</t>
  </si>
  <si>
    <t>Perris</t>
  </si>
  <si>
    <t>Homer Hops Brewing</t>
  </si>
  <si>
    <t>Naptowne Brewing Company</t>
  </si>
  <si>
    <t>Olde Florida Brewing Company</t>
  </si>
  <si>
    <t>Penobscot Bay Brewery</t>
  </si>
  <si>
    <t>Winterport</t>
  </si>
  <si>
    <t>Railside Brewing</t>
  </si>
  <si>
    <t>Starr Craft Brewery</t>
  </si>
  <si>
    <t>Upper Depot Brewing Co</t>
  </si>
  <si>
    <t>Willapa Brewing Co LLC</t>
  </si>
  <si>
    <t>10-56 Brewing Company</t>
  </si>
  <si>
    <t>Knox</t>
  </si>
  <si>
    <t>Arkansas Brewing Company</t>
  </si>
  <si>
    <t>Ozark</t>
  </si>
  <si>
    <t>Chaos Brewing Company, LLC</t>
  </si>
  <si>
    <t>Joplin</t>
  </si>
  <si>
    <t>Creatures Of Habit Brewing Co</t>
  </si>
  <si>
    <t>Crossroads Brewery</t>
  </si>
  <si>
    <t>Dissent Craft Brewing Company, LLC</t>
  </si>
  <si>
    <t>Good News Brewing Company</t>
  </si>
  <si>
    <t>Hoppy Days Brewery</t>
  </si>
  <si>
    <t>Last Mile Brewery</t>
  </si>
  <si>
    <t>Orthodox Farmhouse Brewery</t>
  </si>
  <si>
    <t>Rail Hop'n Brewing Co</t>
  </si>
  <si>
    <t>Soaring Wings Brewing</t>
  </si>
  <si>
    <t>The Garage Bikes &amp; Brews LLC</t>
  </si>
  <si>
    <t>Brioux City Brewery</t>
  </si>
  <si>
    <t>Dead Bear Brewing Co.</t>
  </si>
  <si>
    <t>Eureka Springs Brewery</t>
  </si>
  <si>
    <t>Eureka Springs</t>
  </si>
  <si>
    <t>Garrett's Mill and Brewing Company</t>
  </si>
  <si>
    <t>Garrettsville</t>
  </si>
  <si>
    <t>Gypsy Run Brewery</t>
  </si>
  <si>
    <t>Helderberg Mountain Brewing Company</t>
  </si>
  <si>
    <t>East Berne</t>
  </si>
  <si>
    <t>Hops on Fire Brewing Company</t>
  </si>
  <si>
    <t>Midway</t>
  </si>
  <si>
    <t>Marietta Brewing Co</t>
  </si>
  <si>
    <t>Oddball Brewing</t>
  </si>
  <si>
    <t>Suncook</t>
  </si>
  <si>
    <t>Railhead Brewing Company</t>
  </si>
  <si>
    <t>Hornell</t>
  </si>
  <si>
    <t>Trinity Forest Brewing Company</t>
  </si>
  <si>
    <t>3 Legged Crane Pub and Brewhouse</t>
  </si>
  <si>
    <t>Oakridge</t>
  </si>
  <si>
    <t>B. Nektar Meadery</t>
  </si>
  <si>
    <t>Bier One Brewing</t>
  </si>
  <si>
    <t>Copper Turret Restaurant and Brewhouse</t>
  </si>
  <si>
    <t>Deanitude Brewing Company</t>
  </si>
  <si>
    <t>KinderHill Brew Lab</t>
  </si>
  <si>
    <t>Lucky's 1313 Brewpub</t>
  </si>
  <si>
    <t>Minnesota Beer Company</t>
  </si>
  <si>
    <t>Montross Brewery</t>
  </si>
  <si>
    <t>Montross</t>
  </si>
  <si>
    <t>Old Possum Brewing Company</t>
  </si>
  <si>
    <t>Saddle Rock Pub &amp; Brewery</t>
  </si>
  <si>
    <t>Scuffle Hill Brewing Company</t>
  </si>
  <si>
    <t>The Brewery At Bacchus</t>
  </si>
  <si>
    <t>WayGone Brewery</t>
  </si>
  <si>
    <t>Arlington Brewing Company</t>
  </si>
  <si>
    <t>Battery Island Brewing Company</t>
  </si>
  <si>
    <t>C&amp;G Brewing</t>
  </si>
  <si>
    <t>Eight-Foot Brewing, LLC</t>
  </si>
  <si>
    <t>Forward Operating Base Brewing Company / FOB Brewing</t>
  </si>
  <si>
    <t>DuPont</t>
  </si>
  <si>
    <t>Ironwood Brewing Co.</t>
  </si>
  <si>
    <t>Long Shot Brewery</t>
  </si>
  <si>
    <t>Magnetic North Brewing Company</t>
  </si>
  <si>
    <t>Midnite Mine Brewing Company</t>
  </si>
  <si>
    <t>Rebellion Brew Co</t>
  </si>
  <si>
    <t>Sacrilege Brewing Project</t>
  </si>
  <si>
    <t>Seven Sounds Brewing Company</t>
  </si>
  <si>
    <t>Tiffin</t>
  </si>
  <si>
    <t>Wandering Gypsy Brewing Co</t>
  </si>
  <si>
    <t>Ransomville</t>
  </si>
  <si>
    <t>Yokefellow Beer</t>
  </si>
  <si>
    <t>Zoch Brewing Company LLC - Giddings Brewhaus DBA</t>
  </si>
  <si>
    <t>Giddings</t>
  </si>
  <si>
    <t>Burnt Timber Brewing</t>
  </si>
  <si>
    <t>Cary Ale House &amp; Brewing Company</t>
  </si>
  <si>
    <t>Council Rock Brewery</t>
  </si>
  <si>
    <t>Footjoy Farm and Brewing</t>
  </si>
  <si>
    <t>Legally Brewed Co.</t>
  </si>
  <si>
    <t>Northbrook Brewing</t>
  </si>
  <si>
    <t>Panzú Brewery</t>
  </si>
  <si>
    <t>Mint Hill</t>
  </si>
  <si>
    <t>Pdub Brewing Co dba Reservoir Brewing Co</t>
  </si>
  <si>
    <t>Rusty Rocket Brewing</t>
  </si>
  <si>
    <t>The Sanford Beverage Company, Inc. D.B.A. Steele Street Brewing</t>
  </si>
  <si>
    <t>Ionia</t>
  </si>
  <si>
    <t>The Stout House</t>
  </si>
  <si>
    <t>All Points Brewing Co.</t>
  </si>
  <si>
    <t>Big Hair Brewhaus</t>
  </si>
  <si>
    <t>Hartington</t>
  </si>
  <si>
    <t>Funky Fauna Artisan Ales</t>
  </si>
  <si>
    <t>Loony's Brew</t>
  </si>
  <si>
    <t>Ranier</t>
  </si>
  <si>
    <t>Oracle Brewing Company</t>
  </si>
  <si>
    <t>South Haven Brewpub</t>
  </si>
  <si>
    <t>The Garage</t>
  </si>
  <si>
    <t>Three Bridge Brewing Company</t>
  </si>
  <si>
    <t>Menominee</t>
  </si>
  <si>
    <t>Volition Brewing CO LLC</t>
  </si>
  <si>
    <t>Whiskey Point Brewing Company</t>
  </si>
  <si>
    <t>Beaver Island</t>
  </si>
  <si>
    <t>602 Brewing Company</t>
  </si>
  <si>
    <t>Bluemont Vineyard &amp; Brewery</t>
  </si>
  <si>
    <t>Stonewall</t>
  </si>
  <si>
    <t>Bugu Brewing Company</t>
  </si>
  <si>
    <t>Cercis Brewing Company</t>
  </si>
  <si>
    <t>Neshannock Creek Brewing</t>
  </si>
  <si>
    <t>Stoney Acres Farm</t>
  </si>
  <si>
    <t>Stout Beard Brewing Company</t>
  </si>
  <si>
    <t>Black Pug Brewing</t>
  </si>
  <si>
    <t>CheezHead Brewing</t>
  </si>
  <si>
    <t>Frost Brewhouse</t>
  </si>
  <si>
    <t>Haas Innovations Brewing LLC.</t>
  </si>
  <si>
    <t>yakima</t>
  </si>
  <si>
    <t>Inventors Brewpub</t>
  </si>
  <si>
    <t>Port Washington</t>
  </si>
  <si>
    <t>Junco Brewing Co LLC</t>
  </si>
  <si>
    <t>Kilokilo Brewing, Co., LLC</t>
  </si>
  <si>
    <t>Middle Ground Brewing Company</t>
  </si>
  <si>
    <t>Mountain Base Brewery, Inc.</t>
  </si>
  <si>
    <t>Goffstown</t>
  </si>
  <si>
    <t>Nowhere Brewing</t>
  </si>
  <si>
    <t>Ozarks Brewing Company</t>
  </si>
  <si>
    <t>Range 23 Brewing</t>
  </si>
  <si>
    <t>The Grocery Brewpub</t>
  </si>
  <si>
    <t>Three Stacks and A Rock Brewing Co</t>
  </si>
  <si>
    <t>Morro Bay</t>
  </si>
  <si>
    <t>Troubles End Brewing</t>
  </si>
  <si>
    <t>Collegeville</t>
  </si>
  <si>
    <t>Useless Creatures Brewing Company</t>
  </si>
  <si>
    <t>Valley Vineyards Winery &amp; Cellar Dweller Brewing</t>
  </si>
  <si>
    <t>Morrow</t>
  </si>
  <si>
    <t>Bearded Fox Brewing Co.</t>
  </si>
  <si>
    <t>Choteau Creek Brewing Company</t>
  </si>
  <si>
    <t>Cross Country Brewing</t>
  </si>
  <si>
    <t>Glendive</t>
  </si>
  <si>
    <t>Crown Valley Brewing &amp; Distilling Co</t>
  </si>
  <si>
    <t>Heavier Than Air Brewing Co</t>
  </si>
  <si>
    <t>Hoptimystic Brewing</t>
  </si>
  <si>
    <t>Late Shift Lager House</t>
  </si>
  <si>
    <t>MainStage Brewing Company</t>
  </si>
  <si>
    <t>Michigan Brewing Works</t>
  </si>
  <si>
    <t>Monka Brewing Company</t>
  </si>
  <si>
    <t>Shoreline</t>
  </si>
  <si>
    <t>OpenRoad Brewery</t>
  </si>
  <si>
    <t>Wayland</t>
  </si>
  <si>
    <t>Paddle Stop Brewery</t>
  </si>
  <si>
    <t>Salty Oak Brewing Company</t>
  </si>
  <si>
    <t>Studebaker Brewing Company</t>
  </si>
  <si>
    <t>The Eldo</t>
  </si>
  <si>
    <t>Tiger Town Brewing Company</t>
  </si>
  <si>
    <t>Mitchell</t>
  </si>
  <si>
    <t>TPK Brewing Co.</t>
  </si>
  <si>
    <t>Apex Aleworks</t>
  </si>
  <si>
    <t>Boots Brewing Company, Inc.</t>
  </si>
  <si>
    <t>K Point Brewing</t>
  </si>
  <si>
    <t>Lagerhaus No. 5</t>
  </si>
  <si>
    <t>Liberator Brewing Company</t>
  </si>
  <si>
    <t>Mountain Lakes Brewing Company</t>
  </si>
  <si>
    <t>Northern Ales</t>
  </si>
  <si>
    <t>kettle falls</t>
  </si>
  <si>
    <t>Scantic River Brewery</t>
  </si>
  <si>
    <t>The Laird Arcade Brewery</t>
  </si>
  <si>
    <t>Turn 2 Brewing Company Inc.</t>
  </si>
  <si>
    <t>Sebring</t>
  </si>
  <si>
    <t>Arcana Brewing Company</t>
  </si>
  <si>
    <t>Barnaby Brewing Company</t>
  </si>
  <si>
    <t>Brackish Beer Company</t>
  </si>
  <si>
    <t>Great Crescent Brewery</t>
  </si>
  <si>
    <t>Jaipur Restaurant and Brewpub</t>
  </si>
  <si>
    <t>Lake Milton Brewery</t>
  </si>
  <si>
    <t>Lake Milton</t>
  </si>
  <si>
    <t>Lakeville Brew Crew</t>
  </si>
  <si>
    <t>Latulip Brewing Co</t>
  </si>
  <si>
    <t>Cooks</t>
  </si>
  <si>
    <t>Mcks Tavern &amp; Brewery</t>
  </si>
  <si>
    <t>Daytona Beach</t>
  </si>
  <si>
    <t>Mr Dunderbaks Biergarten and Brewery / Dunderbrau Brewing</t>
  </si>
  <si>
    <t>Muddy Road  Brewery</t>
  </si>
  <si>
    <t>Odd Pelican Beer Co. LLC</t>
  </si>
  <si>
    <t>Open Barrel Brewing Company</t>
  </si>
  <si>
    <t>Shoeless Brewing Company</t>
  </si>
  <si>
    <t>Amber Lantern Brewing Company</t>
  </si>
  <si>
    <t>Bock Family Brewing</t>
  </si>
  <si>
    <t>Brooks Brewery / Northside Lounge</t>
  </si>
  <si>
    <t>Manville</t>
  </si>
  <si>
    <t>Bullquarian Brewhouse, LLC</t>
  </si>
  <si>
    <t>Creekside Brewing</t>
  </si>
  <si>
    <t>Dixie Grill &amp; Brewery</t>
  </si>
  <si>
    <t>Draper Brewing</t>
  </si>
  <si>
    <t>Eleven Brewing Co. At LD's On the River</t>
  </si>
  <si>
    <t>Pulaski</t>
  </si>
  <si>
    <t>Lake Rat Brewing</t>
  </si>
  <si>
    <t>Long Brewing LLC</t>
  </si>
  <si>
    <t>Ramskeller</t>
  </si>
  <si>
    <t>Riverbank Brewing, LLC.</t>
  </si>
  <si>
    <t>Council Grove</t>
  </si>
  <si>
    <t>Rosko's Brew House</t>
  </si>
  <si>
    <t>Border Brewery/Border Brew Supply</t>
  </si>
  <si>
    <t>Dutchess Ales</t>
  </si>
  <si>
    <t>Wassaic</t>
  </si>
  <si>
    <t>Fistful of Ale</t>
  </si>
  <si>
    <t>Gentile Brewing Company</t>
  </si>
  <si>
    <t>Hell In A Bucket Brewing</t>
  </si>
  <si>
    <t>Laht Neppur Brewing</t>
  </si>
  <si>
    <t>Waitsburg</t>
  </si>
  <si>
    <t>Muskellunge Brewing Company</t>
  </si>
  <si>
    <t>Owasco Lake Brewing</t>
  </si>
  <si>
    <t>Moravia</t>
  </si>
  <si>
    <t>Paso Robles Casino / Craft Paso Bar</t>
  </si>
  <si>
    <t>Pinnacles Brewing Company</t>
  </si>
  <si>
    <t>Sena Farm Brewery</t>
  </si>
  <si>
    <t>The Stay Put</t>
  </si>
  <si>
    <t>Kenwood</t>
  </si>
  <si>
    <t>Tirebiter Brewery</t>
  </si>
  <si>
    <t>Angry Hog Brewery &amp; Taproom</t>
  </si>
  <si>
    <t>B and J's Handcrafted Texas Ales</t>
  </si>
  <si>
    <t>Elkins Brewing Company</t>
  </si>
  <si>
    <t>Farm Ale Brewing Company</t>
  </si>
  <si>
    <t>Eola</t>
  </si>
  <si>
    <t>The Break Room Brewing Company</t>
  </si>
  <si>
    <t>Whims Brewing</t>
  </si>
  <si>
    <t>Biercamp</t>
  </si>
  <si>
    <t>Brick Vault Brewery &amp; BBQ</t>
  </si>
  <si>
    <t>Marathon</t>
  </si>
  <si>
    <t>Golden Triangle Brew Co.</t>
  </si>
  <si>
    <t>Never Summer Brewing Co</t>
  </si>
  <si>
    <t>Obsidian Brewery</t>
  </si>
  <si>
    <t>Protectworth Brewing</t>
  </si>
  <si>
    <t>Reck 'Em Right Brewing</t>
  </si>
  <si>
    <t>s27 Alehouse</t>
  </si>
  <si>
    <t>Snapshot LLC</t>
  </si>
  <si>
    <t>XIX Brewing Co</t>
  </si>
  <si>
    <t>Vermillion</t>
  </si>
  <si>
    <t>Black Cock Brewery</t>
  </si>
  <si>
    <t>Copper Country Brewery / The Library</t>
  </si>
  <si>
    <t>Fermentation Initiative</t>
  </si>
  <si>
    <t>Grindhaus Brew Lab</t>
  </si>
  <si>
    <t>Neon Groundhog Brewery - Majestic Oak Winery</t>
  </si>
  <si>
    <t>Snow Peak Brewing Company</t>
  </si>
  <si>
    <t>Stayton</t>
  </si>
  <si>
    <t>The Ale Apothecary</t>
  </si>
  <si>
    <t>TractorLift Brewery</t>
  </si>
  <si>
    <t>Humboldt</t>
  </si>
  <si>
    <t>Warner Vineyards</t>
  </si>
  <si>
    <t>Paw Paw</t>
  </si>
  <si>
    <t>21 Guns Brewing</t>
  </si>
  <si>
    <t>Jasonville</t>
  </si>
  <si>
    <t>Bendt Distilling Co</t>
  </si>
  <si>
    <t>Lewisville</t>
  </si>
  <si>
    <t>Blairsville Brewing Company</t>
  </si>
  <si>
    <t>Blairsville</t>
  </si>
  <si>
    <t>Bovina Farm and Fermentory</t>
  </si>
  <si>
    <t>Bovina Center</t>
  </si>
  <si>
    <t>Brewster River Pub &amp; Brewery</t>
  </si>
  <si>
    <t>Jeffersonville</t>
  </si>
  <si>
    <t>Bully Brewing</t>
  </si>
  <si>
    <t>Flag City Brewing</t>
  </si>
  <si>
    <t>Webb City</t>
  </si>
  <si>
    <t>Noble Wave Restaurant &amp; Brewery</t>
  </si>
  <si>
    <t>Railroad City Brewing Company</t>
  </si>
  <si>
    <t>Red Lion Brewery</t>
  </si>
  <si>
    <t>Sideways Farm and Brewery</t>
  </si>
  <si>
    <t>Etowah</t>
  </si>
  <si>
    <t>The Pour Farm</t>
  </si>
  <si>
    <t>Union</t>
  </si>
  <si>
    <t>Twelve Talons Beerworks</t>
  </si>
  <si>
    <t>Uncommon Path Brewing</t>
  </si>
  <si>
    <t>BackRoad Brewery</t>
  </si>
  <si>
    <t>Mount Ida Reserve</t>
  </si>
  <si>
    <t>Pleasanton Main St Brewery</t>
  </si>
  <si>
    <t>Scorpion Brewing</t>
  </si>
  <si>
    <t>Owings</t>
  </si>
  <si>
    <t>Simple Days Beer</t>
  </si>
  <si>
    <t>East Greenville</t>
  </si>
  <si>
    <t>Smoking Cannon Brewery</t>
  </si>
  <si>
    <t>Ramona</t>
  </si>
  <si>
    <t>Toy Soldier</t>
  </si>
  <si>
    <t>Wandering Mind</t>
  </si>
  <si>
    <t>734 Brewing Company</t>
  </si>
  <si>
    <t>Bragging Rooster Beer and Mead</t>
  </si>
  <si>
    <t>Grand Fir Brewing</t>
  </si>
  <si>
    <t>Hops and Seed Brewery</t>
  </si>
  <si>
    <t>Mud Run Beer Co.</t>
  </si>
  <si>
    <t>OGIE Brewing, LLC</t>
  </si>
  <si>
    <t>Old House Vineyard, Brewing and Distillery</t>
  </si>
  <si>
    <t>Stoker's Brewing Company</t>
  </si>
  <si>
    <t>Tamaqua</t>
  </si>
  <si>
    <t>Sunday Service Motor Co.</t>
  </si>
  <si>
    <t>Backyard Brewery LLC</t>
  </si>
  <si>
    <t>Hondo's Brewery &amp; Public House</t>
  </si>
  <si>
    <t>Jones Creek Brewing</t>
  </si>
  <si>
    <t>Chehalis</t>
  </si>
  <si>
    <t>Mountain Heart Brewing</t>
  </si>
  <si>
    <t>Next Chapter Brewpub</t>
  </si>
  <si>
    <t>Nocona Beer and Brewery</t>
  </si>
  <si>
    <t>Nocona</t>
  </si>
  <si>
    <t>One Season Brewing</t>
  </si>
  <si>
    <t>Other Lands</t>
  </si>
  <si>
    <t>Slate Rock Brewing Company</t>
  </si>
  <si>
    <t>Amity</t>
  </si>
  <si>
    <t>Whistle Top Brew Company</t>
  </si>
  <si>
    <t>Cornelia</t>
  </si>
  <si>
    <t>Boots 2 Brews At Zip Kombucha</t>
  </si>
  <si>
    <t>Garden Path Fermentation</t>
  </si>
  <si>
    <t>Grace Note Brewing</t>
  </si>
  <si>
    <t>In the Shadow Brewing</t>
  </si>
  <si>
    <t>Lone Man Mountain Brewing Co.</t>
  </si>
  <si>
    <t>Lunar Brewing Company</t>
  </si>
  <si>
    <t>Villa Park</t>
  </si>
  <si>
    <t>North Grove Brewers</t>
  </si>
  <si>
    <t>Pluton Brewing Company</t>
  </si>
  <si>
    <t>Brownsville</t>
  </si>
  <si>
    <t>Rusted Spoke Brewing Co.</t>
  </si>
  <si>
    <t>Twenty 8 West Brewing</t>
  </si>
  <si>
    <t>Barker Brewhouse</t>
  </si>
  <si>
    <t>Beer in the Barn Brewery</t>
  </si>
  <si>
    <t>Saint Donatus</t>
  </si>
  <si>
    <t>Belshire Brewing Co</t>
  </si>
  <si>
    <t>Dark Hollow Spring Brewing</t>
  </si>
  <si>
    <t>Foothill Hops</t>
  </si>
  <si>
    <t>HammerHeart Brewing Company</t>
  </si>
  <si>
    <t>Lino Lakes</t>
  </si>
  <si>
    <t>Stafford Springs</t>
  </si>
  <si>
    <t>Red Wing Brewing Company</t>
  </si>
  <si>
    <t>Red Wing</t>
  </si>
  <si>
    <t>Solstice Farm Brewery</t>
  </si>
  <si>
    <t>Catawba</t>
  </si>
  <si>
    <t>Water Buffalo Brewery</t>
  </si>
  <si>
    <t>Alcona Brew Haus</t>
  </si>
  <si>
    <t>Harrisville</t>
  </si>
  <si>
    <t>Catalina Island Brew House</t>
  </si>
  <si>
    <t>Chinkapin Brewing</t>
  </si>
  <si>
    <t>Clam Lake Beer Co</t>
  </si>
  <si>
    <t>Cadillac</t>
  </si>
  <si>
    <t>Coal Tipple Brewery / Kramer Farms</t>
  </si>
  <si>
    <t>Burgettstown</t>
  </si>
  <si>
    <t>Engine 3 Brewing Co.</t>
  </si>
  <si>
    <t>Five Mountain Brewing Co</t>
  </si>
  <si>
    <t>Shickshinny</t>
  </si>
  <si>
    <t>High Burl Brewery</t>
  </si>
  <si>
    <t>Burlington Flats</t>
  </si>
  <si>
    <t>Lost Duck Brewing Co.</t>
  </si>
  <si>
    <t>Fort Madison</t>
  </si>
  <si>
    <t>Maelstrom Brewing Company</t>
  </si>
  <si>
    <t>Second Son Brews</t>
  </si>
  <si>
    <t>Siskiyou Brew Works</t>
  </si>
  <si>
    <t>Mccloud</t>
  </si>
  <si>
    <t>TBC Brewing Company</t>
  </si>
  <si>
    <t>Tim's Pumpkin Patch</t>
  </si>
  <si>
    <t>2 Feet Brewing Company</t>
  </si>
  <si>
    <t>Bird Street Brewing</t>
  </si>
  <si>
    <t>Lemoore</t>
  </si>
  <si>
    <t>Brockton Beer Company</t>
  </si>
  <si>
    <t>Brockton</t>
  </si>
  <si>
    <t>Coal Run Craft</t>
  </si>
  <si>
    <t>Homer City</t>
  </si>
  <si>
    <t>Craft Culture X</t>
  </si>
  <si>
    <t>Fork + Ale House</t>
  </si>
  <si>
    <t>Gamble Block Brewery</t>
  </si>
  <si>
    <t>Hoppy Trout Brewing Company</t>
  </si>
  <si>
    <t>Lotawana Brewing Company</t>
  </si>
  <si>
    <t>Grain Valley</t>
  </si>
  <si>
    <t>Minnewaska House Brewing Co</t>
  </si>
  <si>
    <t>Cypress</t>
  </si>
  <si>
    <t>No Drought Brewing Co.</t>
  </si>
  <si>
    <t>Old 41 Brewing Company</t>
  </si>
  <si>
    <t>Rock River Brewing Co</t>
  </si>
  <si>
    <t>Rock Rapids</t>
  </si>
  <si>
    <t>Tumbleweed Brewing and Wine Company</t>
  </si>
  <si>
    <t>Yuma</t>
  </si>
  <si>
    <t>Wellhead Restaurant/Brewpub</t>
  </si>
  <si>
    <t>Artesia</t>
  </si>
  <si>
    <t>Ale Spike</t>
  </si>
  <si>
    <t>Camano Island</t>
  </si>
  <si>
    <t>BrewLounge Beer Company</t>
  </si>
  <si>
    <t>Buck's Brewing Co</t>
  </si>
  <si>
    <t>Carey Brewing Station</t>
  </si>
  <si>
    <t>Carey</t>
  </si>
  <si>
    <t>Chaos Bay Brewing Co.</t>
  </si>
  <si>
    <t>Gerhard's Cafe</t>
  </si>
  <si>
    <t>Great Chicago Fire Brewery and Tap Room</t>
  </si>
  <si>
    <t>Hideaway Brewing Co</t>
  </si>
  <si>
    <t>Homegrown Hops Brewing</t>
  </si>
  <si>
    <t>Lehmans Orchard Brewery and Farmhouse</t>
  </si>
  <si>
    <t>Mutantis Brewing Company</t>
  </si>
  <si>
    <t>Not Lost Brewing Company</t>
  </si>
  <si>
    <t>Ogres Brewing</t>
  </si>
  <si>
    <t>Route 66 Junkyard Brewery</t>
  </si>
  <si>
    <t>Scissortail Brewing Co.</t>
  </si>
  <si>
    <t>Dewey</t>
  </si>
  <si>
    <t>Singing Hops Brewing Company</t>
  </si>
  <si>
    <t>Waltz Brewing</t>
  </si>
  <si>
    <t>Forest Grove</t>
  </si>
  <si>
    <t>WaterTower Estates Winery and Brewery</t>
  </si>
  <si>
    <t>Werner Brewing Company</t>
  </si>
  <si>
    <t>Wild Ace Pizza &amp; Pub</t>
  </si>
  <si>
    <t>Blue Ridge Brewing</t>
  </si>
  <si>
    <t>Brick Haus Brews</t>
  </si>
  <si>
    <t>Duncan's Abbey</t>
  </si>
  <si>
    <t>Tarrytown</t>
  </si>
  <si>
    <t>Icy Strait Brewery</t>
  </si>
  <si>
    <t>Hoonah</t>
  </si>
  <si>
    <t>Local Pizza &amp; Brewery</t>
  </si>
  <si>
    <t>Chesterfield</t>
  </si>
  <si>
    <t>Oak Deli &amp; Brewery</t>
  </si>
  <si>
    <t>Olds River Brewing Company</t>
  </si>
  <si>
    <t>Park City Brewing</t>
  </si>
  <si>
    <t>SuperFly Brewing Co.</t>
  </si>
  <si>
    <t>Swing On Brewing Company</t>
  </si>
  <si>
    <t>Crossville</t>
  </si>
  <si>
    <t>Balefire Brewing Company</t>
  </si>
  <si>
    <t>Comstock Park</t>
  </si>
  <si>
    <t>BrewHaHa Brewing Company</t>
  </si>
  <si>
    <t>Cypress Grove Brewing</t>
  </si>
  <si>
    <t>Assumption</t>
  </si>
  <si>
    <t>Dingo Dog Brewing Co</t>
  </si>
  <si>
    <t>Gulf Coast/ Tejas</t>
  </si>
  <si>
    <t>Inland Ale Works</t>
  </si>
  <si>
    <t>Cheney</t>
  </si>
  <si>
    <t>Meckley's Brewing Co.</t>
  </si>
  <si>
    <t>Nine State Brewery</t>
  </si>
  <si>
    <t>Inverness</t>
  </si>
  <si>
    <t>Oakholm Brewing Company</t>
  </si>
  <si>
    <t>Old Colony Brewing</t>
  </si>
  <si>
    <t>Whitman</t>
  </si>
  <si>
    <t>Powers Farm &amp; Brewery</t>
  </si>
  <si>
    <t>Sworn Brewing Company</t>
  </si>
  <si>
    <t>Unreal Brewing Company</t>
  </si>
  <si>
    <t>WAR Craft Brewery</t>
  </si>
  <si>
    <t>Rapidan</t>
  </si>
  <si>
    <t>Archaic Craft Brewery At Centro</t>
  </si>
  <si>
    <t>Canterbury Aleworks</t>
  </si>
  <si>
    <t>Canterbury</t>
  </si>
  <si>
    <t>Dubh Linn Brew Pub</t>
  </si>
  <si>
    <t>Endless Life Brewing</t>
  </si>
  <si>
    <t>Evergreen Farm Brewing</t>
  </si>
  <si>
    <t>Metamora</t>
  </si>
  <si>
    <t>Lost Farmer Brewing Co</t>
  </si>
  <si>
    <t>Mineola</t>
  </si>
  <si>
    <t>Mad Princes Brewing</t>
  </si>
  <si>
    <t>Buckingham</t>
  </si>
  <si>
    <t>Ozark Brewery</t>
  </si>
  <si>
    <t>Rueggenbach Brewing Co</t>
  </si>
  <si>
    <t>Shelter Distilling</t>
  </si>
  <si>
    <t>Square Wheel Brewing Co</t>
  </si>
  <si>
    <t>Alcazar Brewery, LLC.</t>
  </si>
  <si>
    <t>Rio Grande City</t>
  </si>
  <si>
    <t>Backyard Brewing Company</t>
  </si>
  <si>
    <t>Bear Creek Wine Company And Brewery</t>
  </si>
  <si>
    <t>Walnut Shade</t>
  </si>
  <si>
    <t>Brass Collar Brewing Company</t>
  </si>
  <si>
    <t>Souderton</t>
  </si>
  <si>
    <t>Bridge Up Brewing Company</t>
  </si>
  <si>
    <t>Sturgeon Bay</t>
  </si>
  <si>
    <t>Buffalo Brewing Company</t>
  </si>
  <si>
    <t>Burning Sun Brewing Company</t>
  </si>
  <si>
    <t>Butchertown Brewing</t>
  </si>
  <si>
    <t>Castro Restaurant &amp; Brewhouse</t>
  </si>
  <si>
    <t>Donner Creek Brewing</t>
  </si>
  <si>
    <t>Drifa Brewing Company</t>
  </si>
  <si>
    <t>Ecology Beer Creative</t>
  </si>
  <si>
    <t>Evil Nash Brewing Co</t>
  </si>
  <si>
    <t>Good Buddies Brewing Co.</t>
  </si>
  <si>
    <t>Greenspring Brewing Company</t>
  </si>
  <si>
    <t>Chesapeake Beach</t>
  </si>
  <si>
    <t>Groove Brewing</t>
  </si>
  <si>
    <t>Guidepost Brewing Company LLC</t>
  </si>
  <si>
    <t>Hank Is Wiser Brewery</t>
  </si>
  <si>
    <t>Intermission Beer Company</t>
  </si>
  <si>
    <t>Look's Beer Co.</t>
  </si>
  <si>
    <t>Mattie Groves Brewery</t>
  </si>
  <si>
    <t>Midsummer Brewing, LLC</t>
  </si>
  <si>
    <t>Moonlight Meadery/Hidden Moon Brewing</t>
  </si>
  <si>
    <t>Pittsfield</t>
  </si>
  <si>
    <t>Old Well Brewery</t>
  </si>
  <si>
    <t>Printer's Row Brewing</t>
  </si>
  <si>
    <t>Revere Brewery</t>
  </si>
  <si>
    <t>Route 40 Brewing &amp; Distilling Company</t>
  </si>
  <si>
    <t>Frostburg</t>
  </si>
  <si>
    <t>Shotwell Run Brewing Company</t>
  </si>
  <si>
    <t>Etlan</t>
  </si>
  <si>
    <t>Sidereal Farm Brewery</t>
  </si>
  <si>
    <t>Vassalboro</t>
  </si>
  <si>
    <t>Sunroom Brewing</t>
  </si>
  <si>
    <t>Tar Banks Brewing Co.</t>
  </si>
  <si>
    <t>Louisburg</t>
  </si>
  <si>
    <t>Thirsty Pups Brewery and Bottle Shop</t>
  </si>
  <si>
    <t>Truss Brewing Company</t>
  </si>
  <si>
    <t>Wind &amp; Waves Brewing  SC</t>
  </si>
  <si>
    <t>Yah Brew</t>
  </si>
  <si>
    <t>Yoerg Brewing Company</t>
  </si>
  <si>
    <t>BriarBrown Brewing Company</t>
  </si>
  <si>
    <t>Arcanum</t>
  </si>
  <si>
    <t>Bummin' Beaver Brewery</t>
  </si>
  <si>
    <t>Frisby Winery &amp; Brewing</t>
  </si>
  <si>
    <t>Mission Viejo</t>
  </si>
  <si>
    <t>Misty Mountain Brewing &amp; Tap Haus</t>
  </si>
  <si>
    <t>Napa Palisades Beer Company</t>
  </si>
  <si>
    <t>Norey's Brewpub</t>
  </si>
  <si>
    <t>Prey Brewing</t>
  </si>
  <si>
    <t>Railroad Seafood Station &amp; Brewing Co.</t>
  </si>
  <si>
    <t>Rhythm Brewing Co</t>
  </si>
  <si>
    <t>Saint Hazards Brewery</t>
  </si>
  <si>
    <t>Middle Bass Island</t>
  </si>
  <si>
    <t>Sasanoa Brewing</t>
  </si>
  <si>
    <t>Westport Island</t>
  </si>
  <si>
    <t>True Story Brewing Company</t>
  </si>
  <si>
    <t>Turning Page Farm Brewery</t>
  </si>
  <si>
    <t>Monson</t>
  </si>
  <si>
    <t>Two Rock Brewing Co</t>
  </si>
  <si>
    <t>Petaluma</t>
  </si>
  <si>
    <t>Athens Brewing Co</t>
  </si>
  <si>
    <t>Big Delta Brewing Company</t>
  </si>
  <si>
    <t>Delta Junction</t>
  </si>
  <si>
    <t>BS Brewing</t>
  </si>
  <si>
    <t>McMillin Farm/Puyallup Microbrewery</t>
  </si>
  <si>
    <t>Patton Block Grill and Brewpub</t>
  </si>
  <si>
    <t>Rocky Coulee Brewing</t>
  </si>
  <si>
    <t>Odessa</t>
  </si>
  <si>
    <t>Sand Lake Micro Brewery</t>
  </si>
  <si>
    <t>SunnHaus Brewing Project</t>
  </si>
  <si>
    <t>The Porter Public House</t>
  </si>
  <si>
    <t>841 Brewhouse</t>
  </si>
  <si>
    <t>Whitewater</t>
  </si>
  <si>
    <t>Armour Brewing Company</t>
  </si>
  <si>
    <t>Crooked Culture Brewing</t>
  </si>
  <si>
    <t>Dragon Run Brewing</t>
  </si>
  <si>
    <t>Shacklefords</t>
  </si>
  <si>
    <t>Lake Anna Brewing Company</t>
  </si>
  <si>
    <t>Phyre Brewery and Tavern</t>
  </si>
  <si>
    <t>Priest Lake Brewing</t>
  </si>
  <si>
    <t>Priest Lake</t>
  </si>
  <si>
    <t>Rippon Brewing Company</t>
  </si>
  <si>
    <t>Rippon</t>
  </si>
  <si>
    <t>Three Fox Vineyards &amp; Brewery</t>
  </si>
  <si>
    <t>West Seattle Brewing Co</t>
  </si>
  <si>
    <t>7 Pillars Brewing Company</t>
  </si>
  <si>
    <t>Alliteration Ales</t>
  </si>
  <si>
    <t>A-Squared Brewing Company, LLC</t>
  </si>
  <si>
    <t>Atlas Saloon Brewery</t>
  </si>
  <si>
    <t>Barrel Chest Wine &amp; Beer</t>
  </si>
  <si>
    <t>Brew:30 Taphouse</t>
  </si>
  <si>
    <t>Franconia Brewing Co</t>
  </si>
  <si>
    <t>Funky Turtle Brewing Company</t>
  </si>
  <si>
    <t>Grillin &amp; Chillin Alehouse</t>
  </si>
  <si>
    <t>Hundred Mile Brewing</t>
  </si>
  <si>
    <t>Smocktown Brewery</t>
  </si>
  <si>
    <t>Wild Bunch Brewing Co, LLC</t>
  </si>
  <si>
    <t>Red Rock</t>
  </si>
  <si>
    <t>1ST Barrel Brewing</t>
  </si>
  <si>
    <t>saint joseph</t>
  </si>
  <si>
    <t>Badass Backyard Brewing</t>
  </si>
  <si>
    <t>Blasty Bough Brewing Co.</t>
  </si>
  <si>
    <t>Epsom</t>
  </si>
  <si>
    <t>Brausch Brewery</t>
  </si>
  <si>
    <t>Breu Haus</t>
  </si>
  <si>
    <t>Sheldon</t>
  </si>
  <si>
    <t>Bull Spit Brewing</t>
  </si>
  <si>
    <t>Burning Bridge Brewing LLC</t>
  </si>
  <si>
    <t>Carmody Irish Pub &amp; Brewing</t>
  </si>
  <si>
    <t>Crafty Canary Brewery</t>
  </si>
  <si>
    <t>Walsenburg</t>
  </si>
  <si>
    <t>Equity Brewing Company, LLC</t>
  </si>
  <si>
    <t>Farmhand Brewing Company</t>
  </si>
  <si>
    <t>Earling</t>
  </si>
  <si>
    <t>Foreign Local LLC</t>
  </si>
  <si>
    <t>Fortlandia Nano Brewery</t>
  </si>
  <si>
    <t>Gordon's Grog</t>
  </si>
  <si>
    <t>St Albans</t>
  </si>
  <si>
    <t>GTs On the Bay</t>
  </si>
  <si>
    <t>Orange Beach</t>
  </si>
  <si>
    <t>Hat Trick Brewing</t>
  </si>
  <si>
    <t>Labyrinth Forge Brewing Company</t>
  </si>
  <si>
    <t>Lacrosse Brewing Company</t>
  </si>
  <si>
    <t>Limerick Brewing Company</t>
  </si>
  <si>
    <t>Mackinaw Trail Brewing Company / Mackinaw Trail Winery and Brewery</t>
  </si>
  <si>
    <t>Mad Russian Brewing Company</t>
  </si>
  <si>
    <t>Monzula Farm Brewery / Vineyard 22</t>
  </si>
  <si>
    <t>Cadiz</t>
  </si>
  <si>
    <t>Morning Dew Spa and Brewery</t>
  </si>
  <si>
    <t>Northwood Public House &amp; Brewery</t>
  </si>
  <si>
    <t>Nun Chuck's Brewing Co</t>
  </si>
  <si>
    <t>Outpost Brewing</t>
  </si>
  <si>
    <t>Plattsburgh Brewing Co</t>
  </si>
  <si>
    <t>Rapture Brewing</t>
  </si>
  <si>
    <t>Kellyville</t>
  </si>
  <si>
    <t>Strubel Brewing Company</t>
  </si>
  <si>
    <t>Pierre</t>
  </si>
  <si>
    <t>The Soundbank Music Room &amp; Taphouse</t>
  </si>
  <si>
    <t>Tight Lines Pub</t>
  </si>
  <si>
    <t>Morehead City</t>
  </si>
  <si>
    <t>Towerhouse Farm Brewery</t>
  </si>
  <si>
    <t>Gay</t>
  </si>
  <si>
    <t>Twisted Vine Brewery</t>
  </si>
  <si>
    <t>Virant Family Winery / Black Angus Brewery</t>
  </si>
  <si>
    <t>Whitewater Music Hall</t>
  </si>
  <si>
    <t>Wrecking Crew Brew Works</t>
  </si>
  <si>
    <t>23rd Ave Brewery</t>
  </si>
  <si>
    <t>5 Arch Brewing</t>
  </si>
  <si>
    <t>559 Local Brewing</t>
  </si>
  <si>
    <t>Elk Street Brewery &amp; Tap Room LLC</t>
  </si>
  <si>
    <t>Ercildoun Brewing Company</t>
  </si>
  <si>
    <t>Great River Brewing Co.</t>
  </si>
  <si>
    <t>Hannibal</t>
  </si>
  <si>
    <t>Hawk Mountain Brewery</t>
  </si>
  <si>
    <t>Laurel Canyon Brewing, LLC</t>
  </si>
  <si>
    <t>Mano Negra Brewing Co</t>
  </si>
  <si>
    <t>MI Element Grains &amp; Grounds</t>
  </si>
  <si>
    <t>Old Kudzu Brewing</t>
  </si>
  <si>
    <t>Prost Alehouse Texas</t>
  </si>
  <si>
    <t>Red Jacket Brewing at Michigan House Cafe</t>
  </si>
  <si>
    <t>Calumet</t>
  </si>
  <si>
    <t>Snowy Range Brewery</t>
  </si>
  <si>
    <t>Twisted Spur Brewing</t>
  </si>
  <si>
    <t>Two Knights Brewing Company</t>
  </si>
  <si>
    <t>Weaver Hollow Brewery</t>
  </si>
  <si>
    <t>Andes</t>
  </si>
  <si>
    <t>Wunderkammer Bier</t>
  </si>
  <si>
    <t>Brujos Brewing</t>
  </si>
  <si>
    <t>Gun Flint Tavern</t>
  </si>
  <si>
    <t>MAD Brewing Company</t>
  </si>
  <si>
    <t>Old Tascosa Brewing Company</t>
  </si>
  <si>
    <t>Someday Brewing</t>
  </si>
  <si>
    <t>Grosse Pointe Woods</t>
  </si>
  <si>
    <t>The Larimer Beer Company</t>
  </si>
  <si>
    <t>Big Hammock Brewery</t>
  </si>
  <si>
    <t>El Dorado Brewing Co</t>
  </si>
  <si>
    <t>Hogwaller Brewing</t>
  </si>
  <si>
    <t>Little Hop Brewing</t>
  </si>
  <si>
    <t>New Berlin Brewing Company</t>
  </si>
  <si>
    <t>North Canton</t>
  </si>
  <si>
    <t>Pecan Point Gastropub &amp; Brewery</t>
  </si>
  <si>
    <t>Texarkana</t>
  </si>
  <si>
    <t>Potato Shack</t>
  </si>
  <si>
    <t>Public House Kitchen and Brewery</t>
  </si>
  <si>
    <t>Selah Springs Brewing Co.</t>
  </si>
  <si>
    <t>Shalooby Loofer Brewing</t>
  </si>
  <si>
    <t>Emancipation Brewing Company</t>
  </si>
  <si>
    <t>Fairbury</t>
  </si>
  <si>
    <t>Forged Brewing Co</t>
  </si>
  <si>
    <t>Green Wolf Brewing Co</t>
  </si>
  <si>
    <t>Middleburgh</t>
  </si>
  <si>
    <t>Junction Brewery &amp; Grill</t>
  </si>
  <si>
    <t>American Canyon</t>
  </si>
  <si>
    <t>Kathrin's Biergarten</t>
  </si>
  <si>
    <t>LouEddie's Pizza and Brewery</t>
  </si>
  <si>
    <t>Skyforest</t>
  </si>
  <si>
    <t>Old Main Brewing</t>
  </si>
  <si>
    <t>Suncoast Nuthouse Brew</t>
  </si>
  <si>
    <t>The Boathouse Beer Co and Boozery</t>
  </si>
  <si>
    <t>Tawas City</t>
  </si>
  <si>
    <t>Amicus Brewing Ventures</t>
  </si>
  <si>
    <t>Amity Ales Brewpub and Eatery</t>
  </si>
  <si>
    <t>Bill's Best Brewery</t>
  </si>
  <si>
    <t>Death Avenue</t>
  </si>
  <si>
    <t>Emprize Brew Mill</t>
  </si>
  <si>
    <t>Menasha</t>
  </si>
  <si>
    <t>Fairmont Brewing Company</t>
  </si>
  <si>
    <t>Fairmont</t>
  </si>
  <si>
    <t>Fighting Hand Brewing Company</t>
  </si>
  <si>
    <t>Furbish Brew House &amp; Eats</t>
  </si>
  <si>
    <t>Rangeley</t>
  </si>
  <si>
    <t>Green Valley Brewing Company</t>
  </si>
  <si>
    <t>Hegins Valley Brewing</t>
  </si>
  <si>
    <t>Hegins</t>
  </si>
  <si>
    <t>Hildegard ferments and botanicals</t>
  </si>
  <si>
    <t>Kantu Brewing</t>
  </si>
  <si>
    <t>Tenmile</t>
  </si>
  <si>
    <t>Kinematic Brewing Company / JODA</t>
  </si>
  <si>
    <t>Comfort</t>
  </si>
  <si>
    <t>Little Lake Brewing</t>
  </si>
  <si>
    <t>Old Glenham Brewery</t>
  </si>
  <si>
    <t>Persuasion Brewing Co</t>
  </si>
  <si>
    <t>Raymond Avenue Brewing</t>
  </si>
  <si>
    <t>Sasquatch Brewing Co.</t>
  </si>
  <si>
    <t>Scotlander Brewing Company</t>
  </si>
  <si>
    <t>Argyle</t>
  </si>
  <si>
    <t>Star Brick Brewing At Hocking College</t>
  </si>
  <si>
    <t>Nelsonville</t>
  </si>
  <si>
    <t>Storytellers Brewery and Meet House, LLC</t>
  </si>
  <si>
    <t>Tenn Lakes Brewing Company</t>
  </si>
  <si>
    <t>Bear Creek Brews</t>
  </si>
  <si>
    <t>Big Boiler Brewing</t>
  </si>
  <si>
    <t>By The Beach Brewing</t>
  </si>
  <si>
    <t>Craft Rhythm &amp; Brews Brewing Co.</t>
  </si>
  <si>
    <t>Discourse Brewing</t>
  </si>
  <si>
    <t>Half Barrel Brewing Co</t>
  </si>
  <si>
    <t>Lehighton</t>
  </si>
  <si>
    <t>Mirage Beer Co.</t>
  </si>
  <si>
    <t>Oldenburg Brewing Company</t>
  </si>
  <si>
    <t>Belle Plaine</t>
  </si>
  <si>
    <t>Shunock River Brewery</t>
  </si>
  <si>
    <t>North Stonington</t>
  </si>
  <si>
    <t>Tanglefoot Brewing</t>
  </si>
  <si>
    <t>The BrewCraftery</t>
  </si>
  <si>
    <t>The Vegetable Hunter</t>
  </si>
  <si>
    <t>Atwood Farm Brewery</t>
  </si>
  <si>
    <t>HUCO Brew Co.</t>
  </si>
  <si>
    <t>Ubly</t>
  </si>
  <si>
    <t>Laredo Brewing Co.</t>
  </si>
  <si>
    <t>Mountain View Brewing</t>
  </si>
  <si>
    <t>Parma Ridge Brewing At Parma Ridge Vineyards</t>
  </si>
  <si>
    <t>Parma</t>
  </si>
  <si>
    <t>Rebellion Brew Haus</t>
  </si>
  <si>
    <t>Rustic Brewing Company</t>
  </si>
  <si>
    <t>Indian Orchard</t>
  </si>
  <si>
    <t>Struggle Street Brewing Company</t>
  </si>
  <si>
    <t>Beaumont</t>
  </si>
  <si>
    <t>Wild Run Brewing Company</t>
  </si>
  <si>
    <t>Beaver Street Tap Room</t>
  </si>
  <si>
    <t>Corydon</t>
  </si>
  <si>
    <t>Big Bottom Brewery</t>
  </si>
  <si>
    <t>Nailers Brewing Company</t>
  </si>
  <si>
    <t>Whiteland</t>
  </si>
  <si>
    <t>River Trade Brewing Company</t>
  </si>
  <si>
    <t>Constantine</t>
  </si>
  <si>
    <t>Thumb Brewery</t>
  </si>
  <si>
    <t>Caseville</t>
  </si>
  <si>
    <t>Twenty Below Brewing @ Twenty Tap</t>
  </si>
  <si>
    <t>Aistear Brewing</t>
  </si>
  <si>
    <t>Artisan Reserve, Inc.</t>
  </si>
  <si>
    <t>Romulus</t>
  </si>
  <si>
    <t>BreakThru Brewing Company</t>
  </si>
  <si>
    <t>Deception Brewing Company/Barn Door Brewing</t>
  </si>
  <si>
    <t>Elevator Brewery and Draught Haus</t>
  </si>
  <si>
    <t>Firehouse Grill &amp; Brewery</t>
  </si>
  <si>
    <t>From the Ground Brewery</t>
  </si>
  <si>
    <t>Red Hook</t>
  </si>
  <si>
    <t>Helderberg Brewery</t>
  </si>
  <si>
    <t>Rensselaerville</t>
  </si>
  <si>
    <t>Iron Hand Brewing, LLC</t>
  </si>
  <si>
    <t>Old Capitol Brewing</t>
  </si>
  <si>
    <t>Chillicothe</t>
  </si>
  <si>
    <t>Paddle Hard Brewing</t>
  </si>
  <si>
    <t>Sean Patrick's Pub</t>
  </si>
  <si>
    <t>Barley POP! Brewing</t>
  </si>
  <si>
    <t>Cherry Republic Brewing</t>
  </si>
  <si>
    <t>Glen Arbor</t>
  </si>
  <si>
    <t>CoStar Brewing, LLC</t>
  </si>
  <si>
    <t>Drop Zone Brewery, LLC</t>
  </si>
  <si>
    <t>Furps Brewing Company</t>
  </si>
  <si>
    <t>Guadalupe Brewery</t>
  </si>
  <si>
    <t>Lightning Brewery</t>
  </si>
  <si>
    <t>Poway</t>
  </si>
  <si>
    <t>LT Mesquite Brew Co</t>
  </si>
  <si>
    <t>Castroville</t>
  </si>
  <si>
    <t>Nimble Brewing</t>
  </si>
  <si>
    <t>North Haven Brewing Company</t>
  </si>
  <si>
    <t>Ookapow Brewing Company</t>
  </si>
  <si>
    <t>Perfect World Brewing Co</t>
  </si>
  <si>
    <t>Rio Lobo, LLC.</t>
  </si>
  <si>
    <t>Weyauwega</t>
  </si>
  <si>
    <t>Senoia Beer Company</t>
  </si>
  <si>
    <t>Senoia</t>
  </si>
  <si>
    <t>The Brewers of Nye Hill Farm</t>
  </si>
  <si>
    <t>Roxbury</t>
  </si>
  <si>
    <t>WildManDan Brewery</t>
  </si>
  <si>
    <t>Woodman's Brewery</t>
  </si>
  <si>
    <t>Layman Brewing</t>
  </si>
  <si>
    <t>Little Oblivion Brewing Company</t>
  </si>
  <si>
    <t>Littleport Brewing</t>
  </si>
  <si>
    <t>Mill Whistle Brewing</t>
  </si>
  <si>
    <t>Palooza Brewery and Gastropub</t>
  </si>
  <si>
    <t>Sawmill Pizza and Brew Shed</t>
  </si>
  <si>
    <t>Timber Tap LLC</t>
  </si>
  <si>
    <t>Kimberly</t>
  </si>
  <si>
    <t>Yegua Creek Brewery</t>
  </si>
  <si>
    <t>McDade</t>
  </si>
  <si>
    <t>GlendAlehouse Brewery</t>
  </si>
  <si>
    <t>Goose River Brewing</t>
  </si>
  <si>
    <t>Half Barrel Beer Project</t>
  </si>
  <si>
    <t>La Grange Brewing Co</t>
  </si>
  <si>
    <t>La Grange</t>
  </si>
  <si>
    <t>Lake Superior Smokehouse Brewpub</t>
  </si>
  <si>
    <t>Mac's Creek Winery &amp; Brewery</t>
  </si>
  <si>
    <t>Primal Brewing Company</t>
  </si>
  <si>
    <t>Take Two Brewery</t>
  </si>
  <si>
    <t>Toddy Oaks Brewery</t>
  </si>
  <si>
    <t>Bardic Brewing &amp; Cider</t>
  </si>
  <si>
    <t>Canton Brew Works, LLC</t>
  </si>
  <si>
    <t>Daddysoda Brewing Company LLC</t>
  </si>
  <si>
    <t>Grain Creations Brewing Company, LLC</t>
  </si>
  <si>
    <t>Hello Brew Co.</t>
  </si>
  <si>
    <t>Monolith Brewing</t>
  </si>
  <si>
    <t>Parched Eagle Brewpub</t>
  </si>
  <si>
    <t>Pixeled Brewing Co.</t>
  </si>
  <si>
    <t>707 Winery and Brewery</t>
  </si>
  <si>
    <t>Big's BBQ Brewpub</t>
  </si>
  <si>
    <t>Cypress Creek Southern Ales</t>
  </si>
  <si>
    <t>Winnsboro</t>
  </si>
  <si>
    <t>Deadwood Brewery / Boston Bowl</t>
  </si>
  <si>
    <t>Flying Belgian Brewery</t>
  </si>
  <si>
    <t>Garden of Eve Farm Brewery</t>
  </si>
  <si>
    <t>Gardiner Brewing Company</t>
  </si>
  <si>
    <t>Jolly Roger Brewery</t>
  </si>
  <si>
    <t>Loyal Foe Brewing Company</t>
  </si>
  <si>
    <t>Harvard</t>
  </si>
  <si>
    <t>Rhetoric Brewing Co.</t>
  </si>
  <si>
    <t>Richwood</t>
  </si>
  <si>
    <t>Shoes &amp; Brews</t>
  </si>
  <si>
    <t>Steel City Coffeehouse &amp; Brewery</t>
  </si>
  <si>
    <t>Walter Station Brewery</t>
  </si>
  <si>
    <t>World's Most Famous Brewery</t>
  </si>
  <si>
    <t>BierHall Brewing Company</t>
  </si>
  <si>
    <t>Boston Hills Brewery</t>
  </si>
  <si>
    <t>Colden</t>
  </si>
  <si>
    <t>Drink Me Brewing</t>
  </si>
  <si>
    <t>Sibley</t>
  </si>
  <si>
    <t>DTSJ Brewing Co</t>
  </si>
  <si>
    <t>Foggy Noggin Brewing</t>
  </si>
  <si>
    <t>Bothell</t>
  </si>
  <si>
    <t>Idaho Farmhouse Ales</t>
  </si>
  <si>
    <t>Shelley</t>
  </si>
  <si>
    <t>KBC Beer</t>
  </si>
  <si>
    <t>Mayfield</t>
  </si>
  <si>
    <t>Ravenswing Farm</t>
  </si>
  <si>
    <t>Jordan</t>
  </si>
  <si>
    <t>San Gabriel River Brewery Inc</t>
  </si>
  <si>
    <t>SLIEVE BREWING COMPANY</t>
  </si>
  <si>
    <t>Sour Cellars</t>
  </si>
  <si>
    <t>Ullsperger Brewing</t>
  </si>
  <si>
    <t>St. Louis Park</t>
  </si>
  <si>
    <t>Brigadoon Brewery &amp; Brew School</t>
  </si>
  <si>
    <t>Plantersville</t>
  </si>
  <si>
    <t>Depot Deli and Lounge</t>
  </si>
  <si>
    <t>Shenandoah</t>
  </si>
  <si>
    <t>Erosion</t>
  </si>
  <si>
    <t>Hunter Mountain Brewery</t>
  </si>
  <si>
    <t>Hunter</t>
  </si>
  <si>
    <t>Katahdin Brew Works</t>
  </si>
  <si>
    <t>Patten</t>
  </si>
  <si>
    <t>Moonshrimp Brewing</t>
  </si>
  <si>
    <t>Pompatus Brewing</t>
  </si>
  <si>
    <t>Primitive Beer LLC</t>
  </si>
  <si>
    <t>Vine Street Brewing</t>
  </si>
  <si>
    <t>Wildbloom Beer</t>
  </si>
  <si>
    <t>Fools Fire Brewing Company</t>
  </si>
  <si>
    <t>Happy 2 Brewing Co</t>
  </si>
  <si>
    <t>Moseley</t>
  </si>
  <si>
    <t>Lake Bums BrewCo, LLC.</t>
  </si>
  <si>
    <t>Saxony Hills Brewery</t>
  </si>
  <si>
    <t>Altenburg</t>
  </si>
  <si>
    <t>Stormy Mountain Brewing Company</t>
  </si>
  <si>
    <t>Chelan</t>
  </si>
  <si>
    <t>Arbor Beer Lodge &amp; Brewery</t>
  </si>
  <si>
    <t>Art Bop Beer Co</t>
  </si>
  <si>
    <t>Talent</t>
  </si>
  <si>
    <t>Back Home Brewing Company</t>
  </si>
  <si>
    <t>Brite Eyes Brewing Co</t>
  </si>
  <si>
    <t>Burnt Marshmallow Brewing At Rudbeckia Farm</t>
  </si>
  <si>
    <t>Courthouse Brew Co</t>
  </si>
  <si>
    <t>Goofy Foot Taproom and Brewery</t>
  </si>
  <si>
    <t>Heartwork Brewing Co.</t>
  </si>
  <si>
    <t>Homegrown Public House &amp; Brewery</t>
  </si>
  <si>
    <t>MBECK, INC DBA The Dam Brewhaus</t>
  </si>
  <si>
    <t>Benton</t>
  </si>
  <si>
    <t>Mike's Pizza and Pasta</t>
  </si>
  <si>
    <t>Pallister Brothers Brewing Company</t>
  </si>
  <si>
    <t>Ottumwa</t>
  </si>
  <si>
    <t>Platte Creek Brewing</t>
  </si>
  <si>
    <t>Geddes</t>
  </si>
  <si>
    <t>Ridgewalker Brewing</t>
  </si>
  <si>
    <t>Spirit of Texas Brewstillery</t>
  </si>
  <si>
    <t>Tin Dog Brewing</t>
  </si>
  <si>
    <t>Tree City Brew Co</t>
  </si>
  <si>
    <t>Van Hassler Brewing</t>
  </si>
  <si>
    <t>Liverpool</t>
  </si>
  <si>
    <t>White Shutter Winery and Brewery</t>
  </si>
  <si>
    <t>Windy Peaks Brewery</t>
  </si>
  <si>
    <t>Wheatland</t>
  </si>
  <si>
    <t>Baum's Brauhaus</t>
  </si>
  <si>
    <t>Waltonville</t>
  </si>
  <si>
    <t>City Acre Brewing Co</t>
  </si>
  <si>
    <t>Five Sons Brewing</t>
  </si>
  <si>
    <t>Marenisco</t>
  </si>
  <si>
    <t>Four Horsemen Brewery</t>
  </si>
  <si>
    <t>Mason City Brewing, LLC</t>
  </si>
  <si>
    <t>Perfect Circle Brewing</t>
  </si>
  <si>
    <t>Redbone Magic Brewing Co LLC</t>
  </si>
  <si>
    <t>Small Pockets Farm</t>
  </si>
  <si>
    <t>Top Frog Brewery</t>
  </si>
  <si>
    <t>Wico Street Beer Company</t>
  </si>
  <si>
    <t>BRAMS Beer</t>
  </si>
  <si>
    <t>Bray's Smokehouse</t>
  </si>
  <si>
    <t>Kingsville</t>
  </si>
  <si>
    <t>Funky Hop Brewing</t>
  </si>
  <si>
    <t>Humble Parlor Brewing</t>
  </si>
  <si>
    <t>Integrity Brewing Company</t>
  </si>
  <si>
    <t>Jamul Brewing Co.</t>
  </si>
  <si>
    <t>Jamul</t>
  </si>
  <si>
    <t>Kerrville Brewing Company</t>
  </si>
  <si>
    <t>Prof-Hos Inc  DBA One 19 Kitchen &amp; Brewery</t>
  </si>
  <si>
    <t>Dickson</t>
  </si>
  <si>
    <t>Sandpiper Brewing Company</t>
  </si>
  <si>
    <t>Holly Ridge</t>
  </si>
  <si>
    <t>Shapeshifters Cinema and Brewery</t>
  </si>
  <si>
    <t>Side Hustle Brew Co.</t>
  </si>
  <si>
    <t>Studly Brewing Company</t>
  </si>
  <si>
    <t>The Pine Lake Brewing Company</t>
  </si>
  <si>
    <t>Tortured Souls Brewing</t>
  </si>
  <si>
    <t>TrustedGut LLC</t>
  </si>
  <si>
    <t>Twisted Oak Tavern and Brewery</t>
  </si>
  <si>
    <t>Camarillo</t>
  </si>
  <si>
    <t>World's End Brewpub</t>
  </si>
  <si>
    <t>Grand Lake</t>
  </si>
  <si>
    <t>Arrogant Goat Brewing</t>
  </si>
  <si>
    <t>Bucyrus</t>
  </si>
  <si>
    <t>Bayheads Brewing Company</t>
  </si>
  <si>
    <t>Chesapeake City</t>
  </si>
  <si>
    <t>Little Wekiva Brewery</t>
  </si>
  <si>
    <t>Lone Mountain Farms</t>
  </si>
  <si>
    <t>Athol</t>
  </si>
  <si>
    <t>Paramour Brewing Company</t>
  </si>
  <si>
    <t>spokane</t>
  </si>
  <si>
    <t>Sawdust and Steel Brewing</t>
  </si>
  <si>
    <t>Three Forks</t>
  </si>
  <si>
    <t>The Brewery At Maple View Farm</t>
  </si>
  <si>
    <t>Wildland Cooperative</t>
  </si>
  <si>
    <t>Colbert</t>
  </si>
  <si>
    <t>Backcountry Winery &amp; Brewery</t>
  </si>
  <si>
    <t>Bear Vine Winery</t>
  </si>
  <si>
    <t>Ridgeway</t>
  </si>
  <si>
    <t>Benton County Brewing Company</t>
  </si>
  <si>
    <t>Port Huron</t>
  </si>
  <si>
    <t>Gakona Brewing Company</t>
  </si>
  <si>
    <t>Gakona</t>
  </si>
  <si>
    <t>John Emerald Distilling Company</t>
  </si>
  <si>
    <t>Jubilee Farm Fermentations</t>
  </si>
  <si>
    <t>Leonardtown</t>
  </si>
  <si>
    <t>Liquid Note Brewing</t>
  </si>
  <si>
    <t>Otsego</t>
  </si>
  <si>
    <t>MT Bottle Brewing Company</t>
  </si>
  <si>
    <t>Sauk City</t>
  </si>
  <si>
    <t>New Denmark Brewing</t>
  </si>
  <si>
    <t>Denmark</t>
  </si>
  <si>
    <t>Oversoul Brewing</t>
  </si>
  <si>
    <t>Red Foot Brewing Co/ The Red Yeti</t>
  </si>
  <si>
    <t>Red Leaf Gluten-Free Brewing</t>
  </si>
  <si>
    <t>Smithville Brewing Company</t>
  </si>
  <si>
    <t>Smithville</t>
  </si>
  <si>
    <t>36 Fifty Brewing</t>
  </si>
  <si>
    <t>38°-75° Brewing</t>
  </si>
  <si>
    <t>Bluff Brothers Brewing</t>
  </si>
  <si>
    <t>Brew D'Etat, LLC</t>
  </si>
  <si>
    <t>BrewBakers Brewery</t>
  </si>
  <si>
    <t>Creekside Brewing Company</t>
  </si>
  <si>
    <t>Duality Brewing Co.</t>
  </si>
  <si>
    <t>Freeport Brewing Co</t>
  </si>
  <si>
    <t>Langhorne Brewing Co</t>
  </si>
  <si>
    <t>Lost Planet Brewing Company</t>
  </si>
  <si>
    <t>Mac's Brew Tavern</t>
  </si>
  <si>
    <t>East Meredith</t>
  </si>
  <si>
    <t>Obscure Oscillation Brewing Company</t>
  </si>
  <si>
    <t>Red Hawk Brewing</t>
  </si>
  <si>
    <t>RoughWoods Inn and Cafe &amp; Microbrewery</t>
  </si>
  <si>
    <t>Nenana</t>
  </si>
  <si>
    <t>Saltbox Brewery</t>
  </si>
  <si>
    <t>The Plains Brew Co</t>
  </si>
  <si>
    <t>Three Mile</t>
  </si>
  <si>
    <t>Grangeville</t>
  </si>
  <si>
    <t>Uncle Bob's Brew Pub</t>
  </si>
  <si>
    <t>Nixa</t>
  </si>
  <si>
    <t>10th District Brewing Company</t>
  </si>
  <si>
    <t>Abington</t>
  </si>
  <si>
    <t>Auld Brewing Company</t>
  </si>
  <si>
    <t>Borger</t>
  </si>
  <si>
    <t>Center Pivot Brewery</t>
  </si>
  <si>
    <t>Quinter</t>
  </si>
  <si>
    <t>Cursed Brewing</t>
  </si>
  <si>
    <t>Deb's Brewtopia</t>
  </si>
  <si>
    <t>Elkader</t>
  </si>
  <si>
    <t>Relative Risk Brewing Company</t>
  </si>
  <si>
    <t>Woodstacker Beer Company</t>
  </si>
  <si>
    <t>3 North Lexington</t>
  </si>
  <si>
    <t>Becker Brewing Co. &amp; Vizcarra Vineyards</t>
  </si>
  <si>
    <t>Gasport</t>
  </si>
  <si>
    <t>Black Gold Brewing Co</t>
  </si>
  <si>
    <t>Taft</t>
  </si>
  <si>
    <t>Frosty Bottom Brewing</t>
  </si>
  <si>
    <t>Gateway Craft Brewing</t>
  </si>
  <si>
    <t>Gold Hill Brewery</t>
  </si>
  <si>
    <t>Placerville</t>
  </si>
  <si>
    <t>Grayview Brewing Company</t>
  </si>
  <si>
    <t>Heart of the North Brewing Co</t>
  </si>
  <si>
    <t>Ladysmith</t>
  </si>
  <si>
    <t>Javelina Watering Hole Brewing Co.</t>
  </si>
  <si>
    <t>Lass Haus Ales</t>
  </si>
  <si>
    <t>Nor Cal Brewing Co</t>
  </si>
  <si>
    <t>Nova Brewing Company</t>
  </si>
  <si>
    <t>Solaris Beer &amp; Blending</t>
  </si>
  <si>
    <t>The Dancing Fox</t>
  </si>
  <si>
    <t>TLC Brew Works</t>
  </si>
  <si>
    <t>Holy Cross</t>
  </si>
  <si>
    <t>TripEnd Brewing LLC</t>
  </si>
  <si>
    <t>Troupsburg</t>
  </si>
  <si>
    <t>Urban Consequence Brewing Company</t>
  </si>
  <si>
    <t>Willow Creek Brewing</t>
  </si>
  <si>
    <t>Drawing Board Brewing Company</t>
  </si>
  <si>
    <t>Exeter Brewing Co.</t>
  </si>
  <si>
    <t>Rio Brewing Co</t>
  </si>
  <si>
    <t>Roma</t>
  </si>
  <si>
    <t>Basement Brewers of Texas</t>
  </si>
  <si>
    <t>Bordeleau Vineyards &amp; Winery</t>
  </si>
  <si>
    <t>Eden</t>
  </si>
  <si>
    <t>Brewerks</t>
  </si>
  <si>
    <t>Burt Lake Brewery / Seasons of the North Winery</t>
  </si>
  <si>
    <t>Alanson</t>
  </si>
  <si>
    <t>Epoca Brewing</t>
  </si>
  <si>
    <t>Hidden Stories Brewing Company</t>
  </si>
  <si>
    <t>Millerstown</t>
  </si>
  <si>
    <t>Neoteric Brewing Company</t>
  </si>
  <si>
    <t>Seven Jars Products</t>
  </si>
  <si>
    <t>Backacre Beermakers</t>
  </si>
  <si>
    <t>Bad Martha Farmer's Brewery</t>
  </si>
  <si>
    <t>East Falmouth</t>
  </si>
  <si>
    <t>Lazy Loon Brewing Company, LLC</t>
  </si>
  <si>
    <t>Glencoe</t>
  </si>
  <si>
    <t>Polyculture Brewing Company</t>
  </si>
  <si>
    <t>Croydon</t>
  </si>
  <si>
    <t>Whitinsville</t>
  </si>
  <si>
    <t>Rustic Brew</t>
  </si>
  <si>
    <t>Wheat Head Brewing Co</t>
  </si>
  <si>
    <t>192 Brewing</t>
  </si>
  <si>
    <t>Appalachian Sun Brewery</t>
  </si>
  <si>
    <t>Elizabethton</t>
  </si>
  <si>
    <t>Bryant's Brewing</t>
  </si>
  <si>
    <t>Hartland</t>
  </si>
  <si>
    <t>Fall Street Brewing</t>
  </si>
  <si>
    <t>Seneca Falls</t>
  </si>
  <si>
    <t>Floodwater Brewing Co</t>
  </si>
  <si>
    <t>Shelburne Falls</t>
  </si>
  <si>
    <t>Just Plain Wrong Brewing</t>
  </si>
  <si>
    <t>Skep Brewing Company</t>
  </si>
  <si>
    <t>Tattooed Dad Brewing Co</t>
  </si>
  <si>
    <t>5150 Brewery At The Brass Tap Rocklin</t>
  </si>
  <si>
    <t>Boulder Social</t>
  </si>
  <si>
    <t>Charlie's Steak, Ribs &amp; Ale</t>
  </si>
  <si>
    <t>Eureka Peak Brewing Co</t>
  </si>
  <si>
    <t>Portola</t>
  </si>
  <si>
    <t>Ivanhoe Aleworks</t>
  </si>
  <si>
    <t>Manatawny Creek Brewery</t>
  </si>
  <si>
    <t>McZ's Brew Pub</t>
  </si>
  <si>
    <t>Rosholt</t>
  </si>
  <si>
    <t>Outlook Farm Brewery</t>
  </si>
  <si>
    <t>Westhampton</t>
  </si>
  <si>
    <t>Rose Garage Brewing &amp; Taps</t>
  </si>
  <si>
    <t>Rosalia</t>
  </si>
  <si>
    <t>Speakeasy 41 Brewing Co</t>
  </si>
  <si>
    <t>Sun Brewing Co.</t>
  </si>
  <si>
    <t>Canutillo</t>
  </si>
  <si>
    <t>Tecopa Brewing Company</t>
  </si>
  <si>
    <t>Vermilionville BrewHouse</t>
  </si>
  <si>
    <t>Waganupa Brewing</t>
  </si>
  <si>
    <t>Lake Almanor</t>
  </si>
  <si>
    <t>BDSM Brewing Company</t>
  </si>
  <si>
    <t>Bulzomi Brewing Co</t>
  </si>
  <si>
    <t>Fathom &amp; League Hop Yard Brewery</t>
  </si>
  <si>
    <t>Sequim</t>
  </si>
  <si>
    <t>Geartooth AleWerks</t>
  </si>
  <si>
    <t>Hare In the Forest</t>
  </si>
  <si>
    <t>Potter Valley</t>
  </si>
  <si>
    <t>Irish Brewing</t>
  </si>
  <si>
    <t>Jilbert Winery &amp; Brewery</t>
  </si>
  <si>
    <t>Lost Art Taproom</t>
  </si>
  <si>
    <t>Knob Noster</t>
  </si>
  <si>
    <t>New Maitland Brewing</t>
  </si>
  <si>
    <t>Precious Things Fermentation Project</t>
  </si>
  <si>
    <t>Superior Culture</t>
  </si>
  <si>
    <t>TAQ BREWING</t>
  </si>
  <si>
    <t>Kaukauna</t>
  </si>
  <si>
    <t>Tarnished Hollow Brewing Co.</t>
  </si>
  <si>
    <t>The Blind Boar Brewery</t>
  </si>
  <si>
    <t>Utopia</t>
  </si>
  <si>
    <t>Brewscape Beer Co.</t>
  </si>
  <si>
    <t>Double Arrow Brewing LLC</t>
  </si>
  <si>
    <t>Edg-Clif Vineyard, Winery, Brewery</t>
  </si>
  <si>
    <t>Fetch Brew Co</t>
  </si>
  <si>
    <t>BELCHERTOWN</t>
  </si>
  <si>
    <t>Funhouse Brews</t>
  </si>
  <si>
    <t>Jaden James Brewery @ The Cascade Winery</t>
  </si>
  <si>
    <t>Missouri Ridge Distillery &amp; Brewery LLC</t>
  </si>
  <si>
    <t>North of the Bayou</t>
  </si>
  <si>
    <t>Shade Tree Brewing</t>
  </si>
  <si>
    <t>Smoke Mountain Brewery</t>
  </si>
  <si>
    <t>Taps and Apps</t>
  </si>
  <si>
    <t>Mililani</t>
  </si>
  <si>
    <t>Triple R Brewing</t>
  </si>
  <si>
    <t>Unhinged Brewing</t>
  </si>
  <si>
    <t>War &amp; Leisure Brewing</t>
  </si>
  <si>
    <t>Bad Batch Brewing Company</t>
  </si>
  <si>
    <t>Corner Pub</t>
  </si>
  <si>
    <t>Reedsburg</t>
  </si>
  <si>
    <t>Jaquval Brewing Co. &amp; Gastropub</t>
  </si>
  <si>
    <t>Lake Hill Brewing</t>
  </si>
  <si>
    <t>Stoneboro</t>
  </si>
  <si>
    <t>Lost Tourist Brewing</t>
  </si>
  <si>
    <t>Meriden</t>
  </si>
  <si>
    <t>Mel's Micro</t>
  </si>
  <si>
    <t>Richland Center</t>
  </si>
  <si>
    <t>Niles Brewing Company</t>
  </si>
  <si>
    <t>Radix Fermentation</t>
  </si>
  <si>
    <t>Raven's Breath Brewery</t>
  </si>
  <si>
    <t>Iron River</t>
  </si>
  <si>
    <t>Wandering Star Brewing Co</t>
  </si>
  <si>
    <t>701 BC Venue &amp; Brewery</t>
  </si>
  <si>
    <t>Bar D Brewhouse</t>
  </si>
  <si>
    <t>San Saba</t>
  </si>
  <si>
    <t>Chateau De Pique Winery &amp; Brewery</t>
  </si>
  <si>
    <t>Enchantment Brewing</t>
  </si>
  <si>
    <t>Griffin Hill Farm Brewery</t>
  </si>
  <si>
    <t>King David’s Brewing Company</t>
  </si>
  <si>
    <t>Poplar Bluff</t>
  </si>
  <si>
    <t>King Jugg Brewing Compnay</t>
  </si>
  <si>
    <t>Mashtun Brewing</t>
  </si>
  <si>
    <t>No Name Brewing Company</t>
  </si>
  <si>
    <t>Oakfire Pizza and Brewing</t>
  </si>
  <si>
    <t>Origin Brewer</t>
  </si>
  <si>
    <t>Patriot Brewery and Homebrew Supply</t>
  </si>
  <si>
    <t>Shellback Brewing</t>
  </si>
  <si>
    <t>KENNEWICK</t>
  </si>
  <si>
    <t>University Of New Hampshire Brewery</t>
  </si>
  <si>
    <t>Blind Satyr Brewery</t>
  </si>
  <si>
    <t>Danelion Brewery</t>
  </si>
  <si>
    <t>Melba</t>
  </si>
  <si>
    <t>Fern Bar</t>
  </si>
  <si>
    <t>Ms. Beer Haven, LLC</t>
  </si>
  <si>
    <t>Old Texas Brewing Co</t>
  </si>
  <si>
    <t>Burleson</t>
  </si>
  <si>
    <t>Pismo Brewing Co</t>
  </si>
  <si>
    <t>The Girls Brewery</t>
  </si>
  <si>
    <t>The Lionheart Pub</t>
  </si>
  <si>
    <t>The Mill At Glen Ellen</t>
  </si>
  <si>
    <t>Glen Ellen</t>
  </si>
  <si>
    <t>TWK Brewery</t>
  </si>
  <si>
    <t>Willow Creek Farm Brewery</t>
  </si>
  <si>
    <t>Blue Holler Brewery</t>
  </si>
  <si>
    <t>Blue Jay Brewing Company</t>
  </si>
  <si>
    <t>St. Louis</t>
  </si>
  <si>
    <t>Bog's Edge Brewing</t>
  </si>
  <si>
    <t>Warrens</t>
  </si>
  <si>
    <t>Busch Family Brewing and Distilling, LLC</t>
  </si>
  <si>
    <t>Cardinal Craft Brewing Academy/ Skagit Valley College</t>
  </si>
  <si>
    <t>Carey's Brew House</t>
  </si>
  <si>
    <t>Cerveza Zolupez Beer Co.</t>
  </si>
  <si>
    <t>Courthouse Creek Cider</t>
  </si>
  <si>
    <t>Maidens</t>
  </si>
  <si>
    <t>Crown Winery</t>
  </si>
  <si>
    <t>Drop Tine Winery and Tap House</t>
  </si>
  <si>
    <t>Montpelier</t>
  </si>
  <si>
    <t>Fireside Craft Burgers and Brews</t>
  </si>
  <si>
    <t>Greenhouse Aleworks</t>
  </si>
  <si>
    <t>Hammergod Brewing Company</t>
  </si>
  <si>
    <t>Historic New Castle</t>
  </si>
  <si>
    <t>Holyoke Craft Beer</t>
  </si>
  <si>
    <t>Holyoke</t>
  </si>
  <si>
    <t>Mash Cult Brewing</t>
  </si>
  <si>
    <t>New Ventures Brewing</t>
  </si>
  <si>
    <t>Piedra Blanca Brewing Company</t>
  </si>
  <si>
    <t>White Rock</t>
  </si>
  <si>
    <t>Sandhill Crane Vineyards</t>
  </si>
  <si>
    <t>Tall Pines Beer And Wine Garden</t>
  </si>
  <si>
    <t>Westcave Cellars Winery &amp; Brewery</t>
  </si>
  <si>
    <t>Bosque River Taphouse</t>
  </si>
  <si>
    <t>Stephenville</t>
  </si>
  <si>
    <t>Compass Brewing PDX</t>
  </si>
  <si>
    <t>MI Brewery / Kayla Rae Cellars</t>
  </si>
  <si>
    <t>Nebuleus Beer</t>
  </si>
  <si>
    <t>RAK Brewing</t>
  </si>
  <si>
    <t>Up North Brewing Company</t>
  </si>
  <si>
    <t>Nekoosa</t>
  </si>
  <si>
    <t>Brouwerij DuBois</t>
  </si>
  <si>
    <t>Charlton Beer Company</t>
  </si>
  <si>
    <t>Crossed Arrows Brewery</t>
  </si>
  <si>
    <t>Floodstage Ale Works</t>
  </si>
  <si>
    <t>GFB Scottish Pub</t>
  </si>
  <si>
    <t>Old Orchard Beach</t>
  </si>
  <si>
    <t>Hanging Horseshoe Brewing Company</t>
  </si>
  <si>
    <t>Imperial</t>
  </si>
  <si>
    <t>Lillard and Daughters Farms</t>
  </si>
  <si>
    <t>Stoneman Brewery</t>
  </si>
  <si>
    <t>Colrain</t>
  </si>
  <si>
    <t>Aletruism Brewing/Oregon Public House</t>
  </si>
  <si>
    <t>Bad Jimmy's Brewing Co</t>
  </si>
  <si>
    <t>Black Fire Winery</t>
  </si>
  <si>
    <t>BridgeWay Brewing Co</t>
  </si>
  <si>
    <t>Mauldin</t>
  </si>
  <si>
    <t>Fountain Hill Brewery</t>
  </si>
  <si>
    <t>Hairy Beast Brewing</t>
  </si>
  <si>
    <t>Hillbilly Brewing Company</t>
  </si>
  <si>
    <t>Outlaw's BBQ &amp; Brew</t>
  </si>
  <si>
    <t>Sour Not Sorry Brewing</t>
  </si>
  <si>
    <t>Wild Oak Project</t>
  </si>
  <si>
    <t>Barley &amp; Board</t>
  </si>
  <si>
    <t>Box Canyon Brewing Company</t>
  </si>
  <si>
    <t>Socorro</t>
  </si>
  <si>
    <t>Bramling Cross Brewing</t>
  </si>
  <si>
    <t>Lunenburg</t>
  </si>
  <si>
    <t>Croakers Brewing Company</t>
  </si>
  <si>
    <t>New castle</t>
  </si>
  <si>
    <t>Exit 6 Brewery</t>
  </si>
  <si>
    <t>Feathered Serpent Brewery llc</t>
  </si>
  <si>
    <t>La Puente</t>
  </si>
  <si>
    <t>Goose Port Public House</t>
  </si>
  <si>
    <t>Green Room Burgers &amp; Beer</t>
  </si>
  <si>
    <t>Haynie's Corner Brewing Co.</t>
  </si>
  <si>
    <t>Llano Beer Company</t>
  </si>
  <si>
    <t>Llano</t>
  </si>
  <si>
    <t>Pinups &amp; Pints</t>
  </si>
  <si>
    <t>Medway</t>
  </si>
  <si>
    <t>Schoolcraft Brewery</t>
  </si>
  <si>
    <t>Swover Creek Farms Farm Brewery</t>
  </si>
  <si>
    <t>EDINBURG</t>
  </si>
  <si>
    <t>Taneum Creek Brewing</t>
  </si>
  <si>
    <t>The Russell House Restaurant Inn Brewery</t>
  </si>
  <si>
    <t>Transplant City Beer Co</t>
  </si>
  <si>
    <t>Litchfield Park</t>
  </si>
  <si>
    <t>Vision Brewing Company</t>
  </si>
  <si>
    <t>52 West Brewing</t>
  </si>
  <si>
    <t>Big Water Brewery</t>
  </si>
  <si>
    <t>ELK POND Craft Ales, LLC</t>
  </si>
  <si>
    <t>Freedom Street Brewing</t>
  </si>
  <si>
    <t>Erving</t>
  </si>
  <si>
    <t>Hungry Hollow Brewing Company</t>
  </si>
  <si>
    <t>Cassville</t>
  </si>
  <si>
    <t>Iron Kettle Brewing</t>
  </si>
  <si>
    <t>Jack Russell's Steakhouse and Brewery / Maine Coast Brewing Co.</t>
  </si>
  <si>
    <t>Bar Harbor</t>
  </si>
  <si>
    <t>Popple River Brewing</t>
  </si>
  <si>
    <t>Argonne</t>
  </si>
  <si>
    <t>Two Shrew Brewery/Yachats Underground Pub &amp; Grub</t>
  </si>
  <si>
    <t>American Brewers Inc</t>
  </si>
  <si>
    <t>Gruhlke's Microbrewery / Bias Vineyards</t>
  </si>
  <si>
    <t>Berger</t>
  </si>
  <si>
    <t>Half Wall Brewery</t>
  </si>
  <si>
    <t>Intuition Brewery</t>
  </si>
  <si>
    <t>Junto Wine</t>
  </si>
  <si>
    <t>M. Crow &amp; Company</t>
  </si>
  <si>
    <t>Lostine</t>
  </si>
  <si>
    <t>Patent 139 Brewing Co.</t>
  </si>
  <si>
    <t>Sheep Mountain Brewery</t>
  </si>
  <si>
    <t>Arlington Club</t>
  </si>
  <si>
    <t>Brack's Backyard</t>
  </si>
  <si>
    <t>Brick House</t>
  </si>
  <si>
    <t>Cole Street Brewery</t>
  </si>
  <si>
    <t>Down Range Brewery</t>
  </si>
  <si>
    <t>EB Coffee and Pub</t>
  </si>
  <si>
    <t>Gerald Turner Brewery</t>
  </si>
  <si>
    <t>Rockabilly Brewing</t>
  </si>
  <si>
    <t>Hutto</t>
  </si>
  <si>
    <t>Argonne Rose Brewing Company</t>
  </si>
  <si>
    <t>Mohegan Lake</t>
  </si>
  <si>
    <t>Big Cherry Brewing Company</t>
  </si>
  <si>
    <t>Big Stone Gap</t>
  </si>
  <si>
    <t>Doctor's Island Brewing Company</t>
  </si>
  <si>
    <t>Hull</t>
  </si>
  <si>
    <t>Eckert Malting and Brewing Co</t>
  </si>
  <si>
    <t>Heavenly Vineyards</t>
  </si>
  <si>
    <t>Morley</t>
  </si>
  <si>
    <t>Merrimack Ales</t>
  </si>
  <si>
    <t>Milepost Brewing</t>
  </si>
  <si>
    <t>Cashmere</t>
  </si>
  <si>
    <t>Mosaic Brewing</t>
  </si>
  <si>
    <t>Mystic River Chocolate Cafe</t>
  </si>
  <si>
    <t>Tapped 33 Craft Brewery</t>
  </si>
  <si>
    <t>Vander Mill</t>
  </si>
  <si>
    <t>Villains Brewing Co</t>
  </si>
  <si>
    <t>What'cha Brewing</t>
  </si>
  <si>
    <t>Company</t>
  </si>
  <si>
    <t>2020</t>
  </si>
  <si>
    <t>2021</t>
  </si>
  <si>
    <t>2022</t>
  </si>
  <si>
    <t>2023</t>
  </si>
  <si>
    <t>2021%</t>
  </si>
  <si>
    <t>2022%</t>
  </si>
  <si>
    <t>2023%</t>
  </si>
  <si>
    <t>FIFCO USA</t>
  </si>
  <si>
    <t>NY</t>
  </si>
  <si>
    <t>Magic Hat</t>
  </si>
  <si>
    <t>VT</t>
  </si>
  <si>
    <t>Pyramid</t>
  </si>
  <si>
    <t>WA</t>
  </si>
  <si>
    <t>Heineken</t>
  </si>
  <si>
    <t>Lagunitas Brewing Co</t>
  </si>
  <si>
    <t>CA</t>
  </si>
  <si>
    <t>Funky Buddha Brewery</t>
  </si>
  <si>
    <t>FL</t>
  </si>
  <si>
    <t>TX</t>
  </si>
  <si>
    <t>Mahou San Miguel</t>
  </si>
  <si>
    <t>Founders Brewing Co</t>
  </si>
  <si>
    <t>MI</t>
  </si>
  <si>
    <t>Avery Brewing Co</t>
  </si>
  <si>
    <t>CO</t>
  </si>
  <si>
    <t>Goose Island</t>
  </si>
  <si>
    <t>IL</t>
  </si>
  <si>
    <t>Elysian</t>
  </si>
  <si>
    <t>Four Peaks Brewing Co</t>
  </si>
  <si>
    <t>AZ</t>
  </si>
  <si>
    <t>Golden Road Brewing</t>
  </si>
  <si>
    <t>Devil's Backbone</t>
  </si>
  <si>
    <t>VA</t>
  </si>
  <si>
    <t>Karbach Brewing</t>
  </si>
  <si>
    <t>Wicked Weed</t>
  </si>
  <si>
    <t>NC</t>
  </si>
  <si>
    <t>Platform Brewing Co</t>
  </si>
  <si>
    <t>OH</t>
  </si>
  <si>
    <t>OR</t>
  </si>
  <si>
    <t>Kirin/Lion Little World Beverages</t>
  </si>
  <si>
    <t>New Belgium</t>
  </si>
  <si>
    <t>Bell's Brewing Co</t>
  </si>
  <si>
    <t>Blue Moon</t>
  </si>
  <si>
    <t>National</t>
  </si>
  <si>
    <t>Leinenkugel</t>
  </si>
  <si>
    <t>WI</t>
  </si>
  <si>
    <t>GA</t>
  </si>
  <si>
    <t>Rank</t>
  </si>
  <si>
    <t xml:space="preserve"> </t>
  </si>
  <si>
    <t>2023 Craft Barrels</t>
  </si>
  <si>
    <t>2022 Craft Barrels</t>
  </si>
  <si>
    <t>2021 Craft Barrels</t>
  </si>
  <si>
    <t>2020 Craft Barrels</t>
  </si>
  <si>
    <t>2019 Craft Barrels</t>
  </si>
  <si>
    <t>2018 Craft Barrels</t>
  </si>
  <si>
    <t>2017 Craft Barrels</t>
  </si>
  <si>
    <t>2016 Craft Barrels</t>
  </si>
  <si>
    <t>2015 Craft Barrels</t>
  </si>
  <si>
    <t>2014 Craft Barrels</t>
  </si>
  <si>
    <t>2013 Craft Barrels</t>
  </si>
  <si>
    <t>2012 Craft Barrels</t>
  </si>
  <si>
    <t>2011 Craft Barrels</t>
  </si>
  <si>
    <t>Gallons Produced /21+ Adult</t>
  </si>
  <si>
    <t>Total</t>
  </si>
  <si>
    <t>NOTE: when known, contract production applied to state where the brewing happened; Does not include overseas production where able to separate.</t>
  </si>
  <si>
    <t>Historical state data may not always be comparable due to definition and data set changes. In 2022 this is most notable for Michigan production.</t>
  </si>
  <si>
    <t>Abbrev.</t>
  </si>
  <si>
    <t>21 + Population</t>
  </si>
  <si>
    <t>Craft Breweries/ 100,000 21+ Adults</t>
  </si>
  <si>
    <t>Craft Breweries/ Capita Rank</t>
  </si>
  <si>
    <t>Total Breweries</t>
  </si>
  <si>
    <t>Total Breweries/ 100,000 21+ Adults</t>
  </si>
  <si>
    <t>Total Breweries/ Capita Rank</t>
  </si>
  <si>
    <t>AL</t>
  </si>
  <si>
    <t>AK</t>
  </si>
  <si>
    <t>AR</t>
  </si>
  <si>
    <t>CT</t>
  </si>
  <si>
    <t>DE</t>
  </si>
  <si>
    <t>DC</t>
  </si>
  <si>
    <t>HI</t>
  </si>
  <si>
    <t>ID</t>
  </si>
  <si>
    <t>IN</t>
  </si>
  <si>
    <t>IA</t>
  </si>
  <si>
    <t>KS</t>
  </si>
  <si>
    <t>KY</t>
  </si>
  <si>
    <t>LA</t>
  </si>
  <si>
    <t>ME</t>
  </si>
  <si>
    <t>MD</t>
  </si>
  <si>
    <t>MA</t>
  </si>
  <si>
    <t>MN</t>
  </si>
  <si>
    <t>MS</t>
  </si>
  <si>
    <t>MO</t>
  </si>
  <si>
    <t>MT</t>
  </si>
  <si>
    <t>NE</t>
  </si>
  <si>
    <t>NV</t>
  </si>
  <si>
    <t>NH</t>
  </si>
  <si>
    <t>NJ</t>
  </si>
  <si>
    <t>NM</t>
  </si>
  <si>
    <t>ND</t>
  </si>
  <si>
    <t>OK</t>
  </si>
  <si>
    <t>PA</t>
  </si>
  <si>
    <t>RI</t>
  </si>
  <si>
    <t>SC</t>
  </si>
  <si>
    <t>SD</t>
  </si>
  <si>
    <t>TN</t>
  </si>
  <si>
    <t>UT</t>
  </si>
  <si>
    <t>WV</t>
  </si>
  <si>
    <t>WY</t>
  </si>
  <si>
    <t>21+ Ratio</t>
  </si>
  <si>
    <t>21+ Adults</t>
  </si>
  <si>
    <t>Count reflects active TTB licenses and does not reflect active breweries selling in the marketplace</t>
  </si>
  <si>
    <t>Does not include Territories of the United States</t>
  </si>
  <si>
    <t>STATE</t>
  </si>
  <si>
    <t>COUNT</t>
  </si>
  <si>
    <t>*</t>
  </si>
  <si>
    <t xml:space="preserve">  Total</t>
  </si>
  <si>
    <t>13th Child Brewery</t>
  </si>
  <si>
    <t>14 Cannons Brewing Co</t>
  </si>
  <si>
    <t>1905 Brewing Company</t>
  </si>
  <si>
    <t>2 Way Brewing Company</t>
  </si>
  <si>
    <t>3 Gatos Brewery</t>
  </si>
  <si>
    <t>3rd Turn Brewing</t>
  </si>
  <si>
    <t>603 Brewery</t>
  </si>
  <si>
    <t>7 Dogs Brewpub</t>
  </si>
  <si>
    <t>7 Hamlets Brewing Company</t>
  </si>
  <si>
    <t>A Few Old Goats Brewing</t>
  </si>
  <si>
    <t>Accomplice Beer Company</t>
  </si>
  <si>
    <t>Adesanya Mead &amp; Microbrewery</t>
  </si>
  <si>
    <t>Ahnapee Brewery</t>
  </si>
  <si>
    <t>Alesatian Brewing Co.</t>
  </si>
  <si>
    <t>Almanac Beer Company</t>
  </si>
  <si>
    <t>Aloha Beer</t>
  </si>
  <si>
    <t>Alpha Acid Brewing Co</t>
  </si>
  <si>
    <t>Altered State Brewing Company</t>
  </si>
  <si>
    <t>Alvarium Beer Company</t>
  </si>
  <si>
    <t>Amery Ale Works</t>
  </si>
  <si>
    <t>Ancient City Brewing Company</t>
  </si>
  <si>
    <t>Anderson Valley Brewing Co</t>
  </si>
  <si>
    <t>Angry Erik Brewing</t>
  </si>
  <si>
    <t>Antifragile Brewing Co.</t>
  </si>
  <si>
    <t>Apocalypse Brew Works</t>
  </si>
  <si>
    <t>Around The Horn Brewing Company</t>
  </si>
  <si>
    <t>Ashton Brewing Company</t>
  </si>
  <si>
    <t>Aspetuck Brew Lab</t>
  </si>
  <si>
    <t>Ass Clown Brewing Co</t>
  </si>
  <si>
    <t>Atlantic Brewing Company</t>
  </si>
  <si>
    <t>Atmosphere Brewery</t>
  </si>
  <si>
    <t>Attaboy Beer</t>
  </si>
  <si>
    <t>Atypical Brewery &amp; Barrelworks</t>
  </si>
  <si>
    <t>Austin Street Brewery</t>
  </si>
  <si>
    <t>Autumn Arch Beer Project</t>
  </si>
  <si>
    <t>Backside Brewing Co</t>
  </si>
  <si>
    <t>Bad Idea Brewing</t>
  </si>
  <si>
    <t>Badass Brews</t>
  </si>
  <si>
    <t>Bald Man Brewing Company</t>
  </si>
  <si>
    <t>Bale Breaker Brewing Company</t>
  </si>
  <si>
    <t>Barebottle Brewing Company</t>
  </si>
  <si>
    <t>Barley Creek Brewing Co</t>
  </si>
  <si>
    <t>Barleycorn’s Brewhouse</t>
  </si>
  <si>
    <t>Barquentine Brewing Company</t>
  </si>
  <si>
    <t>Barrel and Stave Brewing</t>
  </si>
  <si>
    <t>Barrel Head Brewhouse</t>
  </si>
  <si>
    <t>Barrel of Monks Brewing</t>
  </si>
  <si>
    <t>Barrique Brewing and Blending</t>
  </si>
  <si>
    <t>Battle Hill Brewing Company</t>
  </si>
  <si>
    <t>Battlefield Brew Works</t>
  </si>
  <si>
    <t>Bay 13 Brewery</t>
  </si>
  <si>
    <t>Bearded Bee Brewing Company</t>
  </si>
  <si>
    <t>Bearded Owl Brewing</t>
  </si>
  <si>
    <t>Beardslee Public House</t>
  </si>
  <si>
    <t>Beaver Island Brewing Company</t>
  </si>
  <si>
    <t>Beaverhead Brewing Co</t>
  </si>
  <si>
    <t>Beer Farm</t>
  </si>
  <si>
    <t>Beer Hound Brewery</t>
  </si>
  <si>
    <t>Belford Brewing Company</t>
  </si>
  <si>
    <t>Benedictine Brewery, LLC</t>
  </si>
  <si>
    <t>Berlinetta Brewing Company</t>
  </si>
  <si>
    <t>Bevel Craft Brewing</t>
  </si>
  <si>
    <t>Big Sexy Brewing Company</t>
  </si>
  <si>
    <t>Big Thorn Farm and Brewery</t>
  </si>
  <si>
    <t>BJ's Restaurants, Inc.</t>
  </si>
  <si>
    <t>Black Hoof Brewing</t>
  </si>
  <si>
    <t>Black Plague Brewing</t>
  </si>
  <si>
    <t>Black Warrior Brewing Co.</t>
  </si>
  <si>
    <t>Blue Fire Brewing</t>
  </si>
  <si>
    <t>Blue Island Beer Co</t>
  </si>
  <si>
    <t>Blue Pit Brewing L.L.C.</t>
  </si>
  <si>
    <t>Bluejacket</t>
  </si>
  <si>
    <t>Boat Town Brewing</t>
  </si>
  <si>
    <t>Bombshell Beer Company</t>
  </si>
  <si>
    <t>Boom Island Brewing Company</t>
  </si>
  <si>
    <t>Branch &amp; Bone Artisan Ales</t>
  </si>
  <si>
    <t>Brazen Brewing</t>
  </si>
  <si>
    <t>Break Rock Brewing</t>
  </si>
  <si>
    <t>Brew Hub, LLC</t>
  </si>
  <si>
    <t>Brewery Silvaticus</t>
  </si>
  <si>
    <t>Brewyard Beer Company LLC</t>
  </si>
  <si>
    <t>Brickyard Hollow Brewing Co</t>
  </si>
  <si>
    <t>Brown Iron Brewhouse</t>
  </si>
  <si>
    <t>Brown's Brewing Co</t>
  </si>
  <si>
    <t>Buffalo Bayou Brewing Co</t>
  </si>
  <si>
    <t>Buffalo Ridge Brewing</t>
  </si>
  <si>
    <t>Buried Acorn Brewing Company</t>
  </si>
  <si>
    <t>By All Means Beer</t>
  </si>
  <si>
    <t>Byway Brewing Company</t>
  </si>
  <si>
    <t>Cabin Creek Brewing</t>
  </si>
  <si>
    <t>Camerado Brewing Co</t>
  </si>
  <si>
    <t>Capstan Bar Brewing Company</t>
  </si>
  <si>
    <t>Cascade Lakes Brewing Co</t>
  </si>
  <si>
    <t>Catskill Brewery</t>
  </si>
  <si>
    <t>Cedar Run Brewery</t>
  </si>
  <si>
    <t>Cellarest Beer Project</t>
  </si>
  <si>
    <t>Ceremony Brewing</t>
  </si>
  <si>
    <t>Chatham Brewing LLC</t>
  </si>
  <si>
    <t>Cherry Street Brewing</t>
  </si>
  <si>
    <t>Cherry Street Brewing At Northshore</t>
  </si>
  <si>
    <t>Chestnut Hill Brewing Co</t>
  </si>
  <si>
    <t>Cincinnati Beverage Company</t>
  </si>
  <si>
    <t>Coal Mine Ave Brewing Company</t>
  </si>
  <si>
    <t>Codex Brewing</t>
  </si>
  <si>
    <t>Cody Craft Brewing</t>
  </si>
  <si>
    <t>Cogstone Brewing Co</t>
  </si>
  <si>
    <t>Cold Spring Brewery</t>
  </si>
  <si>
    <t>Comanche Creek Brewing Co</t>
  </si>
  <si>
    <t>Comet Brews</t>
  </si>
  <si>
    <t>Commerce Street Brewery &amp; Hotel</t>
  </si>
  <si>
    <t>Conyngham Brewing Company</t>
  </si>
  <si>
    <t>Cooperage Brewing Co.</t>
  </si>
  <si>
    <t>Cooper's Family Brewing / Cooper's Seafood House</t>
  </si>
  <si>
    <t>CooperSmiths Pub and Brewing</t>
  </si>
  <si>
    <t>Copper Brothel Brewery</t>
  </si>
  <si>
    <t>Counter Weight Brewing Company</t>
  </si>
  <si>
    <t>Country Mud Brewery</t>
  </si>
  <si>
    <t>Craft Beverage Cooperative</t>
  </si>
  <si>
    <t>Crooked Crab Brewing Company</t>
  </si>
  <si>
    <t>Crooked Handle Brewing Co.</t>
  </si>
  <si>
    <t>Crooked Thumb Brewery</t>
  </si>
  <si>
    <t>Crossed Cannons Brewery</t>
  </si>
  <si>
    <t>Culver Beer Company</t>
  </si>
  <si>
    <t>D and G Brewing Company</t>
  </si>
  <si>
    <t>Decipher Brewing Co.</t>
  </si>
  <si>
    <t>Del Cielo Brewing Co.</t>
  </si>
  <si>
    <t>DESTIHL Brewery</t>
  </si>
  <si>
    <t>Double Groove Brewing</t>
  </si>
  <si>
    <t>Double Peak Brewing Company</t>
  </si>
  <si>
    <t>Dunedin Brewery</t>
  </si>
  <si>
    <t>Eastern Market Brewing Co</t>
  </si>
  <si>
    <t>Eastern Market Brewing Co Production</t>
  </si>
  <si>
    <t>Echo Brewing Cask and Barrel</t>
  </si>
  <si>
    <t>Eclipse Brewing</t>
  </si>
  <si>
    <t>Ecusta Brewing Co</t>
  </si>
  <si>
    <t>Eel River Brewing Co</t>
  </si>
  <si>
    <t>Elder Pine Brewing &amp; Blending Co</t>
  </si>
  <si>
    <t>Fainting Goat Brewing Company</t>
  </si>
  <si>
    <t>False Chord Brewing Co</t>
  </si>
  <si>
    <t>Fat Head's Brewery</t>
  </si>
  <si>
    <t>Feather Falls Brewing Co</t>
  </si>
  <si>
    <t>Five Dimes Brewery</t>
  </si>
  <si>
    <t>Five Suits Brewing</t>
  </si>
  <si>
    <t>Flanagan Brothers Bierworks</t>
  </si>
  <si>
    <t>Flat Fish Brewing Company</t>
  </si>
  <si>
    <t>Fleur De Lis Brew Works</t>
  </si>
  <si>
    <t>Flix Brewhouse - MAD</t>
  </si>
  <si>
    <t>Flix Brewhouse - RR</t>
  </si>
  <si>
    <t>Folklore Brewing &amp; Meadery</t>
  </si>
  <si>
    <t>Foothills Brewing</t>
  </si>
  <si>
    <t>Foremost Brewing Cooperative</t>
  </si>
  <si>
    <t>Foundation Brewing Company</t>
  </si>
  <si>
    <t>Freight Yard Brewing</t>
  </si>
  <si>
    <t>Front Page Brewing Company</t>
  </si>
  <si>
    <t>Front Pourch Brewing</t>
  </si>
  <si>
    <t>Frontier Brewing Company and Taproom</t>
  </si>
  <si>
    <t>Froth Brewing Company</t>
  </si>
  <si>
    <t>Full Fledged Brewing Company</t>
  </si>
  <si>
    <t>Full Pint Beer</t>
  </si>
  <si>
    <t>Geneseo Brewing Company</t>
  </si>
  <si>
    <t>Ghost Town Brewing</t>
  </si>
  <si>
    <t>Glenbrook Brewery</t>
  </si>
  <si>
    <t>Golden Valley Brewery and Pub</t>
  </si>
  <si>
    <t>Goldfinger Brewing Company</t>
  </si>
  <si>
    <t>Gongoozlers Brewery</t>
  </si>
  <si>
    <t>Gotahold Brewing Company</t>
  </si>
  <si>
    <t>Gratitude Brewing</t>
  </si>
  <si>
    <t>Greenwood Brewing LLC</t>
  </si>
  <si>
    <t>Griffin Claw Brewing Co</t>
  </si>
  <si>
    <t>Gun Hill Brewing Co</t>
  </si>
  <si>
    <t>Half Acre Beer Co</t>
  </si>
  <si>
    <t>Half Bushel Brewing</t>
  </si>
  <si>
    <t>Hapa's Brewing Company</t>
  </si>
  <si>
    <t>Havoc Brewing Company</t>
  </si>
  <si>
    <t>Heavy Seas Beer</t>
  </si>
  <si>
    <t>Heelpath Brewing Co.</t>
  </si>
  <si>
    <t>Hella Coastal</t>
  </si>
  <si>
    <t>Helluva Brewing Company</t>
  </si>
  <si>
    <t>High Alpine Brewing Company</t>
  </si>
  <si>
    <t>Hitchcock Brewing Company</t>
  </si>
  <si>
    <t>Hi-Wire Brewing - South Slope Specialty Brewery</t>
  </si>
  <si>
    <t>Hi-Wire Brewing Big Top Production Facility</t>
  </si>
  <si>
    <t>Hodad's Brewing Company</t>
  </si>
  <si>
    <t>HooDoo Brewing Co</t>
  </si>
  <si>
    <t>Hop Forged Brewing Company</t>
  </si>
  <si>
    <t>Hopkins Ordinary Ale Works</t>
  </si>
  <si>
    <t>Hopmeadow Brewing Company</t>
  </si>
  <si>
    <t>Hopskeller Brewing Company</t>
  </si>
  <si>
    <t>Horse Thief Hollow Brewing Co.</t>
  </si>
  <si>
    <t>Hot Plate Brewing Co.</t>
  </si>
  <si>
    <t>Ike &amp; Oak Brewing Company</t>
  </si>
  <si>
    <t>Imagine Nation Brewing</t>
  </si>
  <si>
    <t>Institution Ale Company</t>
  </si>
  <si>
    <t>Iron Goat Brewing</t>
  </si>
  <si>
    <t>Iron Monk Brewing Company</t>
  </si>
  <si>
    <t>Jack's BBQ and Brewery</t>
  </si>
  <si>
    <t>JoCo Brewing Company</t>
  </si>
  <si>
    <t>Junkyard Brewing Company</t>
  </si>
  <si>
    <t>Karl Strauss Brewing Company</t>
  </si>
  <si>
    <t>King Street Brewing Co</t>
  </si>
  <si>
    <t>Kings Brewing Company</t>
  </si>
  <si>
    <t>Kohanaiki</t>
  </si>
  <si>
    <t>Lamplighter Brewing Co.</t>
  </si>
  <si>
    <t>Lander Brewing Co</t>
  </si>
  <si>
    <t>Late Harvest Brewery</t>
  </si>
  <si>
    <t>Lawson's Finest Liquids</t>
  </si>
  <si>
    <t>Lazarus Brewing Company</t>
  </si>
  <si>
    <t>Leashless Brewing</t>
  </si>
  <si>
    <t>Lift Bridge Brewing Co.</t>
  </si>
  <si>
    <t>Lil' Squeech Brewing</t>
  </si>
  <si>
    <t>Limestone Brewers</t>
  </si>
  <si>
    <t>Lincoln Avenue Brewery</t>
  </si>
  <si>
    <t>Little Dog Brewing Co.</t>
  </si>
  <si>
    <t>Local 315 Brewing Company</t>
  </si>
  <si>
    <t>Locust Lane Craft Brewery</t>
  </si>
  <si>
    <t>LOOK Brewing Co.</t>
  </si>
  <si>
    <t>Loose Shoe Brewing Company, LLC</t>
  </si>
  <si>
    <t>Loowit Brewing</t>
  </si>
  <si>
    <t>Lost Street Brewing Company</t>
  </si>
  <si>
    <t>Low Daily</t>
  </si>
  <si>
    <t>M.I.A. Beer Co</t>
  </si>
  <si>
    <t>Mad River Brewing Co</t>
  </si>
  <si>
    <t>Maquoketa Brewing</t>
  </si>
  <si>
    <t>Marble Fox Brewing Company</t>
  </si>
  <si>
    <t>Mash Mechanix Brewing Co</t>
  </si>
  <si>
    <t>MashCraft Brewing</t>
  </si>
  <si>
    <t>Matchless Brewing</t>
  </si>
  <si>
    <t>Matchwood Brewing Company</t>
  </si>
  <si>
    <t>Midwest Ale Works</t>
  </si>
  <si>
    <t>Mill River Brewing BBQ &amp; Smokehouse</t>
  </si>
  <si>
    <t>Missing Falls Brewery</t>
  </si>
  <si>
    <t>Mission Brewery</t>
  </si>
  <si>
    <t>Moab Brewery</t>
  </si>
  <si>
    <t>Moksa Brewing Co</t>
  </si>
  <si>
    <t>Moonraker Brewing Co.</t>
  </si>
  <si>
    <t>Mountain Fork Brewery</t>
  </si>
  <si>
    <t>Movement Brewing Co</t>
  </si>
  <si>
    <t>Mully's Brewery</t>
  </si>
  <si>
    <t>Mystic Hills Brewing</t>
  </si>
  <si>
    <t>N.E.W. Ales Brewing</t>
  </si>
  <si>
    <t>Neon Desert Brewing</t>
  </si>
  <si>
    <t>Neshaminy Creek Brewing Co</t>
  </si>
  <si>
    <t>New Oberpfalz Brewing</t>
  </si>
  <si>
    <t>Next Trick Brewing</t>
  </si>
  <si>
    <t>Niteglow Beer LLC</t>
  </si>
  <si>
    <t>Norco Brewing Company</t>
  </si>
  <si>
    <t>North 5th Brewing Co</t>
  </si>
  <si>
    <t>North 7 Brewing Company</t>
  </si>
  <si>
    <t>North High Brewing</t>
  </si>
  <si>
    <t>Obelisk Beer Co</t>
  </si>
  <si>
    <t>Odd Breed Wild Ales</t>
  </si>
  <si>
    <t>Off Color Brewing</t>
  </si>
  <si>
    <t>Old Bridge Brewing Co</t>
  </si>
  <si>
    <t>Old Dog Alehouse</t>
  </si>
  <si>
    <t>Old Forge Brewing Co</t>
  </si>
  <si>
    <t>Olde Hickory Brewery (Corp)</t>
  </si>
  <si>
    <t>Ole Shed Brewing Company</t>
  </si>
  <si>
    <t>Omega Brewing Experience</t>
  </si>
  <si>
    <t>One Allegiance Brewing</t>
  </si>
  <si>
    <t>Ore Dock Brewing Co</t>
  </si>
  <si>
    <t>Original Pattern Brewing Company</t>
  </si>
  <si>
    <t>Our Brew LLC</t>
  </si>
  <si>
    <t>Outland Farm Brewery</t>
  </si>
  <si>
    <t>Outstate Brewing Company LLC</t>
  </si>
  <si>
    <t>OVAL Craft Brewing</t>
  </si>
  <si>
    <t>Paradox Brewery</t>
  </si>
  <si>
    <t>Parker's Steakhouse and Brewery</t>
  </si>
  <si>
    <t>Paso Robles Brewing Company</t>
  </si>
  <si>
    <t>Penrose Brewing Company</t>
  </si>
  <si>
    <t>Pike 51 Brewing</t>
  </si>
  <si>
    <t>Pilot Project Brewing</t>
  </si>
  <si>
    <t>Pinellas Ale Works</t>
  </si>
  <si>
    <t>PIVO Brewery</t>
  </si>
  <si>
    <t>Pleasant Prairie Brewing</t>
  </si>
  <si>
    <t>Policy Kings Brewery LLC</t>
  </si>
  <si>
    <t>Poseidon Brewing Company</t>
  </si>
  <si>
    <t>Pressure Drop Brewing</t>
  </si>
  <si>
    <t>Printshop Beer Co</t>
  </si>
  <si>
    <t>Prison Hill Brewing Co</t>
  </si>
  <si>
    <t>Progress Brewing</t>
  </si>
  <si>
    <t>Project Halo Brewing</t>
  </si>
  <si>
    <t>Public House Brewing Company</t>
  </si>
  <si>
    <t>Pulpo Beer Company</t>
  </si>
  <si>
    <t>Quarter Barrel Arcade &amp; Brewery</t>
  </si>
  <si>
    <t>Raised Grain Brewing Company</t>
  </si>
  <si>
    <t>Raney Cellars Brewing Company LLC</t>
  </si>
  <si>
    <t>Red Buffalo Brewing Co</t>
  </si>
  <si>
    <t>Red Shed Brewery</t>
  </si>
  <si>
    <t>Resurgence Brewing Company</t>
  </si>
  <si>
    <t>Rincon Reservation Road Brewery</t>
  </si>
  <si>
    <t>Rising Tide Brewing Company</t>
  </si>
  <si>
    <t>Riverwalk Brewing Co.</t>
  </si>
  <si>
    <t>Rock Cut Brewing Company</t>
  </si>
  <si>
    <t>Roundabout Brewery</t>
  </si>
  <si>
    <t>Rowley Farmhouse Ales</t>
  </si>
  <si>
    <t>RS Brewing Company</t>
  </si>
  <si>
    <t>RT Rogers Brewing Co</t>
  </si>
  <si>
    <t>Rt66 Old School Brewing</t>
  </si>
  <si>
    <t>Ruhlman Brewery/Our Ales</t>
  </si>
  <si>
    <t>Runaway Blue Brewing Company</t>
  </si>
  <si>
    <t>Ruse Brewing, LLC.</t>
  </si>
  <si>
    <t>Rushford &amp; Sons Brewhouse</t>
  </si>
  <si>
    <t>Savannah River Brewing Company</t>
  </si>
  <si>
    <t>Schulz Brau Brewing Company</t>
  </si>
  <si>
    <t>Scorched Earth Brewing Co.</t>
  </si>
  <si>
    <t>Second Chapter Brewing</t>
  </si>
  <si>
    <t>Second Salem Brewing Company</t>
  </si>
  <si>
    <t>Seedstock Brewery</t>
  </si>
  <si>
    <t>Service Brewing Company</t>
  </si>
  <si>
    <t>Sick N Twisted Brewing Co</t>
  </si>
  <si>
    <t>Side By Each Brewing Co</t>
  </si>
  <si>
    <t>Sideward Brewing Co</t>
  </si>
  <si>
    <t>Sing Sing Kill Brewery</t>
  </si>
  <si>
    <t>Sleeping Giant Brewing Company</t>
  </si>
  <si>
    <t>Snowbelt Brewing Company</t>
  </si>
  <si>
    <t>Social Fox Brewing</t>
  </si>
  <si>
    <t>South of Shaw Beer Company</t>
  </si>
  <si>
    <t>Southern Revere Cellars</t>
  </si>
  <si>
    <t>Spilled Grain Brewhouse</t>
  </si>
  <si>
    <t>Starboard Brewing Co</t>
  </si>
  <si>
    <t>Stone Hound Brewing Co</t>
  </si>
  <si>
    <t>Strong Brewing</t>
  </si>
  <si>
    <t>Switchback Brewing Company</t>
  </si>
  <si>
    <t>Sylvan Brewing</t>
  </si>
  <si>
    <t>Taos Mesa Brewing Co</t>
  </si>
  <si>
    <t>Taproot Brewing Co / Newport Vineyards</t>
  </si>
  <si>
    <t>Temperance Beer Company, LLC</t>
  </si>
  <si>
    <t>Ten Mile Brewing</t>
  </si>
  <si>
    <t>Ten Ninety Brewing Co.</t>
  </si>
  <si>
    <t>The Bold Mariner Brewing Company</t>
  </si>
  <si>
    <t>The Brewery At Orange County Hops</t>
  </si>
  <si>
    <t>The Fallen Brewery</t>
  </si>
  <si>
    <t>The Grumpy Troll Brewpub</t>
  </si>
  <si>
    <t>The Lost Druid Brewery</t>
  </si>
  <si>
    <t>The Parlor City Brewing Company, LLC</t>
  </si>
  <si>
    <t>The People's Pint / Franklin County Brewing Co</t>
  </si>
  <si>
    <t>The Tap House</t>
  </si>
  <si>
    <t>The Veil Brewing Company</t>
  </si>
  <si>
    <t>The Virginia Beer Company</t>
  </si>
  <si>
    <t>Third Coast Beer LLC dba Nueces Brewing Co.</t>
  </si>
  <si>
    <t>Third Place Brewing</t>
  </si>
  <si>
    <t>Thirsty Dog Brewing Company</t>
  </si>
  <si>
    <t>Thirsty Robot Brewing Company</t>
  </si>
  <si>
    <t>Thousand Lakes Brewing Company</t>
  </si>
  <si>
    <t>Three Heads Brewing</t>
  </si>
  <si>
    <t>Tipping Pint Brewing Co</t>
  </si>
  <si>
    <t>To Share Brewing Company</t>
  </si>
  <si>
    <t>Toasty Bros.</t>
  </si>
  <si>
    <t>Toll Road Brewing Company</t>
  </si>
  <si>
    <t>Torched Hop Brewing Company</t>
  </si>
  <si>
    <t>Tribus Beer Co.</t>
  </si>
  <si>
    <t>Triptych Brewing</t>
  </si>
  <si>
    <t>Triumph Brewing Company of Red Bank</t>
  </si>
  <si>
    <t>True North Ale Company</t>
  </si>
  <si>
    <t>Truth Beer Company</t>
  </si>
  <si>
    <t>Tvélo Brewing Company</t>
  </si>
  <si>
    <t>Twain's Brewpub &amp; Billiards</t>
  </si>
  <si>
    <t>Twin Oast Brewing</t>
  </si>
  <si>
    <t>Two Coast Brewing Co.</t>
  </si>
  <si>
    <t>Two Goats Brewing</t>
  </si>
  <si>
    <t>Two Pitchers Brewing Company</t>
  </si>
  <si>
    <t>Uberbrew</t>
  </si>
  <si>
    <t>Uncle Bear's Brewery</t>
  </si>
  <si>
    <t>Under Pressure Brewing Company</t>
  </si>
  <si>
    <t>UTOG Brewing Company</t>
  </si>
  <si>
    <t>Vanished Valley Brewing Co.</t>
  </si>
  <si>
    <t>Vasen Brewing Company</t>
  </si>
  <si>
    <t>Vermont Pub and Brewery</t>
  </si>
  <si>
    <t>Viewpoint Brewing Co</t>
  </si>
  <si>
    <t>Voodoo Brewing Co</t>
  </si>
  <si>
    <t>Warped Wing Brewing Company</t>
  </si>
  <si>
    <t>Waterfront Brewery LLC</t>
  </si>
  <si>
    <t>Watershed Brewing Company</t>
  </si>
  <si>
    <t>Watts Brewing Company</t>
  </si>
  <si>
    <t>Weird Window Brewing</t>
  </si>
  <si>
    <t>WeldWerks Brewing Co.</t>
  </si>
  <si>
    <t>West Sixth Brewing Co</t>
  </si>
  <si>
    <t>Westbound &amp; Down Brewing Company</t>
  </si>
  <si>
    <t>Westlane Brewing</t>
  </si>
  <si>
    <t>Whaley Farm Brewery</t>
  </si>
  <si>
    <t>Wheelie Pop Brewing</t>
  </si>
  <si>
    <t>Whiskers Brewing Inc</t>
  </si>
  <si>
    <t>White Oak Brewing</t>
  </si>
  <si>
    <t>White Street Brewing Company</t>
  </si>
  <si>
    <t>Wichita Brewing Co &amp; Pizzeria</t>
  </si>
  <si>
    <t>Wichita Brewing Co Production, LLC</t>
  </si>
  <si>
    <t>Wild Blue Yonder Brewing Co.</t>
  </si>
  <si>
    <t>Wildlife Brewing</t>
  </si>
  <si>
    <t>Wind River Brewing Co - WY</t>
  </si>
  <si>
    <t>Wisconsin Brewing Company LLC</t>
  </si>
  <si>
    <t>Wishful Acres Farm &amp; Brewery LLC</t>
  </si>
  <si>
    <t>Witchdoctor Brewing Company</t>
  </si>
  <si>
    <t>Woody's Brewing Company</t>
  </si>
  <si>
    <t>Xicha Brewing Co.</t>
  </si>
  <si>
    <t>Yancey's Gastropub and Brewery</t>
  </si>
  <si>
    <t>Craft Historical Data (1971-2024)</t>
  </si>
  <si>
    <t>State Production (Craft, 2011-2024)</t>
  </si>
  <si>
    <t>TTB State Permit Data  (2000-2024)</t>
  </si>
  <si>
    <t>+706,734 to base</t>
  </si>
  <si>
    <t>Breweries in this table had at least a 25% ownership stake by a large brewing company (&gt;6M barrels globally) by the end of 2024 unless noted otherwise</t>
  </si>
  <si>
    <t>2024</t>
  </si>
  <si>
    <t>2024%</t>
  </si>
  <si>
    <t>Anheuser-Busch</t>
  </si>
  <si>
    <r>
      <t>Kona/Craft Brew Alliance</t>
    </r>
    <r>
      <rPr>
        <vertAlign val="superscript"/>
        <sz val="11"/>
        <color theme="1"/>
        <rFont val="Calibri"/>
        <family val="2"/>
        <scheme val="minor"/>
      </rPr>
      <t>1</t>
    </r>
  </si>
  <si>
    <r>
      <t>MolsonCoors</t>
    </r>
    <r>
      <rPr>
        <b/>
        <vertAlign val="superscript"/>
        <sz val="11"/>
        <color theme="1"/>
        <rFont val="Calibri"/>
        <family val="2"/>
        <scheme val="minor"/>
      </rPr>
      <t>2</t>
    </r>
  </si>
  <si>
    <r>
      <t>Total</t>
    </r>
    <r>
      <rPr>
        <b/>
        <vertAlign val="superscript"/>
        <sz val="11"/>
        <color theme="1"/>
        <rFont val="Calibri"/>
        <family val="2"/>
        <scheme val="minor"/>
      </rPr>
      <t>3</t>
    </r>
  </si>
  <si>
    <t>Breweries in this table had at least a 25% ownership stake by a large brewing company (&gt;6M barrels globally) by the end of 2024 unless noted otherwise.</t>
  </si>
  <si>
    <t>1. Anheuser-Busch sold the Widmer and Redhook brands in 2023. They are included in historical estimates but will not be going forward. Starting in 2021, Craft Brew Alliance only includes Kona's mainland volume. The 2021 &amp; 2023 percentage growth numbers are presented on a comparable base and include Kona and Cisco brands.</t>
  </si>
  <si>
    <t>2. MolsonCoors sold a number of brands to Tilray in 2024. The percentage growth estimates are presented on a comparable basis for the brands listed below whereas the totals represent owned volume in those years. From 2020-21 includes volume for Saint Archer Brewing brand (not shown).</t>
  </si>
  <si>
    <t>3. Growth presented on comparable basis. Does not include volume from brewing companies that were Do Not Publish.</t>
  </si>
  <si>
    <t>2024 Craft Barrels</t>
  </si>
  <si>
    <t>Small and Independent Brewery Production by State: 2011 - 2024</t>
  </si>
  <si>
    <t>21+ Population (2024)</t>
  </si>
  <si>
    <t>PR</t>
  </si>
  <si>
    <t>Population (2024)</t>
  </si>
  <si>
    <t>Source: U.S. Census Bureau. State population numbers from v2024 data (NST-EST2024-POP). Since no 2024 state level single age population tables exist yet, 21+ population and percentage uses 2022 21+ state percentages.</t>
  </si>
  <si>
    <t>BREWERY COUNT BY STATE: 2000 - 2024</t>
  </si>
  <si>
    <t>This list of breweries is a compilation of breweries that provided data and selected "do not publish" as well as breweries that previously selected that option, didn't respond, and had 2024 estimates based off those "do not publish" responses.</t>
  </si>
  <si>
    <t>Stone Brewing</t>
  </si>
  <si>
    <t>Snake River Brewing</t>
  </si>
  <si>
    <t>Orange Blossom Brewing Company</t>
  </si>
  <si>
    <t>Line Creek Brewing Co.</t>
  </si>
  <si>
    <t>Boxing Bear Brewing Co. - Firestone</t>
  </si>
  <si>
    <t>Talyard Brewing Co., LLC</t>
  </si>
  <si>
    <t>Mission Brewing</t>
  </si>
  <si>
    <t>Haven Beer Company</t>
  </si>
  <si>
    <t>Fetch Brewing Company</t>
  </si>
  <si>
    <t>300 Suns Brewing</t>
  </si>
  <si>
    <t>Hillsborough Winery &amp; Brewery</t>
  </si>
  <si>
    <t>Bandwagon Brewing Company</t>
  </si>
  <si>
    <t>Fowler Ranch Farm Brewery</t>
  </si>
  <si>
    <t>Sky Bear Brewery and Pub</t>
  </si>
  <si>
    <t>Konstruct Brewing</t>
  </si>
  <si>
    <t>Lake Time Brewing and Spirits</t>
  </si>
  <si>
    <t>Distant West Brewing Company</t>
  </si>
  <si>
    <t>Pat's Brew House</t>
  </si>
  <si>
    <t>Bōc-Hord Brewery and Bakehouse</t>
  </si>
  <si>
    <t>Ethos Craft Brewing</t>
  </si>
  <si>
    <t>Pub on Second</t>
  </si>
  <si>
    <t>NC State University</t>
  </si>
  <si>
    <t>Stony Point Brewing Company</t>
  </si>
  <si>
    <t>Fletcher's Irish Pub and Brewery</t>
  </si>
  <si>
    <t>Demolition Brewing Company</t>
  </si>
  <si>
    <t>Doster Brewing Co LLC</t>
  </si>
  <si>
    <t>Angel City Brewery</t>
  </si>
  <si>
    <t>Haymarket Brewery and Taproom</t>
  </si>
  <si>
    <t>Hook Hand Brewery</t>
  </si>
  <si>
    <t xml:space="preserve">Lazarus Brewing Company </t>
  </si>
  <si>
    <t>Oak Creek Brewery &amp; Grill</t>
  </si>
  <si>
    <t>Roosters Brewing Co (#2)</t>
  </si>
  <si>
    <t>Southern Sun Pub and Brewery</t>
  </si>
  <si>
    <t>Monster Brewing Company LLC</t>
  </si>
  <si>
    <t>Barrel One Collective</t>
  </si>
  <si>
    <t>Abita Brewing Co., L.L.C.</t>
  </si>
  <si>
    <t>Hendler Family Brewing Company</t>
  </si>
  <si>
    <t>Middleburg Heights</t>
  </si>
  <si>
    <t>Drake's Brewing Co./Bear Republic</t>
  </si>
  <si>
    <t>Rhinelander Brewing Co</t>
  </si>
  <si>
    <t>Rhinelander</t>
  </si>
  <si>
    <t>Ballast Point Brewing</t>
  </si>
  <si>
    <t>Best Day Brewing</t>
  </si>
  <si>
    <t>Oakland Park</t>
  </si>
  <si>
    <t>Pinthouse Pizza North</t>
  </si>
  <si>
    <t>NoDa Brewing Company</t>
  </si>
  <si>
    <t>Industrial Arts Brewing</t>
  </si>
  <si>
    <t>Captain Lawrence Brewing Co</t>
  </si>
  <si>
    <t>Elmsford</t>
  </si>
  <si>
    <t>Alvarado Street Brewery &amp; Grill</t>
  </si>
  <si>
    <t>Stillwater Artisanal Ales</t>
  </si>
  <si>
    <t>Upland Brewing Company</t>
  </si>
  <si>
    <t>Boonville</t>
  </si>
  <si>
    <t>Regal Brau Brewing Company</t>
  </si>
  <si>
    <t>Barrio Brewing Co.</t>
  </si>
  <si>
    <t>Berkshire Brewing Company, Inc.</t>
  </si>
  <si>
    <t>Ocean Lab Brewing</t>
  </si>
  <si>
    <t>Carolina</t>
  </si>
  <si>
    <t>Tennessee Brew Works, LLC</t>
  </si>
  <si>
    <t>Market Garden Brewpub &amp; Pizza</t>
  </si>
  <si>
    <t>WellBeing Brewing</t>
  </si>
  <si>
    <t>Jackalope Brewing Company</t>
  </si>
  <si>
    <t>Boulder Beer Co</t>
  </si>
  <si>
    <t>Abomination Brewing Company</t>
  </si>
  <si>
    <t>Mountains Walking Brewery</t>
  </si>
  <si>
    <t>Drewrys Brewing</t>
  </si>
  <si>
    <t>Von Ebert Brewing - Glendoveer</t>
  </si>
  <si>
    <t>American Badass Beer</t>
  </si>
  <si>
    <t>Humble Forager Brewing</t>
  </si>
  <si>
    <t>Chihuahua Cerveza</t>
  </si>
  <si>
    <t>Brick Township</t>
  </si>
  <si>
    <t>Maple Lake</t>
  </si>
  <si>
    <t>Duquesne Brewing of Pittsburgh</t>
  </si>
  <si>
    <t>Timber Ales</t>
  </si>
  <si>
    <t>Arbor Brewing Company Microbrewery</t>
  </si>
  <si>
    <t>YPSILANTI</t>
  </si>
  <si>
    <t>Illumination Brewing</t>
  </si>
  <si>
    <t>Slatington</t>
  </si>
  <si>
    <t>Terminal Gravity Brewing</t>
  </si>
  <si>
    <t>RationAle Brewing</t>
  </si>
  <si>
    <t>Encinitas</t>
  </si>
  <si>
    <t>Surreal Brewing Company</t>
  </si>
  <si>
    <t>Peaceful Side Brewery</t>
  </si>
  <si>
    <t>Alphabet City Brewing Co</t>
  </si>
  <si>
    <t>Trinity</t>
  </si>
  <si>
    <t>ColdFire Barrel House</t>
  </si>
  <si>
    <t>Renegade Brewing, LLC</t>
  </si>
  <si>
    <t>1380 Brewing Company DBA Howdy Beer Co.</t>
  </si>
  <si>
    <t>Salt Lake Brewing Co., L.C.</t>
  </si>
  <si>
    <t>2nd Shift Brewing</t>
  </si>
  <si>
    <t>Beer Zombies Brewing Co.</t>
  </si>
  <si>
    <t>Vivant Brewery + Spirits</t>
  </si>
  <si>
    <t>HACKETTSTOWN</t>
  </si>
  <si>
    <t>New Planet Beer Co</t>
  </si>
  <si>
    <t>Catawba Island</t>
  </si>
  <si>
    <t>EL PASO</t>
  </si>
  <si>
    <t>Laguna Beer Co</t>
  </si>
  <si>
    <t>East Point</t>
  </si>
  <si>
    <t>Brewery Collective</t>
  </si>
  <si>
    <t>McKenzie Brewing</t>
  </si>
  <si>
    <t>Urban Lodge Brewing Co.</t>
  </si>
  <si>
    <t>LARIAT LODGE BREWING CO</t>
  </si>
  <si>
    <t>EVERGREEN</t>
  </si>
  <si>
    <t>Fort Brewery</t>
  </si>
  <si>
    <t>LaBelle</t>
  </si>
  <si>
    <t>DSSOLVR, LLC</t>
  </si>
  <si>
    <t>Pagoda City Brewing Company</t>
  </si>
  <si>
    <t>Escape Craft Brewery Barrelhouse</t>
  </si>
  <si>
    <t>ROM Beer Company</t>
  </si>
  <si>
    <t>Stickmen Brewing Company - Tualatin Beer Hall</t>
  </si>
  <si>
    <t>Ghostfish Brewing Co East</t>
  </si>
  <si>
    <t>Radiant Pig Craft Beers</t>
  </si>
  <si>
    <t>Pinedale</t>
  </si>
  <si>
    <t>Yarmouth</t>
  </si>
  <si>
    <t>Armed Forces Americas</t>
  </si>
  <si>
    <t>Structures Brewing</t>
  </si>
  <si>
    <t>HOB Brewing Company</t>
  </si>
  <si>
    <t>Southampton Publick House</t>
  </si>
  <si>
    <t>Southampton</t>
  </si>
  <si>
    <t>Field Day Brewing Company</t>
  </si>
  <si>
    <t>North Liberty</t>
  </si>
  <si>
    <t>Rolla</t>
  </si>
  <si>
    <t>Rosenstadt Brewery LLC</t>
  </si>
  <si>
    <t>Smoketown Brewing</t>
  </si>
  <si>
    <t>Peculier Ales (Windsor)</t>
  </si>
  <si>
    <t>Berts Brewing LLC</t>
  </si>
  <si>
    <t>Grass Valley Brewing company</t>
  </si>
  <si>
    <t>Stereo Brewing</t>
  </si>
  <si>
    <t>Duesterbeck's Brewing Company</t>
  </si>
  <si>
    <t>Woodbine</t>
  </si>
  <si>
    <t>Baltimore Washington Beer Works(dba RavenBeer)</t>
  </si>
  <si>
    <t>Baltimore. MD</t>
  </si>
  <si>
    <t>BREWSKI</t>
  </si>
  <si>
    <t>CHATTANOOGA</t>
  </si>
  <si>
    <t>Entitled Beer Company</t>
  </si>
  <si>
    <t>Hingham</t>
  </si>
  <si>
    <t>Tannersville</t>
  </si>
  <si>
    <t>Leland Brewing Company</t>
  </si>
  <si>
    <t>Leland</t>
  </si>
  <si>
    <t>Hoboken Brewing Company</t>
  </si>
  <si>
    <t>Hoboken</t>
  </si>
  <si>
    <t>Colorful Beverage LLC</t>
  </si>
  <si>
    <t>Steadfast Beer Co</t>
  </si>
  <si>
    <t>Warners</t>
  </si>
  <si>
    <t>FINNEGANS Brew Co</t>
  </si>
  <si>
    <t>GOAL. Brewing</t>
  </si>
  <si>
    <t>Epigram Brew Co</t>
  </si>
  <si>
    <t>City Built Brewing Company</t>
  </si>
  <si>
    <t>Al's Drinks Company LLC</t>
  </si>
  <si>
    <t>Jackson Heights</t>
  </si>
  <si>
    <t>Hanging Hills Brewing Company</t>
  </si>
  <si>
    <t>Some Brewing CO LLC</t>
  </si>
  <si>
    <t>Bold Monk Brewing Co (Max's Lager)</t>
  </si>
  <si>
    <t>Granite City Food &amp; Brewery (#17)</t>
  </si>
  <si>
    <t>Three Wide Brewing</t>
  </si>
  <si>
    <t>Wolf Creek Brewery</t>
  </si>
  <si>
    <t>Valencia</t>
  </si>
  <si>
    <t>Vortex Brewing Company</t>
  </si>
  <si>
    <t>Vadnais Heights</t>
  </si>
  <si>
    <t>Watermark Brewing Company</t>
  </si>
  <si>
    <t>Parlay 6 Brewing Company</t>
  </si>
  <si>
    <t>Marianna</t>
  </si>
  <si>
    <t>Sonoran Brewing</t>
  </si>
  <si>
    <t>Strange Land Brewery</t>
  </si>
  <si>
    <t>Harpers Ferry Brewing</t>
  </si>
  <si>
    <t>Little Thistle Brewing Company</t>
  </si>
  <si>
    <t>Bizarre Brewing</t>
  </si>
  <si>
    <t>El Prado</t>
  </si>
  <si>
    <t>Ashe's Bearden Beer Market</t>
  </si>
  <si>
    <t>Dr. Brewlittle's Beer Co</t>
  </si>
  <si>
    <t>Maple Shade Township</t>
  </si>
  <si>
    <t>Phantom Fox Beer Company</t>
  </si>
  <si>
    <t>mesa</t>
  </si>
  <si>
    <t>Shred Beer Company</t>
  </si>
  <si>
    <t>Council Bluffs</t>
  </si>
  <si>
    <t>Wild Sky Brewery</t>
  </si>
  <si>
    <t>Napali Brewing Company</t>
  </si>
  <si>
    <t>Kapa’a</t>
  </si>
  <si>
    <t>Rancho West Beer</t>
  </si>
  <si>
    <t>Marina Del Rey</t>
  </si>
  <si>
    <t>The Outskirts Brewing Company</t>
  </si>
  <si>
    <t>Aspire Brewing</t>
  </si>
  <si>
    <t>Alcatraz Brewing</t>
  </si>
  <si>
    <t>Palm Coast</t>
  </si>
  <si>
    <t>Catalyst Crafted Ales</t>
  </si>
  <si>
    <t>Congregation Brewery and Cocina</t>
  </si>
  <si>
    <t>Gun Craft Beer</t>
  </si>
  <si>
    <t>Gypsum</t>
  </si>
  <si>
    <t>Simmzy's</t>
  </si>
  <si>
    <t>Little Egg Harbor</t>
  </si>
  <si>
    <t>Casa Humilde Cerveceria</t>
  </si>
  <si>
    <t>Waterbury Village Historic District</t>
  </si>
  <si>
    <t>Kickstand Brewing Company</t>
  </si>
  <si>
    <t>The Uncool Beverage Co.</t>
  </si>
  <si>
    <t>Big Slide Brewery</t>
  </si>
  <si>
    <t>Brewery Thirty-Three</t>
  </si>
  <si>
    <t>Riverton</t>
  </si>
  <si>
    <t>Brix Factory Brewing</t>
  </si>
  <si>
    <t>Lock City Brewing</t>
  </si>
  <si>
    <t>Slow Body Beer Company</t>
  </si>
  <si>
    <t>Pinnacle Brewing Company</t>
  </si>
  <si>
    <t>Busty Lush</t>
  </si>
  <si>
    <t>Dakota Point Brewing</t>
  </si>
  <si>
    <t>Kochendorfer Brewing Company</t>
  </si>
  <si>
    <t>Bard's Brewery, LLC</t>
  </si>
  <si>
    <t>Braveheart Brewing</t>
  </si>
  <si>
    <t>Calidad Beer</t>
  </si>
  <si>
    <t>MAZURT Brewing Company</t>
  </si>
  <si>
    <t>Nighthawks Brewing</t>
  </si>
  <si>
    <t>Palmia</t>
  </si>
  <si>
    <t>Seawolf Brewery</t>
  </si>
  <si>
    <t>Bellbrook Brewing Company</t>
  </si>
  <si>
    <t>Lenox</t>
  </si>
  <si>
    <t>Good Nature Brewery</t>
  </si>
  <si>
    <t>The Royal Oak Brewery</t>
  </si>
  <si>
    <t>White Dog Brewing Boise</t>
  </si>
  <si>
    <t>penn valley</t>
  </si>
  <si>
    <t>HopLore Brewing Company</t>
  </si>
  <si>
    <t>Hop Garden Brewing</t>
  </si>
  <si>
    <t>Boal City Brewing</t>
  </si>
  <si>
    <t>Boalsburg</t>
  </si>
  <si>
    <t>Murrells Inlet</t>
  </si>
  <si>
    <t>Sauced BBQ &amp; Spirits</t>
  </si>
  <si>
    <t>Venice Duck Brewery</t>
  </si>
  <si>
    <t>Wandering Monsters Brewing Company</t>
  </si>
  <si>
    <t>Jekyll &amp; Hyde Brewing Company</t>
  </si>
  <si>
    <t>Millpond Brewing</t>
  </si>
  <si>
    <t>Wendell</t>
  </si>
  <si>
    <t>The Busted Cup Brewhouse</t>
  </si>
  <si>
    <t>Hanson Brothers Beer Company</t>
  </si>
  <si>
    <t>Salt Face Mule Brewing Co LLC</t>
  </si>
  <si>
    <t>Good Liar</t>
  </si>
  <si>
    <t>Grateful Goat Brewing</t>
  </si>
  <si>
    <t>Boondoggle Beers</t>
  </si>
  <si>
    <t>Wethersfield</t>
  </si>
  <si>
    <t>Nine Mile Brewery</t>
  </si>
  <si>
    <t>North Versailles</t>
  </si>
  <si>
    <t>Cazuelas Mexican Grill &amp;  Brewery</t>
  </si>
  <si>
    <t>Side Hustle Brewing Company</t>
  </si>
  <si>
    <t>Barley and Sword Brewing Company</t>
  </si>
  <si>
    <t>Little Brother Brewing - Kernersville</t>
  </si>
  <si>
    <t>Sound and Fury Brewing Co</t>
  </si>
  <si>
    <t>Haw River Tap and Table</t>
  </si>
  <si>
    <t>Colorado SPrings</t>
  </si>
  <si>
    <t>Founding Fathers Brewing Company</t>
  </si>
  <si>
    <t>Wayzata</t>
  </si>
  <si>
    <t>High Card Brewing</t>
  </si>
  <si>
    <t>Paddlefish Brewing Co.</t>
  </si>
  <si>
    <t>Saint Peter</t>
  </si>
  <si>
    <t>Four Paws Brewing LLC</t>
  </si>
  <si>
    <t>Double Edge Brewing Co</t>
  </si>
  <si>
    <t>DVD Brew</t>
  </si>
  <si>
    <t>Round Table Brewery</t>
  </si>
  <si>
    <t>West Haverstraw</t>
  </si>
  <si>
    <t>Thunderwing Brewing</t>
  </si>
  <si>
    <t>Tonality Brewing Company</t>
  </si>
  <si>
    <t>Wye Hill Brewing</t>
  </si>
  <si>
    <t>Magic 13 Brewing Co.</t>
  </si>
  <si>
    <t>Fulshear</t>
  </si>
  <si>
    <t>Kognisjon Bryggeri</t>
  </si>
  <si>
    <t>Atomic Clock Brewing Company</t>
  </si>
  <si>
    <t>Frost Town Brewing</t>
  </si>
  <si>
    <t>Five &amp; 20</t>
  </si>
  <si>
    <t>Brühaven</t>
  </si>
  <si>
    <t>La Verne Brewing Co</t>
  </si>
  <si>
    <t>Cajun Fire Brewing Company</t>
  </si>
  <si>
    <t>Deppen Brewing</t>
  </si>
  <si>
    <t>Down Home Brewing Co.</t>
  </si>
  <si>
    <t>Hull's Brewing Company</t>
  </si>
  <si>
    <t>Red Panther Brewing Co. LLC</t>
  </si>
  <si>
    <t>Clarksdale</t>
  </si>
  <si>
    <t>Burl Brew</t>
  </si>
  <si>
    <t>Valley Center</t>
  </si>
  <si>
    <t>Rising Eagle Brewery</t>
  </si>
  <si>
    <t>Afterglow Brewing</t>
  </si>
  <si>
    <t>Wood Foot Beer Co.</t>
  </si>
  <si>
    <t>Idle Brewery</t>
  </si>
  <si>
    <t>Union Street Brewing Co.</t>
  </si>
  <si>
    <t>Cove Brewery</t>
  </si>
  <si>
    <t>Deerfield Beach</t>
  </si>
  <si>
    <t>Crafted Culture Brewing Company</t>
  </si>
  <si>
    <t>Gasworks Brewing</t>
  </si>
  <si>
    <t>Phantom Farms Brewing</t>
  </si>
  <si>
    <t>Fish Brewing Company</t>
  </si>
  <si>
    <t>Two Fathoms Brewing</t>
  </si>
  <si>
    <t>Highwind Brewing Company</t>
  </si>
  <si>
    <t>Junction City</t>
  </si>
  <si>
    <t>Howzit Brewing</t>
  </si>
  <si>
    <t>5440 Brewing Company</t>
  </si>
  <si>
    <t>The Druery</t>
  </si>
  <si>
    <t>Pavlov's Brewing Company, LLC</t>
  </si>
  <si>
    <t>Chau Tien Beer Company</t>
  </si>
  <si>
    <t>Old Bavarian Brewing Co</t>
  </si>
  <si>
    <t>Two Rows Restaurant and Brewery - Allen</t>
  </si>
  <si>
    <t>Salt Road Brewing, LLC</t>
  </si>
  <si>
    <t>Seven Saws Brewing Co.</t>
  </si>
  <si>
    <t>Gem State Brewing</t>
  </si>
  <si>
    <t>Altar Society Brewing Co.</t>
  </si>
  <si>
    <t>Lincon</t>
  </si>
  <si>
    <t>Cherry Valley</t>
  </si>
  <si>
    <t>Groveland</t>
  </si>
  <si>
    <t>BridgeWay Brewing Company</t>
  </si>
  <si>
    <t>Castle Hills</t>
  </si>
  <si>
    <t>Old 121 Brewhouse</t>
  </si>
  <si>
    <t>Lazy Days Brewing Co.</t>
  </si>
  <si>
    <t>Union Bear Brewing Co - Denton</t>
  </si>
  <si>
    <t>Beer Above Water Brewing Co</t>
  </si>
  <si>
    <t>Alliterate Animals Brewing Company</t>
  </si>
  <si>
    <t>Audiograph Beer Company</t>
  </si>
  <si>
    <t>Flock of Moons</t>
  </si>
  <si>
    <t>7 Clans Brewing</t>
  </si>
  <si>
    <t>Other Desi Beer Co.</t>
  </si>
  <si>
    <t>Three Monkeys Brewing Co</t>
  </si>
  <si>
    <t>Round Lake Beach</t>
  </si>
  <si>
    <t>Blind Owl Brewery</t>
  </si>
  <si>
    <t>Fin City Brewing Company</t>
  </si>
  <si>
    <t>Hidden Wit Brewing Co</t>
  </si>
  <si>
    <t>Soulmate Brewing Company</t>
  </si>
  <si>
    <t>Tricky Tortoise Brewing Co.</t>
  </si>
  <si>
    <t>Willoughby</t>
  </si>
  <si>
    <t>Bent Iron Brewing</t>
  </si>
  <si>
    <t>Trenton</t>
  </si>
  <si>
    <t>Nebo</t>
  </si>
  <si>
    <t>Local Option</t>
  </si>
  <si>
    <t>KOMANA Brewing Company</t>
  </si>
  <si>
    <t>North Kingstown</t>
  </si>
  <si>
    <t>HOP Central Brewery and Taproom</t>
  </si>
  <si>
    <t>Westmoreland</t>
  </si>
  <si>
    <t>Hobcaw brewing co</t>
  </si>
  <si>
    <t>Irondequoit</t>
  </si>
  <si>
    <t>Rustic Road Brewing Company</t>
  </si>
  <si>
    <t>Gilde Brewery</t>
  </si>
  <si>
    <t>Blue Island</t>
  </si>
  <si>
    <t>CRAFT 64</t>
  </si>
  <si>
    <t>Foreign Exchange Brewing Co</t>
  </si>
  <si>
    <t>Fox Hops Brewery</t>
  </si>
  <si>
    <t>Gluek Beer</t>
  </si>
  <si>
    <t>Minnapolis</t>
  </si>
  <si>
    <t>Jubilee Craft Beer Co</t>
  </si>
  <si>
    <t>Lake Brothers Beer Company</t>
  </si>
  <si>
    <t>Rock Valley Brewing Co.</t>
  </si>
  <si>
    <t>Sankofa Beer Co</t>
  </si>
  <si>
    <t>Stoudts Brewing Co</t>
  </si>
  <si>
    <t>Stubborn Mule Ale House</t>
  </si>
  <si>
    <t>The Conrad Seipp Brewing Company</t>
  </si>
  <si>
    <t>CHICAGO</t>
  </si>
  <si>
    <t>Wash Ashore Beer Company</t>
  </si>
  <si>
    <t>Edgartown</t>
  </si>
  <si>
    <t>Cherry Creek Brewery</t>
  </si>
  <si>
    <t>Hearth Brewing</t>
  </si>
  <si>
    <t>Coastal Brew Works LLC</t>
  </si>
  <si>
    <t>North Arlington</t>
  </si>
  <si>
    <t>Dead Language Beer Project</t>
  </si>
  <si>
    <t>Forest Hill</t>
  </si>
  <si>
    <t>Seedz Brewery</t>
  </si>
  <si>
    <t>Fraser River Beer CO</t>
  </si>
  <si>
    <t>Twelve78 Brewing</t>
  </si>
  <si>
    <t>Brühaven.</t>
  </si>
  <si>
    <t>Lark Brewing Co LLC</t>
  </si>
  <si>
    <t>Chicago Ridge</t>
  </si>
  <si>
    <t>The New Cambridge Project</t>
  </si>
  <si>
    <t>Evasion Brewing</t>
  </si>
  <si>
    <t>Lonsdale Brewing Inc./Hero95</t>
  </si>
  <si>
    <t>Cohasset</t>
  </si>
  <si>
    <t>Brown Bag Brewery</t>
  </si>
  <si>
    <t>Judge Brewery</t>
  </si>
  <si>
    <t>Brew STX</t>
  </si>
  <si>
    <t>Christiansted</t>
  </si>
  <si>
    <t>US Virgin Islands</t>
  </si>
  <si>
    <t>Double M Brewery</t>
  </si>
  <si>
    <t>Council</t>
  </si>
  <si>
    <t>Poverty Knob Farmhouse Ales</t>
  </si>
  <si>
    <t>Solorio Brewing Company</t>
  </si>
  <si>
    <t>The Noble Fox Restaurant &amp; Brewery</t>
  </si>
  <si>
    <t>Zymos Brewing</t>
  </si>
  <si>
    <t>San Bernardino</t>
  </si>
  <si>
    <t>Las Vegas Brewing Company - Downtown</t>
  </si>
  <si>
    <t>Ship Creek Brewing Company</t>
  </si>
  <si>
    <t>Belfast Bay Brewing Co</t>
  </si>
  <si>
    <t>Moor's Brewing Company</t>
  </si>
  <si>
    <t>Turner Haus Brewery</t>
  </si>
  <si>
    <t>Keepsake Brewery</t>
  </si>
  <si>
    <t>The Pfeiffer Brewing Company</t>
  </si>
  <si>
    <t>New Ridge Brewing Co.</t>
  </si>
  <si>
    <t>Fox Point Brewing</t>
  </si>
  <si>
    <t>Garage Beer Co</t>
  </si>
  <si>
    <t>Timbukbrü</t>
  </si>
  <si>
    <t>South Kingstown</t>
  </si>
  <si>
    <t>North Pillar Brewing</t>
  </si>
  <si>
    <t>Waukesha</t>
  </si>
  <si>
    <t>Rule G Brewing Company</t>
  </si>
  <si>
    <t>Red Engine Brewing Company</t>
  </si>
  <si>
    <t>Fillmore</t>
  </si>
  <si>
    <t>Mt. Angel</t>
  </si>
  <si>
    <t>New France Brewing</t>
  </si>
  <si>
    <t>Jersey Village</t>
  </si>
  <si>
    <t>Griffon Brewing Inc</t>
  </si>
  <si>
    <t>Cartel Brewing</t>
  </si>
  <si>
    <t>Off the Rails Brewing</t>
  </si>
  <si>
    <t>Delaware Racing Association</t>
  </si>
  <si>
    <t>Cleburne</t>
  </si>
  <si>
    <t>MFS Brewing</t>
  </si>
  <si>
    <t>Monochrome Brewing</t>
  </si>
  <si>
    <t>Piedmont Brewery Griffin</t>
  </si>
  <si>
    <t>Griffin</t>
  </si>
  <si>
    <t>Celebration Brewing Company</t>
  </si>
  <si>
    <t>Celebration</t>
  </si>
  <si>
    <t>Black Orchid Brewing</t>
  </si>
  <si>
    <t>Buffalo Nickel Brewery</t>
  </si>
  <si>
    <t>Show low</t>
  </si>
  <si>
    <t>Whalehead Brewery</t>
  </si>
  <si>
    <t>Cedar City</t>
  </si>
  <si>
    <t>Bossfight Brewing Company</t>
  </si>
  <si>
    <t>Milieu Fermentation</t>
  </si>
  <si>
    <t>Amarok Brewing</t>
  </si>
  <si>
    <t>Beale Street Brewing Co</t>
  </si>
  <si>
    <t>Crimson Cove Brewing Company</t>
  </si>
  <si>
    <t>Fireman's Brew</t>
  </si>
  <si>
    <t>Woodland Hills</t>
  </si>
  <si>
    <t>Good Girl Brewing Co</t>
  </si>
  <si>
    <t>Haberle Congress Brewing Company, LLC.</t>
  </si>
  <si>
    <t>Lil' Charlie's Restaurant &amp; Brewery</t>
  </si>
  <si>
    <t>Batesville</t>
  </si>
  <si>
    <t>Mount Holly Beer</t>
  </si>
  <si>
    <t>Opportunity Brewing</t>
  </si>
  <si>
    <t>Pacific Grove Brewing Company</t>
  </si>
  <si>
    <t>Pie &amp; Pub Restaurant &amp; Brewery</t>
  </si>
  <si>
    <t>Rogers Beer</t>
  </si>
  <si>
    <t>Le Roy</t>
  </si>
  <si>
    <t>Sapphire Mountain Brewing Co</t>
  </si>
  <si>
    <t>Sapphire</t>
  </si>
  <si>
    <t>Sconnie Beverage</t>
  </si>
  <si>
    <t>Bartow</t>
  </si>
  <si>
    <t>Gemini Beer Company</t>
  </si>
  <si>
    <t>Stone Silo Brewery</t>
  </si>
  <si>
    <t>Argenta Brewing Company</t>
  </si>
  <si>
    <t>Mount Laurel Township</t>
  </si>
  <si>
    <t>Censored Munky Brewing Company</t>
  </si>
  <si>
    <t>WILBRAHAM</t>
  </si>
  <si>
    <t>Sonoita</t>
  </si>
  <si>
    <t>Haywire Brewing Co</t>
  </si>
  <si>
    <t>Tongue River Brewery</t>
  </si>
  <si>
    <t>Ranchester</t>
  </si>
  <si>
    <t>Thomasville</t>
  </si>
  <si>
    <t>Merchantville</t>
  </si>
  <si>
    <t>Bruzze Brewing</t>
  </si>
  <si>
    <t>Eatonton</t>
  </si>
  <si>
    <t>Parseas Brewing</t>
  </si>
  <si>
    <t>Vulture Peak Brewing Company</t>
  </si>
  <si>
    <t>Wickenburg</t>
  </si>
  <si>
    <t>Coburg</t>
  </si>
  <si>
    <t>The Mill Brew &amp; Social House</t>
  </si>
  <si>
    <t>Over the Horizon Brewing Co</t>
  </si>
  <si>
    <t>Cameron Park</t>
  </si>
  <si>
    <t>Grainology Batavia</t>
  </si>
  <si>
    <t>Last Stop Brewing, LLC</t>
  </si>
  <si>
    <t>Shelbyville</t>
  </si>
  <si>
    <t>Soul Mega</t>
  </si>
  <si>
    <t>The Hallway Tap &amp; Brew</t>
  </si>
  <si>
    <t>Beer Street Brands</t>
  </si>
  <si>
    <t>Bosacki's Brewery</t>
  </si>
  <si>
    <t>Care Forgot Beercraft</t>
  </si>
  <si>
    <t>Ybor City Brewing Company</t>
  </si>
  <si>
    <t>Copper Son Brewing Company</t>
  </si>
  <si>
    <t>Identity Brewing Co</t>
  </si>
  <si>
    <t>Tannery Bend Beerworks</t>
  </si>
  <si>
    <t>Watsonville Public House</t>
  </si>
  <si>
    <t>Dyckman Beer Co</t>
  </si>
  <si>
    <t>Venice Ale House Brewing Co</t>
  </si>
  <si>
    <t>GravCap Brewing</t>
  </si>
  <si>
    <t>Wishful Thinking Brewing Company</t>
  </si>
  <si>
    <t>Pennant Brewing</t>
  </si>
  <si>
    <t>Miles, The Prince</t>
  </si>
  <si>
    <t>Larchmont</t>
  </si>
  <si>
    <t>Standardized Brewing</t>
  </si>
  <si>
    <t>Topsail Brewing Company</t>
  </si>
  <si>
    <t>Sneads Ferry</t>
  </si>
  <si>
    <t>Real American Beer</t>
  </si>
  <si>
    <t>Potomac Ridge Brewing</t>
  </si>
  <si>
    <t>Sharpsburg</t>
  </si>
  <si>
    <t>Todd the Brewer</t>
  </si>
  <si>
    <t>Nacho Average Brewpub</t>
  </si>
  <si>
    <t>Topsail Island Brewing</t>
  </si>
  <si>
    <t>Kintnersville</t>
  </si>
  <si>
    <t>Bernardston</t>
  </si>
  <si>
    <t>PARADISE BREW WERKS</t>
  </si>
  <si>
    <t>Tower Hill Brewing Company</t>
  </si>
  <si>
    <t>Sioux Center</t>
  </si>
  <si>
    <t>Pivovar</t>
  </si>
  <si>
    <t>Mad Co. Brew House</t>
  </si>
  <si>
    <t>The Schmohz Brewing Company</t>
  </si>
  <si>
    <t>Salmon Valley Brewery</t>
  </si>
  <si>
    <t>Salmon</t>
  </si>
  <si>
    <t>Brew LAB</t>
  </si>
  <si>
    <t>Durant</t>
  </si>
  <si>
    <t>Incantation Brewing</t>
  </si>
  <si>
    <t>Koerber Beer Company</t>
  </si>
  <si>
    <t>Barboursville</t>
  </si>
  <si>
    <t>Nacho Brewery</t>
  </si>
  <si>
    <t>Dead Perezidents Brewing Co</t>
  </si>
  <si>
    <t>Conyngham</t>
  </si>
  <si>
    <t>Nevadan Brewing Company</t>
  </si>
  <si>
    <t>BeerDad’s Brew Works</t>
  </si>
  <si>
    <t>Vermont Beer Makers</t>
  </si>
  <si>
    <t>Trellis Brewing</t>
  </si>
  <si>
    <t>Twentynine Palms</t>
  </si>
  <si>
    <t>Parkers Prairie</t>
  </si>
  <si>
    <t>Working Theory Beer Co.</t>
  </si>
  <si>
    <t>Brew Lounge Beer Company &amp; Patio</t>
  </si>
  <si>
    <t>Broadcast Brewing</t>
  </si>
  <si>
    <t>Histrionic Brew Lab</t>
  </si>
  <si>
    <t>Joyhound Beer Company</t>
  </si>
  <si>
    <t>Lucky Devil Brewing</t>
  </si>
  <si>
    <t>Trauger Brewing</t>
  </si>
  <si>
    <t>Santa Cruz Brewing Co</t>
  </si>
  <si>
    <t>Royalton</t>
  </si>
  <si>
    <t>Merican Beverage Company</t>
  </si>
  <si>
    <t>Rail Werks Brewing Depot</t>
  </si>
  <si>
    <t>Columbia Heights</t>
  </si>
  <si>
    <t>260 Brewery &amp; Distillery</t>
  </si>
  <si>
    <t>Overgaard</t>
  </si>
  <si>
    <t>Darkroom Brewing Company</t>
  </si>
  <si>
    <t>Industry Ales, LLC</t>
  </si>
  <si>
    <t>Louisa</t>
  </si>
  <si>
    <t>Glen Echo Brewing Company</t>
  </si>
  <si>
    <t>Wylie</t>
  </si>
  <si>
    <t>Bam-Bam Brewing Company</t>
  </si>
  <si>
    <t>De Soto</t>
  </si>
  <si>
    <t>Brick Box Brewery</t>
  </si>
  <si>
    <t>W.H. Ales Brewpub</t>
  </si>
  <si>
    <t>Blood Orchard Brewing Co.</t>
  </si>
  <si>
    <t>Heavale Brewing Company</t>
  </si>
  <si>
    <t>Calhoun</t>
  </si>
  <si>
    <t>Good Cause Brewing</t>
  </si>
  <si>
    <t>SaltRock Brewing Co.</t>
  </si>
  <si>
    <t>Blackbird Brewery</t>
  </si>
  <si>
    <t>Bandera Brewery</t>
  </si>
  <si>
    <t>Capacity Brewing Company LLC</t>
  </si>
  <si>
    <t>Grin Brewing</t>
  </si>
  <si>
    <t>Keansburg</t>
  </si>
  <si>
    <t>Proximity Brewing Company</t>
  </si>
  <si>
    <t>Town’s End Brewing Company</t>
  </si>
  <si>
    <t>Alias Brew Works</t>
  </si>
  <si>
    <t>Vernon</t>
  </si>
  <si>
    <t>Brown Girl's Brew®</t>
  </si>
  <si>
    <t>North Chair Brewing</t>
  </si>
  <si>
    <t>Squatch Brewing, Inc</t>
  </si>
  <si>
    <t>A Bit Twisted Brewpub and BBQ</t>
  </si>
  <si>
    <t>Happenstance Brewing Project</t>
  </si>
  <si>
    <t>Sugar Monkey Brewing</t>
  </si>
  <si>
    <t>Barrister Brewing Company</t>
  </si>
  <si>
    <t>Owosso</t>
  </si>
  <si>
    <t>Nokesville</t>
  </si>
  <si>
    <t>Squids Brewery</t>
  </si>
  <si>
    <t>toronto</t>
  </si>
  <si>
    <t>Lot Six Brewing Co</t>
  </si>
  <si>
    <t>Abstract Realm Brewing Company</t>
  </si>
  <si>
    <t>B5 Brewing Company</t>
  </si>
  <si>
    <t>BC's Brewing Company</t>
  </si>
  <si>
    <t>Cimarron</t>
  </si>
  <si>
    <t>Black Howler Beer Company</t>
  </si>
  <si>
    <t>Gentry</t>
  </si>
  <si>
    <t>Hairy Guys Brewing</t>
  </si>
  <si>
    <t>Black Calder Brewing Company</t>
  </si>
  <si>
    <t>Southernmost Pint Brewpub</t>
  </si>
  <si>
    <t>Austin Craft Brewing Company</t>
  </si>
  <si>
    <t>Leaning Fathers Brewing</t>
  </si>
  <si>
    <t>Brick</t>
  </si>
  <si>
    <t>Outcast Brewing Company</t>
  </si>
  <si>
    <t>St. Petersburg</t>
  </si>
  <si>
    <t>Carolina Crab Brewing Company</t>
  </si>
  <si>
    <t>Southport</t>
  </si>
  <si>
    <t>Dressel's Rock&amp;Horse</t>
  </si>
  <si>
    <t>Funky Brew</t>
  </si>
  <si>
    <t>Gridley</t>
  </si>
  <si>
    <t>Two Ass Brewing Company</t>
  </si>
  <si>
    <t>Country Roads Brewing Company</t>
  </si>
  <si>
    <t>Mucho Aloha</t>
  </si>
  <si>
    <t>Koloa</t>
  </si>
  <si>
    <t>Naiad Country Brewery</t>
  </si>
  <si>
    <t>Orland</t>
  </si>
  <si>
    <t>Room 94</t>
  </si>
  <si>
    <t>Fountain Inn Brewing Co</t>
  </si>
  <si>
    <t>Fountain Inn</t>
  </si>
  <si>
    <t>Sandfly Brewing Company</t>
  </si>
  <si>
    <t>Punxsutawney</t>
  </si>
  <si>
    <t>Renewal Brewing</t>
  </si>
  <si>
    <t>Behe Brothers Brewing Company</t>
  </si>
  <si>
    <t>Mad Llama Brewing</t>
  </si>
  <si>
    <t>Spada Farmhouse Brewery</t>
  </si>
  <si>
    <t>Three Tim's Brewery</t>
  </si>
  <si>
    <t>New Bremen</t>
  </si>
  <si>
    <t>Seven Railroads Brewing Company</t>
  </si>
  <si>
    <t>Belmont Brewhouse</t>
  </si>
  <si>
    <t>Muskegon Brewing Company</t>
  </si>
  <si>
    <t>SAGE ALLEY BREWERY</t>
  </si>
  <si>
    <t>COOPERSBURG</t>
  </si>
  <si>
    <t>Shire Beer Co</t>
  </si>
  <si>
    <t>Beer Kind Brewing</t>
  </si>
  <si>
    <t>Tonawanda</t>
  </si>
  <si>
    <t>Ten Wasp Brewing Company</t>
  </si>
  <si>
    <t>Barley &amp; Vine</t>
  </si>
  <si>
    <t>Platte City</t>
  </si>
  <si>
    <t>Off The Rails Brewing Co</t>
  </si>
  <si>
    <t>Waterstreet Winery and Brewery</t>
  </si>
  <si>
    <t>Marine City</t>
  </si>
  <si>
    <t>Wyandotte Beer Company</t>
  </si>
  <si>
    <t>Mountain Merman Brewing Company</t>
  </si>
  <si>
    <t>La Veta</t>
  </si>
  <si>
    <t>Brainstorm Brewhouse</t>
  </si>
  <si>
    <t>Star Republic Brewing Company</t>
  </si>
  <si>
    <t>Spring Branch</t>
  </si>
  <si>
    <t>Local Legend Brewing Co</t>
  </si>
  <si>
    <t>Oak Bay Brewing Co</t>
  </si>
  <si>
    <t>Barnstable</t>
  </si>
  <si>
    <t>Putnam Valley</t>
  </si>
  <si>
    <t>Ossining</t>
  </si>
  <si>
    <t>Wanderment Brewing</t>
  </si>
  <si>
    <t>Moore Brewing Co. &amp; Spirits LLC</t>
  </si>
  <si>
    <t>Favorite Child Brewing</t>
  </si>
  <si>
    <t>The Prost Office Brewery</t>
  </si>
  <si>
    <t>Coattails Brewing</t>
  </si>
  <si>
    <t>Gresham</t>
  </si>
  <si>
    <t>Trippin Billies Craft Brewery</t>
  </si>
  <si>
    <t>Blackstone</t>
  </si>
  <si>
    <t>Cross Plains Brewery Inc.</t>
  </si>
  <si>
    <t>Cross Plains</t>
  </si>
  <si>
    <t>Flying Bull Beer Company</t>
  </si>
  <si>
    <t>Soma Brewing LLC</t>
  </si>
  <si>
    <t>Maplewood</t>
  </si>
  <si>
    <t>Star Spangled Taproom #2</t>
  </si>
  <si>
    <t>Goodwood Brewing - Columbus</t>
  </si>
  <si>
    <t>Late Addition Brewing + Blending</t>
  </si>
  <si>
    <t>Moirae Brewing Company</t>
  </si>
  <si>
    <t>Screwbean Brewing</t>
  </si>
  <si>
    <t>Union City</t>
  </si>
  <si>
    <t>Country Trails Brewing</t>
  </si>
  <si>
    <t>East Longmeadow</t>
  </si>
  <si>
    <t>Forgotten Coast Brewing Co</t>
  </si>
  <si>
    <t>Mexico Beach</t>
  </si>
  <si>
    <t>Inman</t>
  </si>
  <si>
    <t>Drawdown Brewing Company</t>
  </si>
  <si>
    <t>Franklin Brewing Co</t>
  </si>
  <si>
    <t>Grown Folks</t>
  </si>
  <si>
    <t>LOS ANGELES</t>
  </si>
  <si>
    <t>The Green Frog Brewery and Tasting Room</t>
  </si>
  <si>
    <t>Douglass</t>
  </si>
  <si>
    <t>Urban Garden Brewing, LLC</t>
  </si>
  <si>
    <t>Pinellas Park</t>
  </si>
  <si>
    <t>Fifth West Brewing Co - Deerfield</t>
  </si>
  <si>
    <t>Good Works Brewing Company</t>
  </si>
  <si>
    <t>Ballpark Brewing Company</t>
  </si>
  <si>
    <t>Etowah Meadery</t>
  </si>
  <si>
    <t>Terranaut Beer</t>
  </si>
  <si>
    <t>Three Empires Brewing Co., LLC</t>
  </si>
  <si>
    <t>Hops and Fog Brewing Company</t>
  </si>
  <si>
    <t>Pacific Grove</t>
  </si>
  <si>
    <t>Strawberry Hill Brewing Company</t>
  </si>
  <si>
    <t>Entropy Brewing Company</t>
  </si>
  <si>
    <t>Golden Valley</t>
  </si>
  <si>
    <t>Tallman Brewing</t>
  </si>
  <si>
    <t>The Roadies Brewing Co.</t>
  </si>
  <si>
    <t>Back Home Beer</t>
  </si>
  <si>
    <t>Sierra Madre</t>
  </si>
  <si>
    <t>Carolina Heritage Vineyard and Winery</t>
  </si>
  <si>
    <t>Lost Saint Brewing Company</t>
  </si>
  <si>
    <t>Blue Earth</t>
  </si>
  <si>
    <t>Southern Tail Brewing</t>
  </si>
  <si>
    <t>Mighty Pine Brewing</t>
  </si>
  <si>
    <t>Homewood Brewing Company</t>
  </si>
  <si>
    <t>Hoster Brewing Co</t>
  </si>
  <si>
    <t>Mars Brewing Company LLC</t>
  </si>
  <si>
    <t>SAAL Brewing Company</t>
  </si>
  <si>
    <t>Stanwood</t>
  </si>
  <si>
    <t>The Crafty Chameleon Brewery</t>
  </si>
  <si>
    <t>Newville</t>
  </si>
  <si>
    <t>Elder Piper Beer and Cider</t>
  </si>
  <si>
    <t>Grebleknud Meat Company</t>
  </si>
  <si>
    <t>Smudgepot Brewing Company</t>
  </si>
  <si>
    <t>Redbud Brewing</t>
  </si>
  <si>
    <t>Two Locals Brewing Company</t>
  </si>
  <si>
    <t>Parlor Brewing</t>
  </si>
  <si>
    <t>River Junction Brewing Co</t>
  </si>
  <si>
    <t>Northwest Peaks Brewery</t>
  </si>
  <si>
    <t>Calico Outlaw Brewing LLC</t>
  </si>
  <si>
    <t>Arkville</t>
  </si>
  <si>
    <t>Karl Strauss Brewing Company - Corona</t>
  </si>
  <si>
    <t>Mieza Blendery</t>
  </si>
  <si>
    <t>Route 7 Brewing</t>
  </si>
  <si>
    <t>Sojourn Fermentory</t>
  </si>
  <si>
    <t>Banging Gavel Brews</t>
  </si>
  <si>
    <t>Egan &amp; Sons</t>
  </si>
  <si>
    <t>Hawk Moth Brewing Co</t>
  </si>
  <si>
    <t>Karetas Brewing</t>
  </si>
  <si>
    <t>Maine Port Brewing</t>
  </si>
  <si>
    <t>Searsport</t>
  </si>
  <si>
    <t>R&amp;H Brewing Co</t>
  </si>
  <si>
    <t>port chester</t>
  </si>
  <si>
    <t>Craft Mountain Brewing</t>
  </si>
  <si>
    <t>Lake Chelan Brewery</t>
  </si>
  <si>
    <t>Mellotone Beer Project</t>
  </si>
  <si>
    <t>Union Works Brewery LLC</t>
  </si>
  <si>
    <t>Urban Animal Beer Co</t>
  </si>
  <si>
    <t>Pushroot Brewing Company</t>
  </si>
  <si>
    <t>Lander</t>
  </si>
  <si>
    <t>Stay Tuned Brewing</t>
  </si>
  <si>
    <t>Stumblebum Beer Co</t>
  </si>
  <si>
    <t>Arcpoint Brewing Co</t>
  </si>
  <si>
    <t>Greenwich Brewing Co.</t>
  </si>
  <si>
    <t>Brainy Borough Brewing</t>
  </si>
  <si>
    <t>Metuchen</t>
  </si>
  <si>
    <t>East Concord</t>
  </si>
  <si>
    <t>Labora Brewing Company</t>
  </si>
  <si>
    <t>Mathis</t>
  </si>
  <si>
    <t>Cin-Cin Brewhouse &amp; Seafood Bar</t>
  </si>
  <si>
    <t>Tremendous Brewing Company</t>
  </si>
  <si>
    <t>Emrys Beer &amp; Mead Works</t>
  </si>
  <si>
    <t>ABC Brewing</t>
  </si>
  <si>
    <t>The Horse and Frog Brewery</t>
  </si>
  <si>
    <t>Crafted Hope Brewing Company</t>
  </si>
  <si>
    <t>River Trail Beer Works</t>
  </si>
  <si>
    <t>DrinkSip</t>
  </si>
  <si>
    <t>The Well in Wellington</t>
  </si>
  <si>
    <t>Weir Beer Company</t>
  </si>
  <si>
    <t>Cypress Roots Brewing Co</t>
  </si>
  <si>
    <t>Pocomoke City</t>
  </si>
  <si>
    <t>Jemez Mountain Brewhouse</t>
  </si>
  <si>
    <t>Jemez Springs</t>
  </si>
  <si>
    <t>Mystique Barrel Brewing</t>
  </si>
  <si>
    <t>Well &amp; Good Brewing Company</t>
  </si>
  <si>
    <t>North Yarmouth</t>
  </si>
  <si>
    <t>Northern Tropics Brewing</t>
  </si>
  <si>
    <t>Robinhood Brewing Co</t>
  </si>
  <si>
    <t>Iuka</t>
  </si>
  <si>
    <t>German Coast Beer Company</t>
  </si>
  <si>
    <t>Luling</t>
  </si>
  <si>
    <t>Light Years Fermentation</t>
  </si>
  <si>
    <t>Texagon Brewing Company, LLC</t>
  </si>
  <si>
    <t>Cool Daddy Brewing, Inc.</t>
  </si>
  <si>
    <t>Hunker</t>
  </si>
  <si>
    <t>Hoptometry Brewing Company</t>
  </si>
  <si>
    <t>West Plains Brewing</t>
  </si>
  <si>
    <t>Airway Heights</t>
  </si>
  <si>
    <t>Cutthroat Brewing Company</t>
  </si>
  <si>
    <t>Markleeville</t>
  </si>
  <si>
    <t>Prince Frederick</t>
  </si>
  <si>
    <t>Belly Up Brewpub</t>
  </si>
  <si>
    <t>new castle</t>
  </si>
  <si>
    <t>Pfeiffer Brewing Company</t>
  </si>
  <si>
    <t>Show-Me Brewing II LLC</t>
  </si>
  <si>
    <t>Suncatcher Brewing</t>
  </si>
  <si>
    <t>Joseph Wolf Brewing Company</t>
  </si>
  <si>
    <t>Primary Colors Brewing</t>
  </si>
  <si>
    <t>Bandstand Brew Works</t>
  </si>
  <si>
    <t>Warrensburg</t>
  </si>
  <si>
    <t>Brewmaster Jack</t>
  </si>
  <si>
    <t>Chimera Brewing</t>
  </si>
  <si>
    <t>Dodo Brewing Co</t>
  </si>
  <si>
    <t>Floating Lotus Brewery</t>
  </si>
  <si>
    <t>Hard Times Brewing Company, Inc.</t>
  </si>
  <si>
    <t>Khonso Brewing</t>
  </si>
  <si>
    <t>Lake Tahoe AleWorX</t>
  </si>
  <si>
    <t>Negus Brewing Company</t>
  </si>
  <si>
    <t>Palace City Brewing</t>
  </si>
  <si>
    <t>Rick’s Beverages</t>
  </si>
  <si>
    <t>The Frontier Frau</t>
  </si>
  <si>
    <t>Cozad</t>
  </si>
  <si>
    <t>Amery</t>
  </si>
  <si>
    <t>Obriens CV, LLC dba Casa Vieja</t>
  </si>
  <si>
    <t>hear.say brewing</t>
  </si>
  <si>
    <t>Small Change Brewing Company</t>
  </si>
  <si>
    <t>Bier Distillery &amp; Brewery</t>
  </si>
  <si>
    <t>Krauski's Brewskis / The Hoppy Brewer</t>
  </si>
  <si>
    <t>Polk &amp; Paddle</t>
  </si>
  <si>
    <t>5 Bines Brewery</t>
  </si>
  <si>
    <t>Belvidere</t>
  </si>
  <si>
    <t>Warcloud Brewing Co</t>
  </si>
  <si>
    <t>Rowalnd Heights</t>
  </si>
  <si>
    <t>Fairfax Brewing Company</t>
  </si>
  <si>
    <t>Mainely Brews Restaurant and Brewhouse</t>
  </si>
  <si>
    <t>Rivals Sports Grille</t>
  </si>
  <si>
    <t>Kaleidoscope Beer Co.</t>
  </si>
  <si>
    <t>Paris Brewing Co</t>
  </si>
  <si>
    <t>Full Bloom Brewhouse</t>
  </si>
  <si>
    <t>Pinnacle Beerworks</t>
  </si>
  <si>
    <t>Ruckus Brewing</t>
  </si>
  <si>
    <t>Canyon Lakes Golf Course &amp; Brewery</t>
  </si>
  <si>
    <t>San Ramon</t>
  </si>
  <si>
    <t>Coffin Island Brewing</t>
  </si>
  <si>
    <t>Pelagic Brewing</t>
  </si>
  <si>
    <t>Wolftrack Brewing Company</t>
  </si>
  <si>
    <t>Berlin Beer Company</t>
  </si>
  <si>
    <t>Lost Cowboy Brewing Co.</t>
  </si>
  <si>
    <t>Lucky Cat Brewing Co</t>
  </si>
  <si>
    <t>Alva Beer Co.</t>
  </si>
  <si>
    <t>Alva</t>
  </si>
  <si>
    <t>Brouilettes Wine &amp; Beer</t>
  </si>
  <si>
    <t>Eleven Eleven Brewing Company</t>
  </si>
  <si>
    <t>Walden</t>
  </si>
  <si>
    <t>Alessis Ristorante/Garretts Mill Brewing Co.</t>
  </si>
  <si>
    <t>Dripline Brewery</t>
  </si>
  <si>
    <t>Fat Hen Brewing Company</t>
  </si>
  <si>
    <t>High Tanks Brewing Company</t>
  </si>
  <si>
    <t>Wellton</t>
  </si>
  <si>
    <t>SnoTown Brewery</t>
  </si>
  <si>
    <t>Basin+Range Brewery</t>
  </si>
  <si>
    <t>The West</t>
  </si>
  <si>
    <t>Ferdle Turtle Brewing Company</t>
  </si>
  <si>
    <t>Old Gregg Brewing Company</t>
  </si>
  <si>
    <t>Broad Street Brewing Co.</t>
  </si>
  <si>
    <t>Laudenbach Brewing</t>
  </si>
  <si>
    <t>Lewes Brewing Company</t>
  </si>
  <si>
    <t>Riverstone Brewing Company</t>
  </si>
  <si>
    <t>Social Fabric Brewing</t>
  </si>
  <si>
    <t>1889 Brewing Company</t>
  </si>
  <si>
    <t>Farm Hill Brewery</t>
  </si>
  <si>
    <t>Brookville</t>
  </si>
  <si>
    <t>On a Plain Brewing LLC</t>
  </si>
  <si>
    <t>Chubby Mermaid Brewing Co.</t>
  </si>
  <si>
    <t>Decibel Brewing Co</t>
  </si>
  <si>
    <t>Rocket Dog Beer Company</t>
  </si>
  <si>
    <t>Big Pines Brewing</t>
  </si>
  <si>
    <t>Litchfield</t>
  </si>
  <si>
    <t>LlamaNama Beer Labs</t>
  </si>
  <si>
    <t>Mad Macks Brewing LLC</t>
  </si>
  <si>
    <t>Pointer Brewery</t>
  </si>
  <si>
    <t>Van Buren</t>
  </si>
  <si>
    <t>Campbell</t>
  </si>
  <si>
    <t>Force of Nature Brewing</t>
  </si>
  <si>
    <t>Brightworks Brewing</t>
  </si>
  <si>
    <t>Before and After Brewing</t>
  </si>
  <si>
    <t>MACKINAW TRAIL WINERY, INC.</t>
  </si>
  <si>
    <t>Cassopolis Beer Company</t>
  </si>
  <si>
    <t>Cassopolis</t>
  </si>
  <si>
    <t>Starfire Restaurant and Rooftop Brewery</t>
  </si>
  <si>
    <t>Mountain King Brewing Company</t>
  </si>
  <si>
    <t>Windham</t>
  </si>
  <si>
    <t>Chilly Hollow Brewing Company</t>
  </si>
  <si>
    <t>Berryville</t>
  </si>
  <si>
    <t>Cygnet Brewing Company</t>
  </si>
  <si>
    <t>Farmcraft Brewery</t>
  </si>
  <si>
    <t>Red Hand Brewing</t>
  </si>
  <si>
    <t>Emporium Farm Brewery</t>
  </si>
  <si>
    <t>Bilbo's Pizza and Brewery</t>
  </si>
  <si>
    <t>Space Cadet Brewing Company</t>
  </si>
  <si>
    <t>Heronmark</t>
  </si>
  <si>
    <t>Northern Colorado Brewhouse</t>
  </si>
  <si>
    <t>River Ranch Brewing Co. at Rivaura</t>
  </si>
  <si>
    <t>Juliaetta</t>
  </si>
  <si>
    <t>The Martlet</t>
  </si>
  <si>
    <t>The Sanctuary Brewery</t>
  </si>
  <si>
    <t>Wild Fern Brewing</t>
  </si>
  <si>
    <t>Florian East</t>
  </si>
  <si>
    <t>Hamtramck</t>
  </si>
  <si>
    <t>Ginger Road Brewing</t>
  </si>
  <si>
    <t>Maverick Brewing Co.</t>
  </si>
  <si>
    <t>Puritan Coffee &amp; Beer</t>
  </si>
  <si>
    <t>Two Farms Brewing</t>
  </si>
  <si>
    <t>Bloomingburg</t>
  </si>
  <si>
    <t>Two Havens Brewing Co.</t>
  </si>
  <si>
    <t>Smithtown</t>
  </si>
  <si>
    <t>Old Abe Brewing</t>
  </si>
  <si>
    <t>Rizoma Liquid Creations</t>
  </si>
  <si>
    <t>Storybrook Hollow LLC</t>
  </si>
  <si>
    <t>CAIRO</t>
  </si>
  <si>
    <t>Woodburn Pub and Brewery</t>
  </si>
  <si>
    <t>Shermans Dale</t>
  </si>
  <si>
    <t>Clipper Brewing</t>
  </si>
  <si>
    <t>Blind Cat Beer Co.</t>
  </si>
  <si>
    <t>Eckhart Beer Company</t>
  </si>
  <si>
    <t>Old Barn Brewery</t>
  </si>
  <si>
    <t>Samsaric Brewery</t>
  </si>
  <si>
    <t>Mineral Point</t>
  </si>
  <si>
    <t>Sky Puppy Brewing Company</t>
  </si>
  <si>
    <t>The Richfield Brewing Company</t>
  </si>
  <si>
    <t>Richfield</t>
  </si>
  <si>
    <t>Burks Brothers Brewery &amp; Taproom</t>
  </si>
  <si>
    <t>Degree Brewpub</t>
  </si>
  <si>
    <t>South Los Angeles Beverage Company</t>
  </si>
  <si>
    <t xml:space="preserve">Kalamazoo Valley Community College </t>
  </si>
  <si>
    <t>Murder Hill LLC</t>
  </si>
  <si>
    <t>Axehead Beverage Company LLC</t>
  </si>
  <si>
    <t>Reckless Brewing Company</t>
  </si>
  <si>
    <t>Rocks &amp; Hops Brewing</t>
  </si>
  <si>
    <t>Sedgwick</t>
  </si>
  <si>
    <t>Northland Brewing Co</t>
  </si>
  <si>
    <t>Indian River</t>
  </si>
  <si>
    <t>Painted Lady Bed &amp; Brew</t>
  </si>
  <si>
    <t>Scott Free Brewing Company</t>
  </si>
  <si>
    <t>Gering</t>
  </si>
  <si>
    <t>Glass Creek Winery &amp; Brewery</t>
  </si>
  <si>
    <t>Union Avenue Bar &amp; Eatery</t>
  </si>
  <si>
    <t>High Bluff Brewing</t>
  </si>
  <si>
    <t>Madras Brewing Co</t>
  </si>
  <si>
    <t>Madras</t>
  </si>
  <si>
    <t>SoNo Brewing Company LLC</t>
  </si>
  <si>
    <t>Beeline Brew Co</t>
  </si>
  <si>
    <t>The Vinalhaven Community Brewery</t>
  </si>
  <si>
    <t>Vinalhaven</t>
  </si>
  <si>
    <t>Tyrone City Brewing</t>
  </si>
  <si>
    <t>Tyrone</t>
  </si>
  <si>
    <t>Briar House Brewing Company</t>
  </si>
  <si>
    <t>Monett</t>
  </si>
  <si>
    <t>Fountain City Brewing Co / Monarch Public House</t>
  </si>
  <si>
    <t>Fountain City</t>
  </si>
  <si>
    <t>SportsBreweries</t>
  </si>
  <si>
    <t>Mean King Brewing</t>
  </si>
  <si>
    <t>Mecan River Brewing Company</t>
  </si>
  <si>
    <t>Coloma</t>
  </si>
  <si>
    <t>The Back Room Brewing Company</t>
  </si>
  <si>
    <t>Maverick Distilling</t>
  </si>
  <si>
    <t>SAN ANTONIO</t>
  </si>
  <si>
    <t>Watson Brewery</t>
  </si>
  <si>
    <t>Coleman</t>
  </si>
  <si>
    <t>Sugar Land</t>
  </si>
  <si>
    <t>Misfit Brewing</t>
  </si>
  <si>
    <t>The SoCo Taphouse</t>
  </si>
  <si>
    <t>Anonymous Brewing</t>
  </si>
  <si>
    <t>Rowley</t>
  </si>
  <si>
    <t>Fort Ann</t>
  </si>
  <si>
    <t>Blom Meadworks</t>
  </si>
  <si>
    <t>Hub Street Brewery</t>
  </si>
  <si>
    <t>The Send Brewing</t>
  </si>
  <si>
    <t>Hallstead</t>
  </si>
  <si>
    <t>Goodwood Brewing Indy</t>
  </si>
  <si>
    <t>Our Culture Brewing Company</t>
  </si>
  <si>
    <t>Stockbridge</t>
  </si>
  <si>
    <t>Underground Brewing</t>
  </si>
  <si>
    <t>Vinomondo Wine Bar and Brew Pub</t>
  </si>
  <si>
    <t>Control Group Production (2024)</t>
  </si>
  <si>
    <t>The values listed in this table represent the volume each control group contributed to the craft brewer data set in 2024. Breweries that were "do not publish" are not included (they are in a separate tab), but are included in the aggregated numbers. Some brewery volumes include contract for others (removed in total to avoid double counting).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</si>
</sst>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_);_(* \(#,##0\);_(* &quot;-&quot;??_);_(@_)"/>
    <numFmt numFmtId="165" formatCode="&quot;$&quot;#,##0.00"/>
    <numFmt numFmtId="166" formatCode="0.0"/>
    <numFmt numFmtId="167" formatCode="#,##0.0"/>
    <numFmt numFmtId="168" formatCode="0.0%"/>
  </numFmts>
  <fonts count="27" x14ac:knownFonts="1">
    <font>
      <sz val="11"/>
      <color theme="1"/>
      <name val="Calibri"/>
      <family val="2"/>
      <scheme val="minor"/>
    </font>
    <font>
      <sz val="11"/>
      <color theme="1"/>
      <name val="Calibri"/>
      <family val="2"/>
      <scheme val="minor"/>
    </font>
    <font>
      <b/>
      <sz val="11"/>
      <color theme="3"/>
      <name val="Calibri"/>
      <family val="2"/>
      <scheme val="minor"/>
    </font>
    <font>
      <b/>
      <sz val="11"/>
      <color theme="1"/>
      <name val="Calibri"/>
      <family val="2"/>
      <scheme val="minor"/>
    </font>
    <font>
      <sz val="11"/>
      <color theme="0"/>
      <name val="Calibri"/>
      <family val="2"/>
      <scheme val="minor"/>
    </font>
    <font>
      <sz val="10"/>
      <name val="Arial"/>
      <family val="2"/>
    </font>
    <font>
      <b/>
      <sz val="11"/>
      <name val="Calibri"/>
      <family val="2"/>
      <scheme val="minor"/>
    </font>
    <font>
      <sz val="11"/>
      <name val="Calibri"/>
      <family val="2"/>
      <scheme val="minor"/>
    </font>
    <font>
      <sz val="10"/>
      <name val="MS Sans Serif"/>
      <family val="2"/>
    </font>
    <font>
      <sz val="10"/>
      <color indexed="8"/>
      <name val="Arial"/>
      <family val="2"/>
    </font>
    <font>
      <sz val="11"/>
      <color indexed="8"/>
      <name val="Calibri"/>
      <family val="2"/>
      <scheme val="minor"/>
    </font>
    <font>
      <b/>
      <sz val="18"/>
      <color theme="3"/>
      <name val="Calibri"/>
      <family val="2"/>
      <scheme val="minor"/>
    </font>
    <font>
      <sz val="11"/>
      <color rgb="FF000000"/>
      <name val="Calibri"/>
      <family val="2"/>
    </font>
    <font>
      <i/>
      <sz val="16"/>
      <name val="Calibri"/>
      <family val="2"/>
      <scheme val="minor"/>
    </font>
    <font>
      <b/>
      <sz val="12"/>
      <name val="Calibri"/>
      <family val="2"/>
      <scheme val="minor"/>
    </font>
    <font>
      <b/>
      <sz val="12"/>
      <color indexed="56"/>
      <name val="Calibri"/>
      <family val="2"/>
      <scheme val="minor"/>
    </font>
    <font>
      <sz val="10"/>
      <name val="Calibri"/>
      <family val="2"/>
      <scheme val="minor"/>
    </font>
    <font>
      <b/>
      <sz val="11"/>
      <color indexed="8"/>
      <name val="Calibri"/>
      <family val="2"/>
      <scheme val="minor"/>
    </font>
    <font>
      <sz val="11"/>
      <name val="MS Sans Serif"/>
    </font>
    <font>
      <b/>
      <i/>
      <sz val="11"/>
      <name val="Calibri"/>
      <family val="2"/>
      <scheme val="minor"/>
    </font>
    <font>
      <u/>
      <sz val="11"/>
      <color theme="10"/>
      <name val="Calibri"/>
      <family val="2"/>
      <scheme val="minor"/>
    </font>
    <font>
      <sz val="22"/>
      <color theme="1"/>
      <name val="Calibri"/>
      <family val="2"/>
      <scheme val="minor"/>
    </font>
    <font>
      <u/>
      <sz val="22"/>
      <color theme="10"/>
      <name val="Calibri"/>
      <family val="2"/>
      <scheme val="minor"/>
    </font>
    <font>
      <b/>
      <sz val="22"/>
      <color theme="1"/>
      <name val="Calibri"/>
      <family val="2"/>
      <scheme val="minor"/>
    </font>
    <font>
      <i/>
      <sz val="11"/>
      <color theme="1"/>
      <name val="Calibri"/>
      <family val="2"/>
      <scheme val="minor"/>
    </font>
    <font>
      <b/>
      <vertAlign val="superscript"/>
      <sz val="11"/>
      <color theme="1"/>
      <name val="Calibri"/>
      <family val="2"/>
      <scheme val="minor"/>
    </font>
    <font>
      <vertAlign val="superscript"/>
      <sz val="11"/>
      <color theme="1"/>
      <name val="Calibri"/>
      <family val="2"/>
      <scheme val="minor"/>
    </font>
  </fonts>
  <fills count="22">
    <fill>
      <patternFill patternType="none"/>
    </fill>
    <fill>
      <patternFill patternType="gray125"/>
    </fill>
    <fill>
      <patternFill patternType="solid">
        <fgColor theme="8" tint="0.59999389629810485"/>
        <bgColor indexed="64"/>
      </patternFill>
    </fill>
    <fill>
      <patternFill patternType="solid">
        <fgColor theme="8" tint="0.79998168889431442"/>
        <bgColor indexed="64"/>
      </patternFill>
    </fill>
    <fill>
      <patternFill patternType="solid">
        <fgColor theme="0" tint="-0.499984740745262"/>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6"/>
        <bgColor indexed="64"/>
      </patternFill>
    </fill>
    <fill>
      <patternFill patternType="solid">
        <fgColor theme="9"/>
        <bgColor indexed="64"/>
      </patternFill>
    </fill>
    <fill>
      <patternFill patternType="solid">
        <fgColor theme="4"/>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6" tint="0.39997558519241921"/>
        <bgColor indexed="64"/>
      </patternFill>
    </fill>
    <fill>
      <patternFill patternType="solid">
        <fgColor theme="2"/>
        <bgColor indexed="64"/>
      </patternFill>
    </fill>
    <fill>
      <patternFill patternType="solid">
        <fgColor theme="5" tint="0.59999389629810485"/>
        <bgColor indexed="64"/>
      </patternFill>
    </fill>
    <fill>
      <patternFill patternType="solid">
        <fgColor theme="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right/>
      <top/>
      <bottom style="medium">
        <color indexed="64"/>
      </bottom>
      <diagonal/>
    </border>
    <border>
      <left style="thin">
        <color indexed="64"/>
      </left>
      <right/>
      <top style="medium">
        <color indexed="64"/>
      </top>
      <bottom/>
      <diagonal/>
    </border>
    <border>
      <left/>
      <right/>
      <top style="medium">
        <color indexed="64"/>
      </top>
      <bottom/>
      <diagonal/>
    </border>
  </borders>
  <cellStyleXfs count="14">
    <xf numFmtId="0" fontId="0" fillId="0" borderId="0"/>
    <xf numFmtId="43" fontId="1" fillId="0" borderId="0" applyFont="0" applyFill="0" applyBorder="0" applyAlignment="0" applyProtection="0"/>
    <xf numFmtId="0" fontId="5" fillId="0" borderId="0"/>
    <xf numFmtId="0" fontId="5" fillId="0" borderId="0"/>
    <xf numFmtId="0" fontId="1" fillId="0" borderId="0"/>
    <xf numFmtId="43" fontId="8" fillId="0" borderId="0" applyFont="0" applyFill="0" applyBorder="0" applyAlignment="0" applyProtection="0"/>
    <xf numFmtId="0" fontId="9" fillId="0" borderId="0"/>
    <xf numFmtId="0" fontId="1" fillId="0" borderId="0"/>
    <xf numFmtId="43" fontId="8" fillId="0" borderId="0" applyFont="0" applyFill="0" applyBorder="0" applyAlignment="0" applyProtection="0"/>
    <xf numFmtId="0" fontId="5" fillId="0" borderId="0"/>
    <xf numFmtId="43" fontId="1" fillId="0" borderId="0" applyFont="0" applyFill="0" applyBorder="0" applyAlignment="0" applyProtection="0"/>
    <xf numFmtId="0" fontId="1" fillId="0" borderId="0"/>
    <xf numFmtId="0" fontId="8" fillId="0" borderId="0"/>
    <xf numFmtId="0" fontId="20" fillId="0" borderId="0" applyNumberFormat="0" applyFill="0" applyBorder="0" applyAlignment="0" applyProtection="0"/>
  </cellStyleXfs>
  <cellXfs count="251">
    <xf numFmtId="0" fontId="0" fillId="0" borderId="0" xfId="0"/>
    <xf numFmtId="0" fontId="0" fillId="0" borderId="0" xfId="0" applyAlignment="1">
      <alignment horizontal="center"/>
    </xf>
    <xf numFmtId="0" fontId="6" fillId="2" borderId="1" xfId="2" applyFont="1" applyFill="1" applyBorder="1"/>
    <xf numFmtId="0" fontId="7" fillId="3" borderId="1" xfId="3" applyFont="1" applyFill="1" applyBorder="1"/>
    <xf numFmtId="0" fontId="7" fillId="3" borderId="1" xfId="2" applyFont="1" applyFill="1" applyBorder="1"/>
    <xf numFmtId="3" fontId="7" fillId="0" borderId="1" xfId="0" applyNumberFormat="1" applyFont="1" applyBorder="1"/>
    <xf numFmtId="164" fontId="7" fillId="0" borderId="2" xfId="1" applyNumberFormat="1" applyFont="1" applyFill="1" applyBorder="1"/>
    <xf numFmtId="164" fontId="7" fillId="0" borderId="1" xfId="1" applyNumberFormat="1" applyFont="1" applyFill="1" applyBorder="1"/>
    <xf numFmtId="164" fontId="7" fillId="0" borderId="1" xfId="5" applyNumberFormat="1" applyFont="1" applyFill="1" applyBorder="1"/>
    <xf numFmtId="3" fontId="7" fillId="0" borderId="1" xfId="2" applyNumberFormat="1" applyFont="1" applyBorder="1"/>
    <xf numFmtId="164" fontId="7" fillId="0" borderId="0" xfId="1" applyNumberFormat="1" applyFont="1" applyFill="1" applyBorder="1"/>
    <xf numFmtId="164" fontId="7" fillId="0" borderId="0" xfId="5" applyNumberFormat="1" applyFont="1"/>
    <xf numFmtId="164" fontId="7" fillId="0" borderId="1" xfId="5" applyNumberFormat="1" applyFont="1" applyBorder="1"/>
    <xf numFmtId="0" fontId="7" fillId="4" borderId="1" xfId="2" applyFont="1" applyFill="1" applyBorder="1"/>
    <xf numFmtId="164" fontId="7" fillId="4" borderId="1" xfId="1" applyNumberFormat="1" applyFont="1" applyFill="1" applyBorder="1"/>
    <xf numFmtId="164" fontId="7" fillId="4" borderId="1" xfId="5" applyNumberFormat="1" applyFont="1" applyFill="1" applyBorder="1"/>
    <xf numFmtId="3" fontId="7" fillId="4" borderId="1" xfId="2" applyNumberFormat="1" applyFont="1" applyFill="1" applyBorder="1"/>
    <xf numFmtId="165" fontId="7" fillId="4" borderId="1" xfId="2" applyNumberFormat="1" applyFont="1" applyFill="1" applyBorder="1"/>
    <xf numFmtId="0" fontId="6" fillId="5" borderId="1" xfId="2" applyFont="1" applyFill="1" applyBorder="1"/>
    <xf numFmtId="3" fontId="7" fillId="3" borderId="0" xfId="3" applyNumberFormat="1" applyFont="1" applyFill="1"/>
    <xf numFmtId="0" fontId="6" fillId="5" borderId="1" xfId="3" applyFont="1" applyFill="1" applyBorder="1"/>
    <xf numFmtId="3" fontId="7" fillId="0" borderId="1" xfId="3" applyNumberFormat="1" applyFont="1" applyBorder="1"/>
    <xf numFmtId="166" fontId="7" fillId="0" borderId="1" xfId="3" applyNumberFormat="1" applyFont="1" applyBorder="1"/>
    <xf numFmtId="0" fontId="6" fillId="2" borderId="1" xfId="3" applyFont="1" applyFill="1" applyBorder="1"/>
    <xf numFmtId="0" fontId="7" fillId="0" borderId="1" xfId="2" applyFont="1" applyBorder="1"/>
    <xf numFmtId="164" fontId="7" fillId="0" borderId="1" xfId="1" applyNumberFormat="1" applyFont="1" applyBorder="1"/>
    <xf numFmtId="164" fontId="1" fillId="0" borderId="1" xfId="1" applyNumberFormat="1" applyFont="1" applyBorder="1"/>
    <xf numFmtId="164" fontId="1" fillId="4" borderId="1" xfId="1" applyNumberFormat="1" applyFont="1" applyFill="1" applyBorder="1"/>
    <xf numFmtId="0" fontId="7" fillId="0" borderId="0" xfId="3" applyFont="1"/>
    <xf numFmtId="0" fontId="7" fillId="0" borderId="1" xfId="3" applyFont="1" applyBorder="1"/>
    <xf numFmtId="2" fontId="7" fillId="0" borderId="1" xfId="3" applyNumberFormat="1" applyFont="1" applyBorder="1"/>
    <xf numFmtId="4" fontId="7" fillId="0" borderId="1" xfId="3" applyNumberFormat="1" applyFont="1" applyBorder="1"/>
    <xf numFmtId="0" fontId="7" fillId="0" borderId="0" xfId="0" applyFont="1"/>
    <xf numFmtId="0" fontId="0" fillId="8" borderId="11" xfId="0" applyFill="1" applyBorder="1" applyAlignment="1">
      <alignment horizontal="center"/>
    </xf>
    <xf numFmtId="3" fontId="7" fillId="0" borderId="0" xfId="0" applyNumberFormat="1" applyFont="1"/>
    <xf numFmtId="0" fontId="6" fillId="10" borderId="6" xfId="0" applyFont="1" applyFill="1" applyBorder="1"/>
    <xf numFmtId="49" fontId="3" fillId="11" borderId="5" xfId="7" applyNumberFormat="1" applyFont="1" applyFill="1" applyBorder="1"/>
    <xf numFmtId="49" fontId="3" fillId="13" borderId="13" xfId="7" applyNumberFormat="1" applyFont="1" applyFill="1" applyBorder="1"/>
    <xf numFmtId="49" fontId="0" fillId="13" borderId="13" xfId="7" applyNumberFormat="1" applyFont="1" applyFill="1" applyBorder="1" applyAlignment="1">
      <alignment horizontal="left" indent="2"/>
    </xf>
    <xf numFmtId="49" fontId="7" fillId="13" borderId="13" xfId="7" applyNumberFormat="1" applyFont="1" applyFill="1" applyBorder="1" applyAlignment="1">
      <alignment horizontal="left" indent="2"/>
    </xf>
    <xf numFmtId="3" fontId="7" fillId="14" borderId="0" xfId="0" applyNumberFormat="1" applyFont="1" applyFill="1"/>
    <xf numFmtId="0" fontId="6" fillId="7" borderId="6" xfId="0" applyFont="1" applyFill="1" applyBorder="1"/>
    <xf numFmtId="0" fontId="6" fillId="0" borderId="9" xfId="0" applyFont="1" applyBorder="1"/>
    <xf numFmtId="0" fontId="7" fillId="8" borderId="12" xfId="0" applyFont="1" applyFill="1" applyBorder="1" applyAlignment="1">
      <alignment vertical="center"/>
    </xf>
    <xf numFmtId="0" fontId="7" fillId="8" borderId="15" xfId="0" applyFont="1" applyFill="1" applyBorder="1" applyAlignment="1">
      <alignment vertical="center"/>
    </xf>
    <xf numFmtId="0" fontId="7" fillId="0" borderId="10" xfId="0" applyFont="1" applyBorder="1" applyAlignment="1">
      <alignment vertical="center"/>
    </xf>
    <xf numFmtId="0" fontId="7" fillId="8" borderId="3" xfId="0" applyFont="1" applyFill="1" applyBorder="1" applyAlignment="1">
      <alignment vertical="center"/>
    </xf>
    <xf numFmtId="0" fontId="7" fillId="8" borderId="1" xfId="0" applyFont="1" applyFill="1" applyBorder="1" applyAlignment="1">
      <alignment vertical="center"/>
    </xf>
    <xf numFmtId="0" fontId="7" fillId="7" borderId="1" xfId="0" applyFont="1" applyFill="1" applyBorder="1" applyAlignment="1">
      <alignment vertical="center"/>
    </xf>
    <xf numFmtId="0" fontId="6" fillId="7" borderId="1" xfId="0" applyFont="1" applyFill="1" applyBorder="1" applyAlignment="1">
      <alignment vertical="center"/>
    </xf>
    <xf numFmtId="0" fontId="6" fillId="0" borderId="10" xfId="0" applyFont="1" applyBorder="1" applyAlignment="1">
      <alignment vertical="center"/>
    </xf>
    <xf numFmtId="0" fontId="7" fillId="0" borderId="0" xfId="0" quotePrefix="1" applyFont="1"/>
    <xf numFmtId="0" fontId="6" fillId="6" borderId="6" xfId="9" applyFont="1" applyFill="1" applyBorder="1" applyAlignment="1">
      <alignment horizontal="center" vertical="center" wrapText="1"/>
    </xf>
    <xf numFmtId="0" fontId="6" fillId="0" borderId="10" xfId="9" applyFont="1" applyBorder="1" applyAlignment="1">
      <alignment horizontal="center" vertical="center" wrapText="1"/>
    </xf>
    <xf numFmtId="0" fontId="6" fillId="0" borderId="9" xfId="9" applyFont="1" applyBorder="1" applyAlignment="1">
      <alignment horizontal="center" vertical="center" wrapText="1"/>
    </xf>
    <xf numFmtId="0" fontId="6" fillId="5" borderId="5" xfId="9" applyFont="1" applyFill="1" applyBorder="1" applyAlignment="1">
      <alignment horizontal="center" vertical="center" wrapText="1"/>
    </xf>
    <xf numFmtId="0" fontId="6" fillId="5" borderId="8" xfId="9" applyFont="1" applyFill="1" applyBorder="1" applyAlignment="1">
      <alignment horizontal="center" vertical="center" wrapText="1"/>
    </xf>
    <xf numFmtId="1" fontId="6" fillId="5" borderId="5" xfId="9" applyNumberFormat="1" applyFont="1" applyFill="1" applyBorder="1" applyAlignment="1">
      <alignment horizontal="center" vertical="center" wrapText="1"/>
    </xf>
    <xf numFmtId="0" fontId="6" fillId="7" borderId="5" xfId="9" applyFont="1" applyFill="1" applyBorder="1" applyAlignment="1">
      <alignment horizontal="center" vertical="center" wrapText="1"/>
    </xf>
    <xf numFmtId="0" fontId="6" fillId="7" borderId="8" xfId="9" applyFont="1" applyFill="1" applyBorder="1" applyAlignment="1">
      <alignment horizontal="center" vertical="center" wrapText="1"/>
    </xf>
    <xf numFmtId="0" fontId="1" fillId="9" borderId="15" xfId="4" applyFill="1" applyBorder="1"/>
    <xf numFmtId="0" fontId="1" fillId="0" borderId="10" xfId="4" applyBorder="1"/>
    <xf numFmtId="3" fontId="1" fillId="0" borderId="10" xfId="4" applyNumberFormat="1" applyBorder="1"/>
    <xf numFmtId="0" fontId="7" fillId="14" borderId="11" xfId="0" applyFont="1" applyFill="1" applyBorder="1" applyAlignment="1">
      <alignment horizontal="center"/>
    </xf>
    <xf numFmtId="0" fontId="7" fillId="0" borderId="10" xfId="9" applyFont="1" applyBorder="1" applyAlignment="1">
      <alignment horizontal="center"/>
    </xf>
    <xf numFmtId="0" fontId="7" fillId="8" borderId="11" xfId="0" applyFont="1" applyFill="1" applyBorder="1" applyAlignment="1">
      <alignment horizontal="center"/>
    </xf>
    <xf numFmtId="39" fontId="7" fillId="8" borderId="11" xfId="10" applyNumberFormat="1" applyFont="1" applyFill="1" applyBorder="1" applyAlignment="1">
      <alignment horizontal="center"/>
    </xf>
    <xf numFmtId="0" fontId="7" fillId="8" borderId="11" xfId="9" applyFont="1" applyFill="1" applyBorder="1" applyAlignment="1">
      <alignment horizontal="center"/>
    </xf>
    <xf numFmtId="0" fontId="1" fillId="9" borderId="3" xfId="4" applyFill="1" applyBorder="1"/>
    <xf numFmtId="0" fontId="7" fillId="14" borderId="1" xfId="0" applyFont="1" applyFill="1" applyBorder="1" applyAlignment="1">
      <alignment horizontal="center"/>
    </xf>
    <xf numFmtId="0" fontId="1" fillId="9" borderId="1" xfId="4" applyFill="1" applyBorder="1"/>
    <xf numFmtId="0" fontId="1" fillId="0" borderId="0" xfId="4"/>
    <xf numFmtId="3" fontId="1" fillId="0" borderId="0" xfId="4" applyNumberFormat="1"/>
    <xf numFmtId="0" fontId="7" fillId="0" borderId="0" xfId="0" applyFont="1" applyAlignment="1">
      <alignment horizontal="center"/>
    </xf>
    <xf numFmtId="43" fontId="7" fillId="0" borderId="0" xfId="10" applyFont="1" applyFill="1" applyBorder="1" applyAlignment="1">
      <alignment horizontal="center"/>
    </xf>
    <xf numFmtId="1" fontId="7" fillId="0" borderId="0" xfId="9" applyNumberFormat="1" applyFont="1" applyAlignment="1">
      <alignment horizontal="center"/>
    </xf>
    <xf numFmtId="0" fontId="7" fillId="0" borderId="0" xfId="9" applyFont="1" applyAlignment="1">
      <alignment horizontal="center"/>
    </xf>
    <xf numFmtId="39" fontId="7" fillId="0" borderId="0" xfId="10" applyNumberFormat="1" applyFont="1" applyFill="1" applyBorder="1" applyAlignment="1">
      <alignment horizontal="center"/>
    </xf>
    <xf numFmtId="0" fontId="6" fillId="6" borderId="5" xfId="0" applyFont="1" applyFill="1" applyBorder="1" applyAlignment="1">
      <alignment horizontal="left"/>
    </xf>
    <xf numFmtId="0" fontId="6" fillId="18" borderId="5" xfId="0" applyFont="1" applyFill="1" applyBorder="1" applyAlignment="1">
      <alignment horizontal="left"/>
    </xf>
    <xf numFmtId="0" fontId="1" fillId="9" borderId="11" xfId="4" applyFill="1" applyBorder="1"/>
    <xf numFmtId="0" fontId="6" fillId="11" borderId="1" xfId="0" applyFont="1" applyFill="1" applyBorder="1"/>
    <xf numFmtId="3" fontId="6" fillId="18" borderId="1" xfId="0" applyNumberFormat="1" applyFont="1" applyFill="1" applyBorder="1" applyAlignment="1">
      <alignment horizontal="center"/>
    </xf>
    <xf numFmtId="168" fontId="6" fillId="18" borderId="1" xfId="0" applyNumberFormat="1" applyFont="1" applyFill="1" applyBorder="1" applyAlignment="1">
      <alignment horizontal="center"/>
    </xf>
    <xf numFmtId="0" fontId="13" fillId="0" borderId="0" xfId="0" applyFont="1" applyAlignment="1">
      <alignment horizontal="left"/>
    </xf>
    <xf numFmtId="0" fontId="2" fillId="0" borderId="0" xfId="0" applyFont="1" applyAlignment="1">
      <alignment horizontal="left" vertical="center"/>
    </xf>
    <xf numFmtId="0" fontId="11" fillId="0" borderId="0" xfId="0" applyFont="1" applyAlignment="1">
      <alignment horizontal="left" vertical="center"/>
    </xf>
    <xf numFmtId="0" fontId="16" fillId="0" borderId="0" xfId="0" applyFont="1" applyAlignment="1">
      <alignment horizontal="left"/>
    </xf>
    <xf numFmtId="0" fontId="14" fillId="12" borderId="1" xfId="0" applyFont="1" applyFill="1" applyBorder="1" applyAlignment="1">
      <alignment horizontal="center" vertical="center"/>
    </xf>
    <xf numFmtId="0" fontId="14" fillId="12" borderId="1" xfId="0" applyFont="1" applyFill="1" applyBorder="1" applyAlignment="1">
      <alignment horizontal="center" vertical="center" wrapText="1"/>
    </xf>
    <xf numFmtId="0" fontId="14" fillId="12" borderId="10" xfId="0" applyFont="1" applyFill="1" applyBorder="1" applyAlignment="1">
      <alignment horizontal="center" vertical="center"/>
    </xf>
    <xf numFmtId="0" fontId="6" fillId="18" borderId="9" xfId="0" applyFont="1" applyFill="1" applyBorder="1" applyAlignment="1">
      <alignment horizontal="left" vertical="top"/>
    </xf>
    <xf numFmtId="0" fontId="17" fillId="17" borderId="9" xfId="0" applyFont="1" applyFill="1" applyBorder="1" applyAlignment="1">
      <alignment horizontal="center" vertical="center"/>
    </xf>
    <xf numFmtId="0" fontId="18" fillId="0" borderId="0" xfId="0" applyFont="1"/>
    <xf numFmtId="0" fontId="7" fillId="13" borderId="1" xfId="0" applyFont="1" applyFill="1" applyBorder="1" applyAlignment="1">
      <alignment horizontal="left"/>
    </xf>
    <xf numFmtId="0" fontId="7" fillId="14" borderId="1" xfId="0" applyFont="1" applyFill="1" applyBorder="1"/>
    <xf numFmtId="0" fontId="7" fillId="14" borderId="1" xfId="12" applyFont="1" applyFill="1" applyBorder="1"/>
    <xf numFmtId="3" fontId="7" fillId="14" borderId="1" xfId="12" applyNumberFormat="1" applyFont="1" applyFill="1" applyBorder="1"/>
    <xf numFmtId="0" fontId="4" fillId="0" borderId="4" xfId="0" applyFont="1" applyBorder="1"/>
    <xf numFmtId="0" fontId="4" fillId="0" borderId="2" xfId="0" applyFont="1" applyBorder="1"/>
    <xf numFmtId="0" fontId="19" fillId="13" borderId="1" xfId="0" applyFont="1" applyFill="1" applyBorder="1" applyAlignment="1">
      <alignment horizontal="left"/>
    </xf>
    <xf numFmtId="3" fontId="7" fillId="17" borderId="1" xfId="0" applyNumberFormat="1" applyFont="1" applyFill="1" applyBorder="1"/>
    <xf numFmtId="3" fontId="6" fillId="0" borderId="0" xfId="0" applyNumberFormat="1" applyFont="1" applyAlignment="1">
      <alignment horizontal="center"/>
    </xf>
    <xf numFmtId="3" fontId="6" fillId="20" borderId="1" xfId="0" applyNumberFormat="1" applyFont="1" applyFill="1" applyBorder="1" applyAlignment="1">
      <alignment horizontal="center"/>
    </xf>
    <xf numFmtId="2" fontId="6" fillId="20" borderId="1" xfId="0" applyNumberFormat="1" applyFont="1" applyFill="1" applyBorder="1" applyAlignment="1">
      <alignment horizontal="center"/>
    </xf>
    <xf numFmtId="3" fontId="6" fillId="17" borderId="1" xfId="0" applyNumberFormat="1" applyFont="1" applyFill="1" applyBorder="1" applyAlignment="1">
      <alignment horizontal="center"/>
    </xf>
    <xf numFmtId="2" fontId="6" fillId="17" borderId="1" xfId="0" applyNumberFormat="1" applyFont="1" applyFill="1" applyBorder="1" applyAlignment="1">
      <alignment horizontal="center"/>
    </xf>
    <xf numFmtId="0" fontId="1" fillId="16" borderId="1" xfId="4" applyFill="1" applyBorder="1"/>
    <xf numFmtId="2" fontId="7" fillId="14" borderId="11" xfId="0" applyNumberFormat="1" applyFont="1" applyFill="1" applyBorder="1" applyAlignment="1">
      <alignment horizontal="center"/>
    </xf>
    <xf numFmtId="0" fontId="0" fillId="14" borderId="11" xfId="0" applyFill="1" applyBorder="1" applyAlignment="1">
      <alignment horizontal="center"/>
    </xf>
    <xf numFmtId="168" fontId="0" fillId="19" borderId="11" xfId="0" applyNumberFormat="1" applyFill="1" applyBorder="1" applyAlignment="1">
      <alignment horizontal="center"/>
    </xf>
    <xf numFmtId="0" fontId="6" fillId="18" borderId="5" xfId="9" applyFont="1" applyFill="1" applyBorder="1" applyAlignment="1">
      <alignment horizontal="center" vertical="center" wrapText="1"/>
    </xf>
    <xf numFmtId="3" fontId="0" fillId="0" borderId="0" xfId="0" applyNumberFormat="1"/>
    <xf numFmtId="165" fontId="0" fillId="0" borderId="0" xfId="0" applyNumberFormat="1"/>
    <xf numFmtId="164" fontId="7" fillId="0" borderId="0" xfId="5" applyNumberFormat="1" applyFont="1" applyFill="1" applyBorder="1"/>
    <xf numFmtId="43" fontId="7" fillId="0" borderId="0" xfId="0" applyNumberFormat="1" applyFont="1"/>
    <xf numFmtId="0" fontId="7" fillId="17" borderId="5" xfId="0" applyFont="1" applyFill="1" applyBorder="1" applyAlignment="1">
      <alignment horizontal="left"/>
    </xf>
    <xf numFmtId="0" fontId="7" fillId="14" borderId="10" xfId="0" applyFont="1" applyFill="1" applyBorder="1" applyAlignment="1">
      <alignment horizontal="left"/>
    </xf>
    <xf numFmtId="0" fontId="7" fillId="14" borderId="11" xfId="0" applyFont="1" applyFill="1" applyBorder="1" applyAlignment="1">
      <alignment horizontal="left"/>
    </xf>
    <xf numFmtId="0" fontId="7" fillId="0" borderId="7" xfId="0" applyFont="1" applyBorder="1" applyAlignment="1">
      <alignment horizontal="center"/>
    </xf>
    <xf numFmtId="0" fontId="7" fillId="17" borderId="5" xfId="0" applyFont="1" applyFill="1" applyBorder="1" applyAlignment="1">
      <alignment horizontal="center"/>
    </xf>
    <xf numFmtId="166" fontId="7" fillId="0" borderId="0" xfId="0" applyNumberFormat="1" applyFont="1" applyAlignment="1">
      <alignment horizontal="center"/>
    </xf>
    <xf numFmtId="3" fontId="7" fillId="14" borderId="10" xfId="0" applyNumberFormat="1" applyFont="1" applyFill="1" applyBorder="1" applyAlignment="1">
      <alignment horizontal="center"/>
    </xf>
    <xf numFmtId="3" fontId="7" fillId="0" borderId="0" xfId="0" applyNumberFormat="1" applyFont="1" applyAlignment="1">
      <alignment horizontal="center"/>
    </xf>
    <xf numFmtId="1" fontId="7" fillId="14" borderId="10" xfId="0" applyNumberFormat="1" applyFont="1" applyFill="1" applyBorder="1" applyAlignment="1">
      <alignment horizontal="center"/>
    </xf>
    <xf numFmtId="166" fontId="7" fillId="0" borderId="12" xfId="0" applyNumberFormat="1" applyFont="1" applyBorder="1" applyAlignment="1">
      <alignment horizontal="center"/>
    </xf>
    <xf numFmtId="3" fontId="7" fillId="0" borderId="12" xfId="0" applyNumberFormat="1" applyFont="1" applyBorder="1" applyAlignment="1">
      <alignment horizontal="center"/>
    </xf>
    <xf numFmtId="1" fontId="7" fillId="14" borderId="11" xfId="0" applyNumberFormat="1" applyFont="1" applyFill="1" applyBorder="1" applyAlignment="1">
      <alignment horizontal="center"/>
    </xf>
    <xf numFmtId="3" fontId="7" fillId="14" borderId="11" xfId="0" applyNumberFormat="1" applyFont="1" applyFill="1" applyBorder="1" applyAlignment="1">
      <alignment horizontal="center"/>
    </xf>
    <xf numFmtId="0" fontId="3" fillId="0" borderId="7" xfId="0" applyFont="1" applyBorder="1" applyAlignment="1">
      <alignment horizontal="center" vertical="center"/>
    </xf>
    <xf numFmtId="0" fontId="3" fillId="5" borderId="8" xfId="0" applyFont="1" applyFill="1" applyBorder="1" applyAlignment="1">
      <alignment horizontal="center" wrapText="1"/>
    </xf>
    <xf numFmtId="0" fontId="3" fillId="6" borderId="5" xfId="0" applyFont="1" applyFill="1" applyBorder="1" applyAlignment="1">
      <alignment vertical="center"/>
    </xf>
    <xf numFmtId="0" fontId="3" fillId="7" borderId="5" xfId="0" applyFont="1" applyFill="1" applyBorder="1" applyAlignment="1">
      <alignment horizontal="center" vertical="center"/>
    </xf>
    <xf numFmtId="49" fontId="1" fillId="13" borderId="13" xfId="7" applyNumberFormat="1" applyFill="1" applyBorder="1" applyAlignment="1">
      <alignment horizontal="left" indent="2"/>
    </xf>
    <xf numFmtId="3" fontId="1" fillId="14" borderId="0" xfId="7" applyNumberFormat="1" applyFill="1" applyAlignment="1">
      <alignment horizontal="right"/>
    </xf>
    <xf numFmtId="3" fontId="3" fillId="14" borderId="0" xfId="7" applyNumberFormat="1" applyFont="1" applyFill="1" applyAlignment="1">
      <alignment horizontal="left"/>
    </xf>
    <xf numFmtId="3" fontId="1" fillId="14" borderId="0" xfId="7" applyNumberFormat="1" applyFill="1"/>
    <xf numFmtId="3" fontId="0" fillId="14" borderId="0" xfId="0" applyNumberFormat="1" applyFill="1"/>
    <xf numFmtId="3" fontId="7" fillId="14" borderId="0" xfId="0" applyNumberFormat="1" applyFont="1" applyFill="1" applyAlignment="1">
      <alignment horizontal="right"/>
    </xf>
    <xf numFmtId="3" fontId="6" fillId="14" borderId="0" xfId="0" applyNumberFormat="1" applyFont="1" applyFill="1" applyAlignment="1">
      <alignment horizontal="left"/>
    </xf>
    <xf numFmtId="49" fontId="3" fillId="15" borderId="3" xfId="7" applyNumberFormat="1" applyFont="1" applyFill="1" applyBorder="1"/>
    <xf numFmtId="49" fontId="3" fillId="12" borderId="7" xfId="7" applyNumberFormat="1" applyFont="1" applyFill="1" applyBorder="1"/>
    <xf numFmtId="3" fontId="0" fillId="9" borderId="1" xfId="0" applyNumberFormat="1" applyFill="1" applyBorder="1" applyAlignment="1">
      <alignment horizontal="center"/>
    </xf>
    <xf numFmtId="3" fontId="0" fillId="9" borderId="11" xfId="0" applyNumberFormat="1" applyFill="1" applyBorder="1" applyAlignment="1">
      <alignment horizontal="center"/>
    </xf>
    <xf numFmtId="3" fontId="12" fillId="0" borderId="11" xfId="0" applyNumberFormat="1" applyFont="1" applyBorder="1" applyAlignment="1">
      <alignment horizontal="center"/>
    </xf>
    <xf numFmtId="3" fontId="0" fillId="0" borderId="11" xfId="0" applyNumberFormat="1" applyBorder="1" applyAlignment="1" applyProtection="1">
      <alignment horizontal="center"/>
      <protection locked="0"/>
    </xf>
    <xf numFmtId="0" fontId="6" fillId="6" borderId="5" xfId="0" applyFont="1" applyFill="1" applyBorder="1" applyAlignment="1">
      <alignment horizontal="center"/>
    </xf>
    <xf numFmtId="0" fontId="6" fillId="0" borderId="10" xfId="0" applyFont="1" applyBorder="1" applyAlignment="1">
      <alignment horizontal="center"/>
    </xf>
    <xf numFmtId="166" fontId="6" fillId="18" borderId="5" xfId="0" applyNumberFormat="1" applyFont="1" applyFill="1" applyBorder="1" applyAlignment="1">
      <alignment horizontal="center" wrapText="1"/>
    </xf>
    <xf numFmtId="3" fontId="7" fillId="9" borderId="11" xfId="0" applyNumberFormat="1" applyFont="1" applyFill="1" applyBorder="1" applyAlignment="1">
      <alignment horizontal="center" vertical="center"/>
    </xf>
    <xf numFmtId="3" fontId="7" fillId="9" borderId="11" xfId="0" applyNumberFormat="1" applyFont="1" applyFill="1" applyBorder="1" applyAlignment="1">
      <alignment horizontal="center"/>
    </xf>
    <xf numFmtId="3" fontId="7" fillId="9" borderId="16" xfId="0" applyNumberFormat="1" applyFont="1" applyFill="1" applyBorder="1" applyAlignment="1">
      <alignment horizontal="center" vertical="center"/>
    </xf>
    <xf numFmtId="164" fontId="7" fillId="9" borderId="12" xfId="8" applyNumberFormat="1" applyFont="1" applyFill="1" applyBorder="1" applyAlignment="1">
      <alignment horizontal="center" vertical="center"/>
    </xf>
    <xf numFmtId="164" fontId="7" fillId="9" borderId="11" xfId="8" applyNumberFormat="1" applyFont="1" applyFill="1" applyBorder="1" applyAlignment="1">
      <alignment horizontal="center" vertical="center"/>
    </xf>
    <xf numFmtId="164" fontId="7" fillId="0" borderId="0" xfId="8" applyNumberFormat="1" applyFont="1" applyFill="1" applyBorder="1" applyAlignment="1">
      <alignment horizontal="center" vertical="center"/>
    </xf>
    <xf numFmtId="166" fontId="7" fillId="13" borderId="11" xfId="0" applyNumberFormat="1" applyFont="1" applyFill="1" applyBorder="1" applyAlignment="1">
      <alignment horizontal="center" vertical="center"/>
    </xf>
    <xf numFmtId="1" fontId="7" fillId="13" borderId="11" xfId="0" applyNumberFormat="1" applyFont="1" applyFill="1" applyBorder="1" applyAlignment="1">
      <alignment horizontal="center" vertical="center"/>
    </xf>
    <xf numFmtId="3" fontId="7" fillId="9" borderId="1" xfId="0" applyNumberFormat="1" applyFont="1" applyFill="1" applyBorder="1" applyAlignment="1">
      <alignment horizontal="center" vertical="center"/>
    </xf>
    <xf numFmtId="3" fontId="7" fillId="9" borderId="1" xfId="0" applyNumberFormat="1" applyFont="1" applyFill="1" applyBorder="1" applyAlignment="1">
      <alignment horizontal="center"/>
    </xf>
    <xf numFmtId="3" fontId="7" fillId="9" borderId="2" xfId="0" applyNumberFormat="1" applyFont="1" applyFill="1" applyBorder="1" applyAlignment="1">
      <alignment horizontal="center" vertical="center"/>
    </xf>
    <xf numFmtId="164" fontId="7" fillId="9" borderId="4" xfId="8" applyNumberFormat="1" applyFont="1" applyFill="1" applyBorder="1" applyAlignment="1">
      <alignment horizontal="center" vertical="center"/>
    </xf>
    <xf numFmtId="164" fontId="7" fillId="9" borderId="1" xfId="8" applyNumberFormat="1" applyFont="1" applyFill="1" applyBorder="1" applyAlignment="1">
      <alignment horizontal="center" vertical="center"/>
    </xf>
    <xf numFmtId="164" fontId="6" fillId="6" borderId="1" xfId="8" applyNumberFormat="1" applyFont="1" applyFill="1" applyBorder="1" applyAlignment="1">
      <alignment horizontal="center" vertical="center"/>
    </xf>
    <xf numFmtId="3" fontId="6" fillId="18" borderId="1" xfId="0" applyNumberFormat="1" applyFont="1" applyFill="1" applyBorder="1" applyAlignment="1">
      <alignment horizontal="center" vertical="center"/>
    </xf>
    <xf numFmtId="167" fontId="6" fillId="18" borderId="1" xfId="0" applyNumberFormat="1" applyFont="1" applyFill="1" applyBorder="1" applyAlignment="1">
      <alignment horizontal="center" vertical="center"/>
    </xf>
    <xf numFmtId="3" fontId="0" fillId="14" borderId="14" xfId="0" applyNumberFormat="1" applyFill="1" applyBorder="1"/>
    <xf numFmtId="3" fontId="7" fillId="14" borderId="14" xfId="0" applyNumberFormat="1" applyFont="1" applyFill="1" applyBorder="1"/>
    <xf numFmtId="0" fontId="7" fillId="9" borderId="10" xfId="0" applyFont="1" applyFill="1" applyBorder="1"/>
    <xf numFmtId="0" fontId="7" fillId="16" borderId="1" xfId="0" applyFont="1" applyFill="1" applyBorder="1"/>
    <xf numFmtId="3" fontId="6" fillId="17" borderId="4" xfId="0" applyNumberFormat="1" applyFont="1" applyFill="1" applyBorder="1"/>
    <xf numFmtId="49" fontId="3" fillId="12" borderId="7" xfId="7" applyNumberFormat="1" applyFont="1" applyFill="1" applyBorder="1" applyAlignment="1">
      <alignment horizontal="center"/>
    </xf>
    <xf numFmtId="9" fontId="0" fillId="0" borderId="0" xfId="0" applyNumberFormat="1" applyAlignment="1">
      <alignment horizontal="center"/>
    </xf>
    <xf numFmtId="9" fontId="0" fillId="0" borderId="14" xfId="0" applyNumberFormat="1" applyBorder="1" applyAlignment="1">
      <alignment horizontal="center"/>
    </xf>
    <xf numFmtId="9" fontId="0" fillId="0" borderId="4" xfId="0" applyNumberFormat="1" applyBorder="1" applyAlignment="1">
      <alignment horizontal="center"/>
    </xf>
    <xf numFmtId="9" fontId="0" fillId="0" borderId="2" xfId="0" applyNumberFormat="1" applyBorder="1" applyAlignment="1">
      <alignment horizontal="center"/>
    </xf>
    <xf numFmtId="3" fontId="10" fillId="0" borderId="1" xfId="6" applyNumberFormat="1" applyFont="1" applyBorder="1" applyAlignment="1">
      <alignment horizontal="right" wrapText="1"/>
    </xf>
    <xf numFmtId="3" fontId="7" fillId="0" borderId="1" xfId="3" quotePrefix="1" applyNumberFormat="1" applyFont="1" applyBorder="1"/>
    <xf numFmtId="0" fontId="1" fillId="4" borderId="0" xfId="4" applyFill="1"/>
    <xf numFmtId="0" fontId="1" fillId="3" borderId="0" xfId="4" applyFill="1"/>
    <xf numFmtId="0" fontId="3" fillId="5" borderId="1" xfId="4" applyFont="1" applyFill="1" applyBorder="1"/>
    <xf numFmtId="164" fontId="7" fillId="3" borderId="1" xfId="1" quotePrefix="1" applyNumberFormat="1" applyFont="1" applyFill="1" applyBorder="1"/>
    <xf numFmtId="164" fontId="7" fillId="3" borderId="1" xfId="1" quotePrefix="1" applyNumberFormat="1" applyFont="1" applyFill="1" applyBorder="1" applyAlignment="1">
      <alignment horizontal="right"/>
    </xf>
    <xf numFmtId="49" fontId="7" fillId="3" borderId="1" xfId="1" applyNumberFormat="1" applyFont="1" applyFill="1" applyBorder="1"/>
    <xf numFmtId="0" fontId="1" fillId="3" borderId="1" xfId="4" applyFill="1" applyBorder="1"/>
    <xf numFmtId="3" fontId="7" fillId="3" borderId="1" xfId="3" applyNumberFormat="1" applyFont="1" applyFill="1" applyBorder="1"/>
    <xf numFmtId="0" fontId="6" fillId="0" borderId="0" xfId="2" applyFont="1"/>
    <xf numFmtId="0" fontId="1" fillId="0" borderId="1" xfId="4" applyBorder="1"/>
    <xf numFmtId="0" fontId="17" fillId="17" borderId="1" xfId="0" applyFont="1" applyFill="1" applyBorder="1" applyAlignment="1">
      <alignment horizontal="center" vertical="center"/>
    </xf>
    <xf numFmtId="3" fontId="7" fillId="14" borderId="1" xfId="0" applyNumberFormat="1" applyFont="1" applyFill="1" applyBorder="1"/>
    <xf numFmtId="0" fontId="13" fillId="0" borderId="0" xfId="0" applyFont="1" applyAlignment="1">
      <alignment horizontal="center"/>
    </xf>
    <xf numFmtId="0" fontId="16" fillId="0" borderId="0" xfId="0" applyFont="1" applyAlignment="1">
      <alignment horizontal="center"/>
    </xf>
    <xf numFmtId="0" fontId="6" fillId="18" borderId="9" xfId="0" applyFont="1" applyFill="1" applyBorder="1" applyAlignment="1">
      <alignment horizontal="center" vertical="top"/>
    </xf>
    <xf numFmtId="0" fontId="7" fillId="13" borderId="1" xfId="0" applyFont="1" applyFill="1" applyBorder="1" applyAlignment="1">
      <alignment horizontal="center"/>
    </xf>
    <xf numFmtId="0" fontId="7" fillId="0" borderId="3" xfId="0" applyFont="1" applyBorder="1" applyAlignment="1">
      <alignment horizontal="left"/>
    </xf>
    <xf numFmtId="0" fontId="7" fillId="13" borderId="9" xfId="0" applyFont="1" applyFill="1" applyBorder="1" applyAlignment="1">
      <alignment horizontal="center"/>
    </xf>
    <xf numFmtId="0" fontId="19" fillId="13" borderId="11" xfId="0" applyFont="1" applyFill="1" applyBorder="1" applyAlignment="1">
      <alignment horizontal="center"/>
    </xf>
    <xf numFmtId="0" fontId="0" fillId="0" borderId="4" xfId="0" applyBorder="1"/>
    <xf numFmtId="0" fontId="1" fillId="9" borderId="1" xfId="4" applyFill="1" applyBorder="1" applyAlignment="1">
      <alignment horizontal="center"/>
    </xf>
    <xf numFmtId="0" fontId="1" fillId="0" borderId="0" xfId="4" applyAlignment="1">
      <alignment horizontal="center"/>
    </xf>
    <xf numFmtId="0" fontId="1" fillId="0" borderId="14" xfId="4" applyBorder="1"/>
    <xf numFmtId="0" fontId="1" fillId="9" borderId="11" xfId="4" applyFill="1" applyBorder="1" applyAlignment="1">
      <alignment horizontal="center"/>
    </xf>
    <xf numFmtId="0" fontId="6" fillId="6" borderId="5" xfId="9" applyFont="1" applyFill="1" applyBorder="1" applyAlignment="1">
      <alignment horizontal="center" vertical="center" wrapText="1"/>
    </xf>
    <xf numFmtId="3" fontId="6" fillId="15" borderId="1" xfId="0" applyNumberFormat="1" applyFont="1" applyFill="1" applyBorder="1" applyAlignment="1">
      <alignment horizontal="center"/>
    </xf>
    <xf numFmtId="164" fontId="1" fillId="0" borderId="0" xfId="4" applyNumberFormat="1"/>
    <xf numFmtId="2" fontId="3" fillId="12" borderId="7" xfId="7" applyNumberFormat="1" applyFont="1" applyFill="1" applyBorder="1"/>
    <xf numFmtId="49" fontId="1" fillId="9" borderId="10" xfId="7" applyNumberFormat="1" applyFill="1" applyBorder="1"/>
    <xf numFmtId="49" fontId="3" fillId="9" borderId="10" xfId="7" applyNumberFormat="1" applyFont="1" applyFill="1" applyBorder="1"/>
    <xf numFmtId="0" fontId="0" fillId="21" borderId="0" xfId="0" applyFill="1"/>
    <xf numFmtId="0" fontId="0" fillId="21" borderId="0" xfId="0" applyFill="1" applyAlignment="1">
      <alignment horizontal="left"/>
    </xf>
    <xf numFmtId="0" fontId="22" fillId="21" borderId="10" xfId="13" applyFont="1" applyFill="1" applyBorder="1"/>
    <xf numFmtId="0" fontId="23" fillId="21" borderId="5" xfId="0" applyFont="1" applyFill="1" applyBorder="1" applyAlignment="1">
      <alignment horizontal="left"/>
    </xf>
    <xf numFmtId="0" fontId="23" fillId="21" borderId="5" xfId="0" applyFont="1" applyFill="1" applyBorder="1"/>
    <xf numFmtId="0" fontId="21" fillId="21" borderId="10" xfId="0" applyFont="1" applyFill="1" applyBorder="1" applyAlignment="1">
      <alignment horizontal="center"/>
    </xf>
    <xf numFmtId="0" fontId="21" fillId="21" borderId="11" xfId="0" applyFont="1" applyFill="1" applyBorder="1" applyAlignment="1">
      <alignment horizontal="center"/>
    </xf>
    <xf numFmtId="3" fontId="0" fillId="14" borderId="18" xfId="0" applyNumberFormat="1" applyFill="1" applyBorder="1"/>
    <xf numFmtId="0" fontId="0" fillId="9" borderId="21" xfId="0" applyFill="1" applyBorder="1"/>
    <xf numFmtId="0" fontId="0" fillId="9" borderId="13" xfId="0" applyFill="1" applyBorder="1"/>
    <xf numFmtId="0" fontId="0" fillId="0" borderId="19" xfId="0" applyBorder="1" applyAlignment="1">
      <alignment horizontal="center"/>
    </xf>
    <xf numFmtId="0" fontId="0" fillId="0" borderId="10" xfId="0" applyBorder="1" applyAlignment="1">
      <alignment horizontal="center"/>
    </xf>
    <xf numFmtId="0" fontId="0" fillId="8" borderId="19" xfId="0" applyFill="1" applyBorder="1"/>
    <xf numFmtId="0" fontId="0" fillId="8" borderId="10" xfId="0" applyFill="1" applyBorder="1"/>
    <xf numFmtId="0" fontId="22" fillId="21" borderId="16" xfId="13" applyFont="1" applyFill="1" applyBorder="1"/>
    <xf numFmtId="0" fontId="24" fillId="21" borderId="0" xfId="0" applyFont="1" applyFill="1"/>
    <xf numFmtId="3" fontId="0" fillId="14" borderId="14" xfId="0" applyNumberFormat="1" applyFill="1" applyBorder="1" applyAlignment="1">
      <alignment horizontal="right"/>
    </xf>
    <xf numFmtId="3" fontId="0" fillId="14" borderId="10" xfId="0" applyNumberFormat="1" applyFill="1" applyBorder="1"/>
    <xf numFmtId="0" fontId="14" fillId="0" borderId="0" xfId="0" applyFont="1" applyAlignment="1">
      <alignment horizontal="left" vertical="center"/>
    </xf>
    <xf numFmtId="0" fontId="0" fillId="0" borderId="17" xfId="0" applyBorder="1"/>
    <xf numFmtId="0" fontId="0" fillId="0" borderId="17" xfId="0" applyBorder="1" applyAlignment="1">
      <alignment horizontal="center"/>
    </xf>
    <xf numFmtId="3" fontId="3" fillId="14" borderId="14" xfId="7" applyNumberFormat="1" applyFont="1" applyFill="1" applyBorder="1" applyAlignment="1">
      <alignment horizontal="left"/>
    </xf>
    <xf numFmtId="3" fontId="1" fillId="14" borderId="14" xfId="7" applyNumberFormat="1" applyFill="1" applyBorder="1" applyAlignment="1">
      <alignment horizontal="right"/>
    </xf>
    <xf numFmtId="3" fontId="1" fillId="14" borderId="14" xfId="7" applyNumberFormat="1" applyFill="1" applyBorder="1"/>
    <xf numFmtId="3" fontId="6" fillId="14" borderId="14" xfId="0" applyNumberFormat="1" applyFont="1" applyFill="1" applyBorder="1" applyAlignment="1">
      <alignment horizontal="left"/>
    </xf>
    <xf numFmtId="3" fontId="7" fillId="14" borderId="14" xfId="0" applyNumberFormat="1" applyFont="1" applyFill="1" applyBorder="1" applyAlignment="1">
      <alignment horizontal="right"/>
    </xf>
    <xf numFmtId="3" fontId="6" fillId="17" borderId="2" xfId="0" applyNumberFormat="1" applyFont="1" applyFill="1" applyBorder="1"/>
    <xf numFmtId="49" fontId="7" fillId="0" borderId="13" xfId="7" applyNumberFormat="1" applyFont="1" applyBorder="1" applyAlignment="1">
      <alignment horizontal="left"/>
    </xf>
    <xf numFmtId="49" fontId="3" fillId="12" borderId="0" xfId="7" applyNumberFormat="1" applyFont="1" applyFill="1" applyAlignment="1">
      <alignment horizontal="center"/>
    </xf>
    <xf numFmtId="3" fontId="3" fillId="14" borderId="22" xfId="7" applyNumberFormat="1" applyFont="1" applyFill="1" applyBorder="1" applyAlignment="1">
      <alignment horizontal="left"/>
    </xf>
    <xf numFmtId="3" fontId="3" fillId="14" borderId="18" xfId="7" applyNumberFormat="1" applyFont="1" applyFill="1" applyBorder="1" applyAlignment="1">
      <alignment horizontal="left"/>
    </xf>
    <xf numFmtId="3" fontId="6" fillId="17" borderId="3" xfId="0" applyNumberFormat="1" applyFont="1" applyFill="1" applyBorder="1"/>
    <xf numFmtId="49" fontId="1" fillId="0" borderId="13" xfId="7" applyNumberFormat="1" applyBorder="1"/>
    <xf numFmtId="0" fontId="6" fillId="18" borderId="5" xfId="0" applyFont="1" applyFill="1" applyBorder="1" applyAlignment="1">
      <alignment horizontal="center" wrapText="1"/>
    </xf>
    <xf numFmtId="0" fontId="0" fillId="0" borderId="0" xfId="0" applyAlignment="1">
      <alignment vertical="center" wrapText="1"/>
    </xf>
    <xf numFmtId="0" fontId="7" fillId="0" borderId="0" xfId="0" applyFont="1" applyAlignment="1">
      <alignment vertical="center" wrapText="1"/>
    </xf>
    <xf numFmtId="0" fontId="0" fillId="0" borderId="12" xfId="0" applyBorder="1" applyAlignment="1">
      <alignment vertical="center" wrapText="1"/>
    </xf>
    <xf numFmtId="3" fontId="7" fillId="0" borderId="17" xfId="0" applyNumberFormat="1" applyFont="1" applyBorder="1" applyAlignment="1">
      <alignment horizontal="left" vertical="center" wrapText="1"/>
    </xf>
    <xf numFmtId="3" fontId="7" fillId="0" borderId="0" xfId="0" applyNumberFormat="1" applyFont="1" applyAlignment="1">
      <alignment horizontal="left" vertical="center" wrapText="1"/>
    </xf>
    <xf numFmtId="0" fontId="11" fillId="0" borderId="0" xfId="0" applyFont="1" applyAlignment="1">
      <alignment horizontal="left" vertical="center"/>
    </xf>
    <xf numFmtId="0" fontId="15" fillId="0" borderId="0" xfId="0" applyFont="1" applyAlignment="1">
      <alignment horizontal="left" vertical="center"/>
    </xf>
    <xf numFmtId="0" fontId="14" fillId="0" borderId="0" xfId="0" applyFont="1" applyAlignment="1">
      <alignment horizontal="left" vertical="center"/>
    </xf>
    <xf numFmtId="0" fontId="0" fillId="0" borderId="0" xfId="0" applyAlignment="1">
      <alignment horizontal="left" wrapText="1"/>
    </xf>
    <xf numFmtId="0" fontId="0" fillId="0" borderId="20" xfId="0" applyBorder="1" applyAlignment="1">
      <alignment horizontal="left" wrapText="1"/>
    </xf>
  </cellXfs>
  <cellStyles count="14">
    <cellStyle name="Comma" xfId="1" builtinId="3"/>
    <cellStyle name="Comma 2" xfId="5" xr:uid="{722846AB-C415-4B3D-B489-C218FAFFB42E}"/>
    <cellStyle name="Comma 3" xfId="10" xr:uid="{1FF68A88-AB7B-4A77-84D8-A5B16BCBEF30}"/>
    <cellStyle name="Comma 4" xfId="8" xr:uid="{828C3127-6911-49A2-A2F5-C88E09DD204B}"/>
    <cellStyle name="Hyperlink" xfId="13" builtinId="8"/>
    <cellStyle name="Normal" xfId="0" builtinId="0"/>
    <cellStyle name="Normal 14" xfId="7" xr:uid="{CF2E0A6A-5816-4D19-8D9C-AF464E151D63}"/>
    <cellStyle name="Normal 2" xfId="12" xr:uid="{49B1E25E-4315-4085-845E-FEC858E8ECDA}"/>
    <cellStyle name="Normal 6" xfId="9" xr:uid="{AA4C7FA0-6094-4E48-8294-4DA137F1462E}"/>
    <cellStyle name="Normal 7" xfId="4" xr:uid="{788036DA-DA6E-4E83-AE4A-FFFCFEA695D8}"/>
    <cellStyle name="Normal 8" xfId="11" xr:uid="{938E6B6A-2A6F-4BB6-A33A-ABAA19F76671}"/>
    <cellStyle name="Normal_Craft Volume History w cbd" xfId="3" xr:uid="{B0464117-C6DC-4CFF-B0C8-E59901E07341}"/>
    <cellStyle name="Normal_Industry summary  4.10.05" xfId="2" xr:uid="{BEE2476C-1E59-44DF-9024-F53DAF7FCD04}"/>
    <cellStyle name="Normal_Sheet1_Craft Volume History w cbd" xfId="6" xr:uid="{CF52E9C9-D1A0-48F0-8BD7-61FED4BC6A9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4648202</xdr:colOff>
      <xdr:row>7</xdr:row>
      <xdr:rowOff>85726</xdr:rowOff>
    </xdr:from>
    <xdr:to>
      <xdr:col>2</xdr:col>
      <xdr:colOff>3766</xdr:colOff>
      <xdr:row>9</xdr:row>
      <xdr:rowOff>283845</xdr:rowOff>
    </xdr:to>
    <xdr:pic>
      <xdr:nvPicPr>
        <xdr:cNvPr id="2" name="Picture 1">
          <a:extLst>
            <a:ext uri="{FF2B5EF4-FFF2-40B4-BE49-F238E27FC236}">
              <a16:creationId xmlns:a16="http://schemas.microsoft.com/office/drawing/2014/main" id="{71B850AE-556F-94DD-D898-AF21B1FBD4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6377" y="2628901"/>
          <a:ext cx="822914" cy="9220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A2172-5581-4593-9E86-AA29191FC773}">
  <dimension ref="A1:B13"/>
  <sheetViews>
    <sheetView tabSelected="1" workbookViewId="0">
      <selection activeCell="B10" sqref="B10"/>
    </sheetView>
  </sheetViews>
  <sheetFormatPr defaultColWidth="8.7109375" defaultRowHeight="15" x14ac:dyDescent="0.25"/>
  <cols>
    <col min="1" max="1" width="9.28515625" style="208" bestFit="1" customWidth="1"/>
    <col min="2" max="2" width="80.28515625" style="207" bestFit="1" customWidth="1"/>
    <col min="3" max="16384" width="8.7109375" style="207"/>
  </cols>
  <sheetData>
    <row r="1" spans="1:2" ht="29.25" thickBot="1" x14ac:dyDescent="0.5">
      <c r="A1" s="210" t="s">
        <v>0</v>
      </c>
      <c r="B1" s="211" t="s">
        <v>1</v>
      </c>
    </row>
    <row r="2" spans="1:2" ht="28.5" x14ac:dyDescent="0.45">
      <c r="A2" s="212">
        <v>1</v>
      </c>
      <c r="B2" s="209" t="s">
        <v>10882</v>
      </c>
    </row>
    <row r="3" spans="1:2" ht="28.5" x14ac:dyDescent="0.45">
      <c r="A3" s="212">
        <v>2</v>
      </c>
      <c r="B3" s="209" t="s">
        <v>2</v>
      </c>
    </row>
    <row r="4" spans="1:2" ht="28.5" x14ac:dyDescent="0.45">
      <c r="A4" s="212">
        <v>3</v>
      </c>
      <c r="B4" s="209" t="s">
        <v>3</v>
      </c>
    </row>
    <row r="5" spans="1:2" ht="28.5" x14ac:dyDescent="0.45">
      <c r="A5" s="212">
        <v>4</v>
      </c>
      <c r="B5" s="209" t="s">
        <v>4</v>
      </c>
    </row>
    <row r="6" spans="1:2" ht="28.5" x14ac:dyDescent="0.45">
      <c r="A6" s="212">
        <v>5</v>
      </c>
      <c r="B6" s="209" t="s">
        <v>10883</v>
      </c>
    </row>
    <row r="7" spans="1:2" ht="28.5" x14ac:dyDescent="0.45">
      <c r="A7" s="212">
        <v>6</v>
      </c>
      <c r="B7" s="209" t="s">
        <v>5</v>
      </c>
    </row>
    <row r="8" spans="1:2" ht="28.5" x14ac:dyDescent="0.45">
      <c r="A8" s="212">
        <v>7</v>
      </c>
      <c r="B8" s="209" t="s">
        <v>6</v>
      </c>
    </row>
    <row r="9" spans="1:2" ht="28.5" x14ac:dyDescent="0.45">
      <c r="A9" s="212">
        <v>8</v>
      </c>
      <c r="B9" s="209" t="s">
        <v>10884</v>
      </c>
    </row>
    <row r="10" spans="1:2" ht="28.5" x14ac:dyDescent="0.45">
      <c r="A10" s="213">
        <v>9</v>
      </c>
      <c r="B10" s="221" t="s">
        <v>7</v>
      </c>
    </row>
    <row r="11" spans="1:2" x14ac:dyDescent="0.25">
      <c r="A11" s="207"/>
    </row>
    <row r="12" spans="1:2" x14ac:dyDescent="0.25">
      <c r="A12" s="222" t="s">
        <v>8</v>
      </c>
    </row>
    <row r="13" spans="1:2" x14ac:dyDescent="0.25">
      <c r="A13" s="207"/>
    </row>
  </sheetData>
  <hyperlinks>
    <hyperlink ref="B2" location="'1. Craft Historical'!A1" display="Craft Historical Data (1971-2021)" xr:uid="{950BD8DF-9552-40C0-A71B-96854D40D461}"/>
    <hyperlink ref="B3" location="'2. Category Change Per Brewer'!A1" display="Category Change Per Brewer" xr:uid="{08A983D6-A558-4930-959B-D2EAD52C8B9C}"/>
    <hyperlink ref="B4" location="'3. Craft Control Group Data'!A1" display="Craft Control Group Data" xr:uid="{338B011F-92D1-4943-A72C-99D0490CF240}"/>
    <hyperlink ref="B5" location="'4. Large Brewer Regionals'!A1" display="Large Brewer Regionals (Brands not in data set)" xr:uid="{CF54FBF1-C084-4323-802C-807CF4E1A9F5}"/>
    <hyperlink ref="B6" location="'5. State Production'!A1" display="State Production (Craft, 2011-2021)" xr:uid="{789056F8-A621-40A5-AF14-202CB46B3616}"/>
    <hyperlink ref="B7" location="'6. Breweries by State'!A1" display="Breweries by State" xr:uid="{DC83B0FB-BA5F-45A9-BBA2-7F7C4123DD36}"/>
    <hyperlink ref="B8" location="'7. 21+ Population Data'!A1" display="21+ Population Data" xr:uid="{0BE3EBB3-4C15-4616-9E01-42DE067A6D97}"/>
    <hyperlink ref="B10" location="'9. Do Not Publish List'!A1" display="Do Not Publish Brewery List" xr:uid="{41567812-87AC-40C0-86FD-FEB56DC7D7BA}"/>
    <hyperlink ref="B9" location="'8. TTB State Permit Data'!A1" display="TTB State Permit Data  (2000-2021)" xr:uid="{25286816-88A8-441A-9993-5C0E940E45D1}"/>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6A30D-7CEF-45D7-B5AF-BA55882AE97C}">
  <dimension ref="A1:BC57"/>
  <sheetViews>
    <sheetView workbookViewId="0">
      <pane xSplit="1" topLeftCell="B1" activePane="topRight" state="frozen"/>
      <selection pane="topRight" activeCell="B1" sqref="B1"/>
    </sheetView>
  </sheetViews>
  <sheetFormatPr defaultColWidth="9.140625" defaultRowHeight="15" x14ac:dyDescent="0.25"/>
  <cols>
    <col min="1" max="1" width="35.85546875" style="32" bestFit="1" customWidth="1"/>
    <col min="2" max="12" width="18.85546875" style="32" customWidth="1"/>
    <col min="13" max="15" width="11.5703125" style="32" bestFit="1" customWidth="1"/>
    <col min="16" max="16" width="15.5703125" style="32" customWidth="1"/>
    <col min="17" max="17" width="15.28515625" style="32" bestFit="1" customWidth="1"/>
    <col min="18" max="19" width="10.5703125" style="32" bestFit="1" customWidth="1"/>
    <col min="20" max="34" width="9.28515625" style="32" bestFit="1" customWidth="1"/>
    <col min="35" max="40" width="7.7109375" style="32" bestFit="1" customWidth="1"/>
    <col min="41" max="49" width="6.5703125" style="32" bestFit="1" customWidth="1"/>
    <col min="50" max="55" width="5.5703125" style="32" bestFit="1" customWidth="1"/>
    <col min="56" max="16384" width="9.140625" style="32"/>
  </cols>
  <sheetData>
    <row r="1" spans="1:55" s="71" customFormat="1" x14ac:dyDescent="0.25">
      <c r="A1" s="2" t="s">
        <v>9</v>
      </c>
      <c r="B1" s="3">
        <v>2024</v>
      </c>
      <c r="C1" s="3">
        <v>2023</v>
      </c>
      <c r="D1" s="3">
        <v>2022</v>
      </c>
      <c r="E1" s="3">
        <v>2021</v>
      </c>
      <c r="F1" s="3">
        <v>2020</v>
      </c>
      <c r="G1" s="3">
        <v>2019</v>
      </c>
      <c r="H1" s="3">
        <v>2018</v>
      </c>
      <c r="I1" s="3">
        <v>2017</v>
      </c>
      <c r="J1" s="3">
        <v>2016</v>
      </c>
      <c r="K1" s="3">
        <v>2015</v>
      </c>
      <c r="L1" s="3">
        <v>2014</v>
      </c>
      <c r="M1" s="3">
        <v>2013</v>
      </c>
      <c r="N1" s="3">
        <v>2012</v>
      </c>
      <c r="O1" s="3">
        <v>2011</v>
      </c>
      <c r="P1" s="3">
        <v>2010</v>
      </c>
      <c r="Q1" s="3">
        <v>2009</v>
      </c>
      <c r="R1" s="3">
        <v>2008</v>
      </c>
      <c r="S1" s="4">
        <v>2007</v>
      </c>
      <c r="T1" s="4">
        <v>2006</v>
      </c>
      <c r="U1" s="4">
        <v>2005</v>
      </c>
      <c r="V1" s="4">
        <v>2004</v>
      </c>
      <c r="W1" s="4">
        <v>2003</v>
      </c>
      <c r="X1" s="4">
        <v>2002</v>
      </c>
      <c r="Y1" s="4">
        <v>2001</v>
      </c>
      <c r="Z1" s="4">
        <v>2000</v>
      </c>
      <c r="AA1" s="4">
        <v>1999</v>
      </c>
      <c r="AB1" s="4">
        <v>1998</v>
      </c>
      <c r="AC1" s="4">
        <v>1997</v>
      </c>
      <c r="AD1" s="4">
        <v>1996</v>
      </c>
      <c r="AE1" s="4">
        <v>1995</v>
      </c>
      <c r="AF1" s="4">
        <v>1994</v>
      </c>
      <c r="AG1" s="4">
        <v>1993</v>
      </c>
      <c r="AH1" s="4">
        <v>1992</v>
      </c>
      <c r="AI1" s="4">
        <v>1991</v>
      </c>
      <c r="AJ1" s="4">
        <v>1990</v>
      </c>
      <c r="AK1" s="4">
        <v>1989</v>
      </c>
      <c r="AL1" s="4">
        <v>1988</v>
      </c>
      <c r="AM1" s="4">
        <v>1987</v>
      </c>
      <c r="AN1" s="4">
        <v>1986</v>
      </c>
      <c r="AO1" s="4">
        <v>1985</v>
      </c>
      <c r="AP1" s="4">
        <v>1984</v>
      </c>
      <c r="AQ1" s="4">
        <v>1983</v>
      </c>
      <c r="AR1" s="4">
        <v>1982</v>
      </c>
      <c r="AS1" s="4">
        <v>1981</v>
      </c>
      <c r="AT1" s="4">
        <v>1980</v>
      </c>
      <c r="AU1" s="4">
        <v>1979</v>
      </c>
      <c r="AV1" s="4">
        <v>1978</v>
      </c>
      <c r="AW1" s="4">
        <v>1977</v>
      </c>
      <c r="AX1" s="4">
        <v>1976</v>
      </c>
      <c r="AY1" s="4">
        <v>1975</v>
      </c>
      <c r="AZ1" s="4">
        <v>1974</v>
      </c>
      <c r="BA1" s="4">
        <v>1973</v>
      </c>
      <c r="BB1" s="4">
        <v>1972</v>
      </c>
      <c r="BC1" s="4">
        <v>1971</v>
      </c>
    </row>
    <row r="2" spans="1:55" s="71" customFormat="1" x14ac:dyDescent="0.25">
      <c r="A2" s="24" t="s">
        <v>10</v>
      </c>
      <c r="B2" s="5">
        <v>342946.38782514347</v>
      </c>
      <c r="C2" s="5">
        <v>197194.59040277064</v>
      </c>
      <c r="D2" s="5">
        <v>228440</v>
      </c>
      <c r="E2" s="5">
        <v>228440</v>
      </c>
      <c r="F2" s="5">
        <v>324524</v>
      </c>
      <c r="G2" s="5">
        <v>309301</v>
      </c>
      <c r="H2" s="5">
        <v>287402</v>
      </c>
      <c r="I2" s="5">
        <v>258197</v>
      </c>
      <c r="J2" s="5">
        <v>244214</v>
      </c>
      <c r="K2" s="5">
        <v>210362</v>
      </c>
      <c r="L2" s="5">
        <v>257517</v>
      </c>
      <c r="M2" s="5">
        <v>176210</v>
      </c>
      <c r="N2" s="6">
        <v>222702</v>
      </c>
      <c r="O2" s="7">
        <v>182278</v>
      </c>
      <c r="P2" s="8">
        <v>230636</v>
      </c>
      <c r="Q2" s="8">
        <v>282004</v>
      </c>
      <c r="R2" s="8">
        <v>1252232</v>
      </c>
      <c r="S2" s="8">
        <v>1380738</v>
      </c>
      <c r="T2" s="9">
        <v>1132807</v>
      </c>
      <c r="U2" s="9">
        <v>854155</v>
      </c>
      <c r="V2" s="9">
        <v>747564</v>
      </c>
      <c r="W2" s="9">
        <v>838165</v>
      </c>
      <c r="X2" s="9">
        <v>970802</v>
      </c>
      <c r="Y2" s="9">
        <v>1024278</v>
      </c>
      <c r="Z2" s="9">
        <v>1364489</v>
      </c>
      <c r="AA2" s="9">
        <v>1404472</v>
      </c>
      <c r="AB2" s="9">
        <v>1781508</v>
      </c>
      <c r="AC2" s="9">
        <v>1853020</v>
      </c>
      <c r="AD2" s="9">
        <v>1955939</v>
      </c>
      <c r="AE2" s="9">
        <v>1579495</v>
      </c>
      <c r="AF2" s="9">
        <v>1060966</v>
      </c>
      <c r="AG2" s="9">
        <v>675294</v>
      </c>
      <c r="AH2" s="9">
        <v>437181</v>
      </c>
      <c r="AI2" s="9">
        <v>295849</v>
      </c>
      <c r="AJ2" s="9">
        <v>203383</v>
      </c>
      <c r="AK2" s="9">
        <v>152689</v>
      </c>
      <c r="AL2" s="9">
        <v>92442</v>
      </c>
      <c r="AM2" s="9">
        <v>58606</v>
      </c>
      <c r="AN2" s="9">
        <v>28918</v>
      </c>
      <c r="AO2" s="9">
        <v>9000</v>
      </c>
      <c r="AP2" s="9">
        <v>10120</v>
      </c>
      <c r="AQ2" s="9">
        <v>6660</v>
      </c>
      <c r="AR2" s="9">
        <v>3150</v>
      </c>
      <c r="AS2" s="9">
        <v>1700</v>
      </c>
      <c r="AT2" s="9"/>
      <c r="AU2" s="9"/>
      <c r="AV2" s="9"/>
      <c r="AW2" s="9"/>
      <c r="AX2" s="9"/>
      <c r="AY2" s="9"/>
      <c r="AZ2" s="9"/>
      <c r="BA2" s="9"/>
      <c r="BB2" s="9"/>
      <c r="BC2" s="9"/>
    </row>
    <row r="3" spans="1:55" s="71" customFormat="1" x14ac:dyDescent="0.25">
      <c r="A3" s="24" t="s">
        <v>11</v>
      </c>
      <c r="B3" s="5">
        <v>15547863.113563163</v>
      </c>
      <c r="C3" s="5">
        <v>15352322.754650492</v>
      </c>
      <c r="D3" s="5">
        <v>16539816</v>
      </c>
      <c r="E3" s="5">
        <v>16539816</v>
      </c>
      <c r="F3" s="5">
        <v>15425589</v>
      </c>
      <c r="G3" s="5">
        <v>17739809</v>
      </c>
      <c r="H3" s="5">
        <v>17751883</v>
      </c>
      <c r="I3" s="5">
        <v>17744740</v>
      </c>
      <c r="J3" s="5">
        <v>17883085</v>
      </c>
      <c r="K3" s="5">
        <v>18841448</v>
      </c>
      <c r="L3" s="5">
        <v>17412333</v>
      </c>
      <c r="M3" s="5">
        <v>11973628</v>
      </c>
      <c r="N3" s="6">
        <v>10237632</v>
      </c>
      <c r="O3" s="7">
        <v>9041364</v>
      </c>
      <c r="P3" s="8">
        <v>8034796</v>
      </c>
      <c r="Q3" s="8">
        <v>7129471</v>
      </c>
      <c r="R3" s="8">
        <v>5627520</v>
      </c>
      <c r="S3" s="8">
        <v>4909595</v>
      </c>
      <c r="T3" s="9">
        <v>4419523</v>
      </c>
      <c r="U3" s="175">
        <v>4059412</v>
      </c>
      <c r="V3" s="175">
        <v>3750887</v>
      </c>
      <c r="W3" s="9">
        <v>3424750</v>
      </c>
      <c r="X3" s="9">
        <v>3102622</v>
      </c>
      <c r="Y3" s="9">
        <v>2914527</v>
      </c>
      <c r="Z3" s="9">
        <v>2474266</v>
      </c>
      <c r="AA3" s="9">
        <v>2396667</v>
      </c>
      <c r="AB3" s="9">
        <v>1904237</v>
      </c>
      <c r="AC3" s="9">
        <v>1605447</v>
      </c>
      <c r="AD3" s="9">
        <v>1579290</v>
      </c>
      <c r="AE3" s="9">
        <v>1264177</v>
      </c>
      <c r="AF3" s="9">
        <v>640703</v>
      </c>
      <c r="AG3" s="9">
        <v>431030</v>
      </c>
      <c r="AH3" s="9">
        <v>275173</v>
      </c>
      <c r="AI3" s="9">
        <v>188700</v>
      </c>
      <c r="AJ3" s="9">
        <v>122000</v>
      </c>
      <c r="AK3" s="9">
        <v>94484</v>
      </c>
      <c r="AL3" s="9">
        <v>53000</v>
      </c>
      <c r="AM3" s="9">
        <v>47400</v>
      </c>
      <c r="AN3" s="9">
        <v>41777</v>
      </c>
      <c r="AO3" s="9">
        <v>38380</v>
      </c>
      <c r="AP3" s="9">
        <v>37681</v>
      </c>
      <c r="AQ3" s="9">
        <v>36760</v>
      </c>
      <c r="AR3" s="9">
        <v>29100</v>
      </c>
      <c r="AS3" s="9">
        <v>29910</v>
      </c>
      <c r="AT3" s="9">
        <v>24220</v>
      </c>
      <c r="AU3" s="9"/>
      <c r="AV3" s="9"/>
      <c r="AW3" s="9"/>
      <c r="AX3" s="9"/>
      <c r="AY3" s="9"/>
      <c r="AZ3" s="9"/>
      <c r="BA3" s="9"/>
      <c r="BB3" s="9"/>
      <c r="BC3" s="9"/>
    </row>
    <row r="4" spans="1:55" s="71" customFormat="1" x14ac:dyDescent="0.25">
      <c r="A4" s="24" t="s">
        <v>12</v>
      </c>
      <c r="B4" s="5">
        <v>3794856.4806726389</v>
      </c>
      <c r="C4" s="5">
        <v>4190213.0475450195</v>
      </c>
      <c r="D4" s="5">
        <v>4465081</v>
      </c>
      <c r="E4" s="5">
        <v>4465081</v>
      </c>
      <c r="F4" s="5">
        <v>4113685</v>
      </c>
      <c r="G4" s="5">
        <v>4915195</v>
      </c>
      <c r="H4" s="5">
        <v>5913143</v>
      </c>
      <c r="I4" s="5">
        <v>5508641</v>
      </c>
      <c r="J4" s="5">
        <v>4865341</v>
      </c>
      <c r="K4" s="5">
        <v>3946399</v>
      </c>
      <c r="L4" s="5">
        <v>3161365</v>
      </c>
      <c r="M4" s="5">
        <v>2377107</v>
      </c>
      <c r="N4" s="6">
        <v>1905212</v>
      </c>
      <c r="O4" s="7">
        <v>1432034</v>
      </c>
      <c r="P4" s="8">
        <v>1141118</v>
      </c>
      <c r="Q4" s="8">
        <v>947851</v>
      </c>
      <c r="R4" s="8">
        <v>906955</v>
      </c>
      <c r="S4" s="8">
        <v>968736</v>
      </c>
      <c r="T4" s="9">
        <v>846807</v>
      </c>
      <c r="U4" s="176">
        <v>708014</v>
      </c>
      <c r="V4" s="9">
        <v>700768</v>
      </c>
      <c r="W4" s="9">
        <v>666564</v>
      </c>
      <c r="X4" s="9">
        <v>735120</v>
      </c>
      <c r="Y4" s="9">
        <v>749053</v>
      </c>
      <c r="Z4" s="9">
        <v>783153</v>
      </c>
      <c r="AA4" s="9">
        <v>788488</v>
      </c>
      <c r="AB4" s="9">
        <v>775672</v>
      </c>
      <c r="AC4" s="9">
        <v>760222</v>
      </c>
      <c r="AD4" s="9">
        <v>708743</v>
      </c>
      <c r="AE4" s="9">
        <v>595495</v>
      </c>
      <c r="AF4" s="9">
        <v>455853</v>
      </c>
      <c r="AG4" s="9">
        <v>362240</v>
      </c>
      <c r="AH4" s="9">
        <v>330114</v>
      </c>
      <c r="AI4" s="9">
        <v>257634</v>
      </c>
      <c r="AJ4" s="9">
        <v>220780</v>
      </c>
      <c r="AK4" s="9">
        <v>182582</v>
      </c>
      <c r="AL4" s="9">
        <v>137029</v>
      </c>
      <c r="AM4" s="9">
        <v>103422</v>
      </c>
      <c r="AN4" s="9">
        <v>48410</v>
      </c>
      <c r="AO4" s="9">
        <v>26407</v>
      </c>
      <c r="AP4" s="9">
        <v>13779</v>
      </c>
      <c r="AQ4" s="9">
        <v>8650</v>
      </c>
      <c r="AR4" s="9">
        <v>4600</v>
      </c>
      <c r="AS4" s="9">
        <v>3050</v>
      </c>
      <c r="AT4" s="9">
        <v>2250</v>
      </c>
      <c r="AU4" s="9">
        <v>12980</v>
      </c>
      <c r="AV4" s="9">
        <v>12720</v>
      </c>
      <c r="AW4" s="9">
        <v>10450</v>
      </c>
      <c r="AX4" s="9">
        <v>7860</v>
      </c>
      <c r="AY4" s="9">
        <v>7400</v>
      </c>
      <c r="AZ4" s="9">
        <v>6190</v>
      </c>
      <c r="BA4" s="9">
        <v>4730</v>
      </c>
      <c r="BB4" s="9">
        <v>3780</v>
      </c>
      <c r="BC4" s="9">
        <v>2030</v>
      </c>
    </row>
    <row r="5" spans="1:55" s="71" customFormat="1" x14ac:dyDescent="0.25">
      <c r="A5" s="24" t="s">
        <v>13</v>
      </c>
      <c r="B5" s="5">
        <v>1917107.7147084589</v>
      </c>
      <c r="C5" s="5">
        <v>1951365.9398208722</v>
      </c>
      <c r="D5" s="5">
        <v>1932539</v>
      </c>
      <c r="E5" s="5">
        <v>1932539</v>
      </c>
      <c r="F5" s="5">
        <v>1664315</v>
      </c>
      <c r="G5" s="5">
        <v>1676346</v>
      </c>
      <c r="H5" s="5"/>
      <c r="I5" s="5"/>
      <c r="J5" s="5"/>
      <c r="K5" s="5"/>
      <c r="L5" s="5"/>
      <c r="M5" s="5"/>
      <c r="N5" s="10"/>
      <c r="O5" s="7"/>
      <c r="P5" s="114"/>
      <c r="Q5" s="8"/>
      <c r="R5" s="8"/>
      <c r="S5" s="8"/>
      <c r="T5" s="9"/>
      <c r="U5" s="176"/>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row>
    <row r="6" spans="1:55" s="71" customFormat="1" x14ac:dyDescent="0.25">
      <c r="A6" s="24" t="s">
        <v>14</v>
      </c>
      <c r="B6" s="5">
        <v>1518367.6998740204</v>
      </c>
      <c r="C6" s="5">
        <v>1668773.8074573854</v>
      </c>
      <c r="D6" s="5">
        <v>1580950</v>
      </c>
      <c r="E6" s="5">
        <v>1580950</v>
      </c>
      <c r="F6" s="5">
        <v>1310071</v>
      </c>
      <c r="G6" s="5">
        <v>1679130</v>
      </c>
      <c r="H6" s="5">
        <v>1505001</v>
      </c>
      <c r="I6" s="5">
        <v>1446982</v>
      </c>
      <c r="J6" s="5">
        <v>1309909</v>
      </c>
      <c r="K6" s="5">
        <v>1184252</v>
      </c>
      <c r="L6" s="5">
        <v>1167164</v>
      </c>
      <c r="M6" s="5">
        <v>977905</v>
      </c>
      <c r="N6" s="10">
        <v>870371</v>
      </c>
      <c r="O6" s="7">
        <v>811661</v>
      </c>
      <c r="P6" s="11">
        <v>727427</v>
      </c>
      <c r="Q6" s="12">
        <v>705303</v>
      </c>
      <c r="R6" s="12">
        <v>696952</v>
      </c>
      <c r="S6" s="8">
        <v>718734</v>
      </c>
      <c r="T6" s="9">
        <v>699554</v>
      </c>
      <c r="U6" s="175">
        <v>672219</v>
      </c>
      <c r="V6" s="175">
        <v>633463</v>
      </c>
      <c r="W6" s="9">
        <v>602962</v>
      </c>
      <c r="X6" s="9">
        <v>652608</v>
      </c>
      <c r="Y6" s="9">
        <v>665132</v>
      </c>
      <c r="Z6" s="9">
        <v>685559</v>
      </c>
      <c r="AA6" s="9">
        <v>680818</v>
      </c>
      <c r="AB6" s="9">
        <v>686693</v>
      </c>
      <c r="AC6" s="9">
        <v>678145</v>
      </c>
      <c r="AD6" s="9">
        <v>548029</v>
      </c>
      <c r="AE6" s="9">
        <v>377569</v>
      </c>
      <c r="AF6" s="9">
        <v>257677</v>
      </c>
      <c r="AG6" s="9">
        <v>201418</v>
      </c>
      <c r="AH6" s="9">
        <v>146792</v>
      </c>
      <c r="AI6" s="9">
        <v>112154</v>
      </c>
      <c r="AJ6" s="9">
        <v>88726</v>
      </c>
      <c r="AK6" s="9">
        <v>61639</v>
      </c>
      <c r="AL6" s="9">
        <v>33589</v>
      </c>
      <c r="AM6" s="9">
        <v>11113</v>
      </c>
      <c r="AN6" s="9">
        <v>7803</v>
      </c>
      <c r="AO6" s="9">
        <v>1473</v>
      </c>
      <c r="AP6" s="9">
        <v>2000</v>
      </c>
      <c r="AQ6" s="9"/>
      <c r="AR6" s="9"/>
      <c r="AS6" s="9"/>
      <c r="AT6" s="9"/>
      <c r="AU6" s="9"/>
      <c r="AV6" s="9"/>
      <c r="AW6" s="9"/>
      <c r="AX6" s="9"/>
      <c r="AY6" s="9"/>
      <c r="AZ6" s="9"/>
      <c r="BA6" s="9"/>
      <c r="BB6" s="9"/>
      <c r="BC6" s="9"/>
    </row>
    <row r="7" spans="1:55" s="177" customFormat="1" ht="3" customHeight="1" x14ac:dyDescent="0.25">
      <c r="A7" s="13"/>
      <c r="B7" s="13"/>
      <c r="C7" s="13"/>
      <c r="D7" s="13"/>
      <c r="E7" s="13"/>
      <c r="F7" s="13"/>
      <c r="G7" s="13"/>
      <c r="H7" s="13"/>
      <c r="I7" s="13"/>
      <c r="J7" s="13"/>
      <c r="K7" s="13"/>
      <c r="L7" s="13"/>
      <c r="M7" s="13"/>
      <c r="N7" s="14"/>
      <c r="O7" s="14"/>
      <c r="P7" s="13"/>
      <c r="Q7" s="15"/>
      <c r="R7" s="15"/>
      <c r="S7" s="15"/>
      <c r="T7" s="13"/>
      <c r="U7" s="13"/>
      <c r="V7" s="13"/>
      <c r="W7" s="13"/>
      <c r="X7" s="16"/>
      <c r="Y7" s="16"/>
      <c r="Z7" s="16"/>
      <c r="AA7" s="16"/>
      <c r="AB7" s="16"/>
      <c r="AC7" s="16"/>
      <c r="AD7" s="16"/>
      <c r="AE7" s="16"/>
      <c r="AF7" s="16"/>
      <c r="AG7" s="16"/>
      <c r="AH7" s="16"/>
      <c r="AI7" s="17"/>
      <c r="AJ7" s="17"/>
      <c r="AK7" s="17"/>
      <c r="AL7" s="13"/>
      <c r="AM7" s="13"/>
      <c r="AN7" s="13"/>
      <c r="AO7" s="13"/>
      <c r="AP7" s="13"/>
      <c r="AQ7" s="13"/>
      <c r="AR7" s="13"/>
      <c r="AS7" s="13"/>
      <c r="AT7" s="13"/>
      <c r="AU7" s="13"/>
      <c r="AV7" s="13"/>
      <c r="AW7" s="13"/>
      <c r="AX7" s="13"/>
      <c r="AY7" s="13"/>
      <c r="AZ7" s="13"/>
      <c r="BA7" s="13"/>
      <c r="BB7" s="13"/>
      <c r="BC7" s="13"/>
    </row>
    <row r="8" spans="1:55" s="71" customFormat="1" x14ac:dyDescent="0.25">
      <c r="A8" s="18" t="s">
        <v>15</v>
      </c>
      <c r="B8" s="7">
        <f>SUM(B2:B6)</f>
        <v>23121141.396643426</v>
      </c>
      <c r="C8" s="7">
        <f>SUM(C2:C6)</f>
        <v>23359870.139876537</v>
      </c>
      <c r="D8" s="7">
        <v>24273285</v>
      </c>
      <c r="E8" s="7">
        <v>24746823</v>
      </c>
      <c r="F8" s="7">
        <v>22838183</v>
      </c>
      <c r="G8" s="7">
        <v>26319781</v>
      </c>
      <c r="H8" s="7">
        <v>25457429</v>
      </c>
      <c r="I8" s="7">
        <v>24958560</v>
      </c>
      <c r="J8" s="7">
        <v>24302549</v>
      </c>
      <c r="K8" s="7">
        <v>24182461</v>
      </c>
      <c r="L8" s="7">
        <v>21998379</v>
      </c>
      <c r="M8" s="7">
        <v>15504850</v>
      </c>
      <c r="N8" s="7">
        <v>13235917</v>
      </c>
      <c r="O8" s="7">
        <v>11467337</v>
      </c>
      <c r="P8" s="12">
        <v>10133977</v>
      </c>
      <c r="Q8" s="12">
        <v>9064629</v>
      </c>
      <c r="R8" s="12">
        <v>8483659</v>
      </c>
      <c r="S8" s="12">
        <v>7977803</v>
      </c>
      <c r="T8" s="9">
        <v>7098691</v>
      </c>
      <c r="U8" s="9">
        <v>6293800</v>
      </c>
      <c r="V8" s="9">
        <v>5832682</v>
      </c>
      <c r="W8" s="9">
        <v>5532441</v>
      </c>
      <c r="X8" s="9">
        <v>5461152</v>
      </c>
      <c r="Y8" s="9">
        <v>5352990</v>
      </c>
      <c r="Z8" s="9">
        <v>5307467</v>
      </c>
      <c r="AA8" s="9">
        <v>5270445</v>
      </c>
      <c r="AB8" s="9">
        <v>5148110</v>
      </c>
      <c r="AC8" s="9">
        <v>4896834</v>
      </c>
      <c r="AD8" s="9">
        <v>4792001</v>
      </c>
      <c r="AE8" s="9">
        <v>3816736</v>
      </c>
      <c r="AF8" s="9">
        <v>2415199</v>
      </c>
      <c r="AG8" s="9">
        <v>1669982</v>
      </c>
      <c r="AH8" s="9">
        <v>1189260</v>
      </c>
      <c r="AI8" s="9">
        <v>854337</v>
      </c>
      <c r="AJ8" s="9">
        <v>634889</v>
      </c>
      <c r="AK8" s="9">
        <v>491394</v>
      </c>
      <c r="AL8" s="9">
        <v>316060</v>
      </c>
      <c r="AM8" s="9">
        <v>220541</v>
      </c>
      <c r="AN8" s="9">
        <v>126908</v>
      </c>
      <c r="AO8" s="9">
        <v>75260</v>
      </c>
      <c r="AP8" s="9">
        <v>63580</v>
      </c>
      <c r="AQ8" s="9">
        <v>52070</v>
      </c>
      <c r="AR8" s="9">
        <v>36850</v>
      </c>
      <c r="AS8" s="9">
        <v>34660</v>
      </c>
      <c r="AT8" s="9">
        <v>26470</v>
      </c>
      <c r="AU8" s="9">
        <v>12980</v>
      </c>
      <c r="AV8" s="9">
        <v>12720</v>
      </c>
      <c r="AW8" s="9">
        <v>10450</v>
      </c>
      <c r="AX8" s="9">
        <v>7860</v>
      </c>
      <c r="AY8" s="9">
        <v>7400</v>
      </c>
      <c r="AZ8" s="9">
        <v>6190</v>
      </c>
      <c r="BA8" s="9">
        <v>4730</v>
      </c>
      <c r="BB8" s="9">
        <v>3780</v>
      </c>
      <c r="BC8" s="9">
        <v>2030</v>
      </c>
    </row>
    <row r="9" spans="1:55" s="71" customFormat="1" ht="6" customHeight="1" x14ac:dyDescent="0.25">
      <c r="A9" s="178"/>
      <c r="B9" s="178"/>
      <c r="C9" s="178"/>
      <c r="D9" s="178"/>
      <c r="E9" s="178"/>
      <c r="F9" s="178"/>
      <c r="G9" s="178"/>
      <c r="H9" s="178"/>
      <c r="I9" s="178"/>
      <c r="J9" s="178"/>
      <c r="K9" s="178"/>
      <c r="L9" s="178"/>
      <c r="M9" s="178"/>
      <c r="N9" s="178"/>
      <c r="O9" s="178"/>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row>
    <row r="10" spans="1:55" s="71" customFormat="1" ht="15" customHeight="1" x14ac:dyDescent="0.25">
      <c r="A10" s="179" t="s">
        <v>16</v>
      </c>
      <c r="B10" s="180" t="s">
        <v>10885</v>
      </c>
      <c r="C10" s="180" t="s">
        <v>17</v>
      </c>
      <c r="D10" s="180" t="s">
        <v>18</v>
      </c>
      <c r="E10" s="180" t="s">
        <v>19</v>
      </c>
      <c r="F10" s="180" t="s">
        <v>20</v>
      </c>
      <c r="G10" s="181" t="s">
        <v>21</v>
      </c>
      <c r="H10" s="181" t="s">
        <v>22</v>
      </c>
      <c r="I10" s="180" t="s">
        <v>23</v>
      </c>
      <c r="J10" s="180" t="s">
        <v>24</v>
      </c>
      <c r="K10" s="180" t="s">
        <v>25</v>
      </c>
      <c r="L10" s="182" t="s">
        <v>26</v>
      </c>
      <c r="M10" s="183"/>
      <c r="N10" s="183"/>
      <c r="O10" s="183"/>
      <c r="P10" s="184"/>
      <c r="Q10" s="184"/>
      <c r="R10" s="184"/>
      <c r="S10" s="184"/>
      <c r="T10" s="184"/>
      <c r="U10" s="184"/>
      <c r="V10" s="184"/>
      <c r="W10" s="184"/>
      <c r="X10" s="184"/>
      <c r="Y10" s="184"/>
      <c r="Z10" s="184"/>
      <c r="AA10" s="184"/>
      <c r="AB10" s="184"/>
      <c r="AC10" s="184"/>
      <c r="AD10" s="184"/>
      <c r="AE10" s="184"/>
      <c r="AF10" s="184"/>
      <c r="AG10" s="184"/>
      <c r="AH10" s="184"/>
      <c r="AI10" s="184"/>
      <c r="AJ10" s="184"/>
      <c r="AK10" s="184"/>
      <c r="AL10" s="184"/>
      <c r="AM10" s="184"/>
      <c r="AN10" s="184"/>
      <c r="AO10" s="184"/>
      <c r="AP10" s="184"/>
      <c r="AQ10" s="184"/>
      <c r="AR10" s="184"/>
      <c r="AS10" s="184"/>
      <c r="AT10" s="184"/>
      <c r="AU10" s="184"/>
      <c r="AV10" s="184"/>
      <c r="AW10" s="184"/>
      <c r="AX10" s="184"/>
      <c r="AY10" s="184"/>
      <c r="AZ10" s="184"/>
      <c r="BA10" s="184"/>
      <c r="BB10" s="184"/>
      <c r="BC10" s="184"/>
    </row>
    <row r="11" spans="1:55" s="71" customFormat="1" x14ac:dyDescent="0.25">
      <c r="A11" s="20" t="s">
        <v>27</v>
      </c>
      <c r="B11" s="7">
        <f>B8-(C8+706734)</f>
        <v>-945462.74323311076</v>
      </c>
      <c r="C11" s="7">
        <v>-236213.86012346298</v>
      </c>
      <c r="D11" s="7">
        <f>D8-(E8-490000)</f>
        <v>16462</v>
      </c>
      <c r="E11" s="7">
        <f>E8-95000-F8</f>
        <v>1813640</v>
      </c>
      <c r="F11" s="7">
        <v>-2569432</v>
      </c>
      <c r="G11" s="7">
        <v>889352</v>
      </c>
      <c r="H11" s="7">
        <v>659814</v>
      </c>
      <c r="I11" s="7">
        <v>959154</v>
      </c>
      <c r="J11" s="7">
        <v>1355551.4400913008</v>
      </c>
      <c r="K11" s="7">
        <v>2461409</v>
      </c>
      <c r="L11" s="7">
        <v>3327306</v>
      </c>
      <c r="M11" s="7">
        <v>2268933</v>
      </c>
      <c r="N11" s="7">
        <v>1768580</v>
      </c>
      <c r="O11" s="7">
        <v>1333360</v>
      </c>
      <c r="P11" s="21">
        <v>1069348</v>
      </c>
      <c r="Q11" s="21">
        <v>580970</v>
      </c>
      <c r="R11" s="21">
        <v>505856</v>
      </c>
      <c r="S11" s="21">
        <v>879112</v>
      </c>
      <c r="T11" s="21">
        <v>804891</v>
      </c>
      <c r="U11" s="21">
        <v>461118</v>
      </c>
      <c r="V11" s="21">
        <v>300241</v>
      </c>
      <c r="W11" s="21">
        <v>71289</v>
      </c>
      <c r="X11" s="21">
        <v>108162</v>
      </c>
      <c r="Y11" s="21">
        <v>45523</v>
      </c>
      <c r="Z11" s="21">
        <v>37022</v>
      </c>
      <c r="AA11" s="21">
        <v>122335</v>
      </c>
      <c r="AB11" s="21">
        <v>251276</v>
      </c>
      <c r="AC11" s="21">
        <v>104833</v>
      </c>
      <c r="AD11" s="21">
        <v>975265</v>
      </c>
      <c r="AE11" s="21">
        <v>1401537</v>
      </c>
      <c r="AF11" s="21">
        <v>745217</v>
      </c>
      <c r="AG11" s="21">
        <v>480722</v>
      </c>
      <c r="AH11" s="21">
        <v>334923</v>
      </c>
      <c r="AI11" s="21">
        <v>219448</v>
      </c>
      <c r="AJ11" s="21">
        <v>143495</v>
      </c>
      <c r="AK11" s="21">
        <v>175334</v>
      </c>
      <c r="AL11" s="21">
        <v>95519</v>
      </c>
      <c r="AM11" s="21">
        <v>93633</v>
      </c>
      <c r="AN11" s="21">
        <v>51648</v>
      </c>
      <c r="AO11" s="21">
        <v>11680</v>
      </c>
      <c r="AP11" s="21">
        <v>11510</v>
      </c>
      <c r="AQ11" s="21">
        <v>15220</v>
      </c>
      <c r="AR11" s="21">
        <v>2190</v>
      </c>
      <c r="AS11" s="21">
        <v>8190</v>
      </c>
      <c r="AT11" s="21">
        <v>13490</v>
      </c>
      <c r="AU11" s="21">
        <v>260</v>
      </c>
      <c r="AV11" s="21">
        <v>2270</v>
      </c>
      <c r="AW11" s="21">
        <v>2590</v>
      </c>
      <c r="AX11" s="21">
        <v>460</v>
      </c>
      <c r="AY11" s="21">
        <v>1210</v>
      </c>
      <c r="AZ11" s="21">
        <v>1460</v>
      </c>
      <c r="BA11" s="21">
        <v>950</v>
      </c>
      <c r="BB11" s="21">
        <v>1750</v>
      </c>
      <c r="BC11" s="21">
        <v>770</v>
      </c>
    </row>
    <row r="12" spans="1:55" s="71" customFormat="1" ht="6" customHeight="1" x14ac:dyDescent="0.25">
      <c r="A12" s="178"/>
      <c r="B12" s="178"/>
      <c r="C12" s="178"/>
      <c r="D12" s="178"/>
      <c r="E12" s="178"/>
      <c r="F12" s="178"/>
      <c r="G12" s="178"/>
      <c r="H12" s="178"/>
      <c r="I12" s="178"/>
      <c r="J12" s="178"/>
      <c r="K12" s="178"/>
      <c r="L12" s="178"/>
      <c r="M12" s="178"/>
      <c r="N12" s="178"/>
      <c r="O12" s="178"/>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row>
    <row r="13" spans="1:55" s="71" customFormat="1" x14ac:dyDescent="0.25">
      <c r="A13" s="20" t="s">
        <v>28</v>
      </c>
      <c r="B13" s="30">
        <f>-0.039299642059192*100</f>
        <v>-3.9299642059191999</v>
      </c>
      <c r="C13" s="30">
        <f>-0.00973143355435669*100</f>
        <v>-0.97314335543566899</v>
      </c>
      <c r="D13" s="30">
        <v>7.0000000000000007E-2</v>
      </c>
      <c r="E13" s="30">
        <v>7.94</v>
      </c>
      <c r="F13" s="30">
        <v>-10.11</v>
      </c>
      <c r="G13" s="30">
        <v>3.4971962132451573</v>
      </c>
      <c r="H13" s="30">
        <v>2.6607962096354854</v>
      </c>
      <c r="I13" s="30">
        <v>3.9965739152044044</v>
      </c>
      <c r="J13" s="30">
        <v>5.9073150487435555</v>
      </c>
      <c r="K13" s="30">
        <v>11.331905102938844</v>
      </c>
      <c r="L13" s="29">
        <v>17.8</v>
      </c>
      <c r="M13" s="29">
        <v>17.100000000000001</v>
      </c>
      <c r="N13" s="29">
        <v>15.4</v>
      </c>
      <c r="O13" s="29">
        <v>13.2</v>
      </c>
      <c r="P13" s="22">
        <v>11.8</v>
      </c>
      <c r="Q13" s="22">
        <v>6.8</v>
      </c>
      <c r="R13" s="22">
        <v>6.3</v>
      </c>
      <c r="S13" s="22">
        <v>12.4</v>
      </c>
      <c r="T13" s="22">
        <v>12.8</v>
      </c>
      <c r="U13" s="22">
        <v>7.9</v>
      </c>
      <c r="V13" s="22">
        <v>5.4</v>
      </c>
      <c r="W13" s="22">
        <v>1.3054819290125774</v>
      </c>
      <c r="X13" s="22">
        <v>2.0207451359904942</v>
      </c>
      <c r="Y13" s="22">
        <v>0.85778238296668008</v>
      </c>
      <c r="Z13" s="22">
        <v>0.70250007827272498</v>
      </c>
      <c r="AA13" s="22">
        <v>2.3764982419332905</v>
      </c>
      <c r="AB13" s="22">
        <v>5.1318268189192766</v>
      </c>
      <c r="AC13" s="22">
        <v>2.1791105636246737</v>
      </c>
      <c r="AD13" s="22">
        <v>25.552330577750205</v>
      </c>
      <c r="AE13" s="22">
        <v>58.029876627143352</v>
      </c>
      <c r="AF13" s="22">
        <v>44.624253435066962</v>
      </c>
      <c r="AG13" s="22">
        <v>40.421943057027057</v>
      </c>
      <c r="AH13" s="22">
        <v>39.202679972891261</v>
      </c>
      <c r="AI13" s="22">
        <v>34.564782190272631</v>
      </c>
      <c r="AJ13" s="22">
        <v>29.201618253377127</v>
      </c>
      <c r="AK13" s="22">
        <v>55.474909827247984</v>
      </c>
      <c r="AL13" s="22">
        <v>43.311221042799296</v>
      </c>
      <c r="AM13" s="22">
        <v>73.7802187411353</v>
      </c>
      <c r="AN13" s="22">
        <v>68.626096199840546</v>
      </c>
      <c r="AO13" s="22">
        <v>18.370556778861278</v>
      </c>
      <c r="AP13" s="22">
        <v>22.104858843864029</v>
      </c>
      <c r="AQ13" s="22">
        <v>41.302578018995931</v>
      </c>
      <c r="AR13" s="22">
        <v>6.3185227928447771</v>
      </c>
      <c r="AS13" s="22">
        <v>30.940687570834907</v>
      </c>
      <c r="AT13" s="22">
        <v>103.9291217257319</v>
      </c>
      <c r="AU13" s="22">
        <v>2.0440251572327042</v>
      </c>
      <c r="AV13" s="22">
        <v>21.722488038277511</v>
      </c>
      <c r="AW13" s="22">
        <v>32.95165394402035</v>
      </c>
      <c r="AX13" s="22">
        <v>6.2162162162162167</v>
      </c>
      <c r="AY13" s="22">
        <v>19.547657512116317</v>
      </c>
      <c r="AZ13" s="22">
        <v>30.866807610993657</v>
      </c>
      <c r="BA13" s="22">
        <v>25.132275132275133</v>
      </c>
      <c r="BB13" s="22">
        <v>86.206896551724128</v>
      </c>
      <c r="BC13" s="22">
        <v>61.111111111111114</v>
      </c>
    </row>
    <row r="14" spans="1:55" s="71" customFormat="1" x14ac:dyDescent="0.25">
      <c r="B14" s="203"/>
      <c r="C14" s="203"/>
      <c r="D14" s="203"/>
      <c r="E14" s="203">
        <f>E8-F8</f>
        <v>1908640</v>
      </c>
      <c r="F14" s="203"/>
      <c r="G14" s="203"/>
      <c r="H14" s="203"/>
      <c r="I14" s="203"/>
      <c r="J14" s="203"/>
      <c r="K14" s="203"/>
      <c r="L14" s="203"/>
      <c r="M14" s="203"/>
      <c r="N14" s="203"/>
      <c r="O14" s="203"/>
      <c r="P14" s="203"/>
      <c r="Q14" s="203"/>
      <c r="R14" s="203"/>
    </row>
    <row r="15" spans="1:55" s="71" customFormat="1" x14ac:dyDescent="0.25">
      <c r="A15" s="23" t="s">
        <v>29</v>
      </c>
      <c r="B15" s="3">
        <v>2024</v>
      </c>
      <c r="C15" s="3">
        <v>2023</v>
      </c>
      <c r="D15" s="3">
        <v>2022</v>
      </c>
      <c r="E15" s="3">
        <v>2021</v>
      </c>
      <c r="F15" s="3">
        <v>2020</v>
      </c>
      <c r="G15" s="3">
        <v>2019</v>
      </c>
      <c r="H15" s="3">
        <v>2018</v>
      </c>
      <c r="I15" s="3">
        <v>2017</v>
      </c>
      <c r="J15" s="3">
        <v>2016</v>
      </c>
      <c r="K15" s="3">
        <v>2015</v>
      </c>
      <c r="L15" s="3">
        <v>2014</v>
      </c>
      <c r="M15" s="3">
        <v>2013</v>
      </c>
      <c r="N15" s="3">
        <v>2012</v>
      </c>
      <c r="O15" s="3">
        <v>2011</v>
      </c>
      <c r="P15" s="3">
        <v>2010</v>
      </c>
      <c r="Q15" s="3">
        <v>2009</v>
      </c>
      <c r="R15" s="3">
        <v>2008</v>
      </c>
      <c r="S15" s="3">
        <v>2007</v>
      </c>
      <c r="T15" s="4">
        <v>2006</v>
      </c>
      <c r="U15" s="4">
        <v>2005</v>
      </c>
      <c r="V15" s="4">
        <v>2004</v>
      </c>
      <c r="W15" s="4">
        <v>2003</v>
      </c>
      <c r="X15" s="4">
        <v>2002</v>
      </c>
      <c r="Y15" s="4">
        <v>2001</v>
      </c>
      <c r="Z15" s="4">
        <v>2000</v>
      </c>
      <c r="AA15" s="4">
        <v>1999</v>
      </c>
      <c r="AB15" s="4">
        <v>1998</v>
      </c>
      <c r="AC15" s="4">
        <v>1997</v>
      </c>
      <c r="AD15" s="4">
        <v>1996</v>
      </c>
      <c r="AE15" s="4">
        <v>1995</v>
      </c>
      <c r="AF15" s="4">
        <v>1994</v>
      </c>
      <c r="AG15" s="4">
        <v>1993</v>
      </c>
      <c r="AH15" s="4">
        <v>1992</v>
      </c>
      <c r="AI15" s="4">
        <v>1991</v>
      </c>
      <c r="AJ15" s="4">
        <v>1990</v>
      </c>
      <c r="AK15" s="4">
        <v>1989</v>
      </c>
      <c r="AL15" s="4">
        <v>1988</v>
      </c>
      <c r="AM15" s="4">
        <v>1987</v>
      </c>
      <c r="AN15" s="4">
        <v>1986</v>
      </c>
      <c r="AO15" s="4">
        <v>1985</v>
      </c>
      <c r="AP15" s="4">
        <v>1984</v>
      </c>
      <c r="AQ15" s="4">
        <v>1983</v>
      </c>
      <c r="AR15" s="4">
        <v>1982</v>
      </c>
      <c r="AS15" s="4">
        <v>1981</v>
      </c>
      <c r="AT15" s="4">
        <v>1980</v>
      </c>
      <c r="AU15" s="4">
        <v>1979</v>
      </c>
      <c r="AV15" s="4">
        <v>1978</v>
      </c>
      <c r="AW15" s="4">
        <v>1977</v>
      </c>
      <c r="AX15" s="4">
        <v>1976</v>
      </c>
      <c r="AY15" s="4">
        <v>1975</v>
      </c>
      <c r="AZ15" s="4">
        <v>1974</v>
      </c>
      <c r="BA15" s="4">
        <v>1973</v>
      </c>
      <c r="BB15" s="4">
        <v>1972</v>
      </c>
      <c r="BC15" s="4">
        <v>1971</v>
      </c>
    </row>
    <row r="16" spans="1:55" s="71" customFormat="1" x14ac:dyDescent="0.25">
      <c r="A16" s="24" t="s">
        <v>14</v>
      </c>
      <c r="B16" s="5">
        <v>3599</v>
      </c>
      <c r="C16" s="5">
        <v>3502</v>
      </c>
      <c r="D16" s="5">
        <v>3418</v>
      </c>
      <c r="E16" s="5">
        <v>3337</v>
      </c>
      <c r="F16" s="5">
        <v>3309</v>
      </c>
      <c r="G16" s="5">
        <v>3171</v>
      </c>
      <c r="H16" s="5">
        <v>2870</v>
      </c>
      <c r="I16" s="5">
        <v>2503</v>
      </c>
      <c r="J16" s="5">
        <v>2208</v>
      </c>
      <c r="K16" s="9">
        <v>1941</v>
      </c>
      <c r="L16" s="9">
        <v>1603</v>
      </c>
      <c r="M16" s="9">
        <v>1348</v>
      </c>
      <c r="N16" s="7">
        <v>1180</v>
      </c>
      <c r="O16" s="7">
        <v>1075</v>
      </c>
      <c r="P16" s="25">
        <v>1057</v>
      </c>
      <c r="Q16" s="25">
        <v>1022</v>
      </c>
      <c r="R16" s="25">
        <v>1009</v>
      </c>
      <c r="S16" s="25">
        <v>982</v>
      </c>
      <c r="T16" s="25">
        <v>989</v>
      </c>
      <c r="U16" s="25">
        <v>991</v>
      </c>
      <c r="V16" s="25">
        <v>1005</v>
      </c>
      <c r="W16" s="25">
        <v>1011</v>
      </c>
      <c r="X16" s="25">
        <v>1040</v>
      </c>
      <c r="Y16" s="25">
        <v>1056</v>
      </c>
      <c r="Z16" s="25">
        <v>1068</v>
      </c>
      <c r="AA16" s="25">
        <v>1052</v>
      </c>
      <c r="AB16" s="25">
        <v>1001</v>
      </c>
      <c r="AC16" s="25">
        <v>900</v>
      </c>
      <c r="AD16" s="25">
        <v>693</v>
      </c>
      <c r="AE16" s="25">
        <v>497</v>
      </c>
      <c r="AF16" s="25">
        <v>329</v>
      </c>
      <c r="AG16" s="25">
        <v>237</v>
      </c>
      <c r="AH16" s="25">
        <v>183</v>
      </c>
      <c r="AI16" s="25">
        <v>154</v>
      </c>
      <c r="AJ16" s="25">
        <v>123</v>
      </c>
      <c r="AK16" s="25">
        <v>107</v>
      </c>
      <c r="AL16" s="25">
        <v>69</v>
      </c>
      <c r="AM16" s="25">
        <v>29</v>
      </c>
      <c r="AN16" s="25">
        <v>16</v>
      </c>
      <c r="AO16" s="25">
        <v>4</v>
      </c>
      <c r="AP16" s="25">
        <v>1</v>
      </c>
      <c r="AQ16" s="25">
        <v>1</v>
      </c>
      <c r="AR16" s="26"/>
      <c r="AS16" s="26"/>
      <c r="AT16" s="26"/>
      <c r="AU16" s="26"/>
      <c r="AV16" s="26"/>
      <c r="AW16" s="26"/>
      <c r="AX16" s="26"/>
      <c r="AY16" s="26"/>
      <c r="AZ16" s="26"/>
      <c r="BA16" s="26"/>
      <c r="BB16" s="26"/>
      <c r="BC16" s="26"/>
    </row>
    <row r="17" spans="1:55" s="71" customFormat="1" x14ac:dyDescent="0.25">
      <c r="A17" s="24" t="s">
        <v>11</v>
      </c>
      <c r="B17" s="5">
        <v>280</v>
      </c>
      <c r="C17" s="5">
        <v>257</v>
      </c>
      <c r="D17" s="5">
        <v>261</v>
      </c>
      <c r="E17" s="5">
        <v>223</v>
      </c>
      <c r="F17" s="5">
        <v>220</v>
      </c>
      <c r="G17" s="5">
        <v>240</v>
      </c>
      <c r="H17" s="5">
        <v>230</v>
      </c>
      <c r="I17" s="5">
        <v>202</v>
      </c>
      <c r="J17" s="5">
        <v>186</v>
      </c>
      <c r="K17" s="9">
        <v>178</v>
      </c>
      <c r="L17" s="9">
        <v>135</v>
      </c>
      <c r="M17" s="9">
        <v>119</v>
      </c>
      <c r="N17" s="7">
        <v>97</v>
      </c>
      <c r="O17" s="7">
        <v>88</v>
      </c>
      <c r="P17" s="7">
        <v>81</v>
      </c>
      <c r="Q17" s="7">
        <v>71</v>
      </c>
      <c r="R17" s="7">
        <v>62</v>
      </c>
      <c r="S17" s="7">
        <v>55</v>
      </c>
      <c r="T17" s="25">
        <v>50</v>
      </c>
      <c r="U17" s="25">
        <v>49</v>
      </c>
      <c r="V17" s="25">
        <v>46</v>
      </c>
      <c r="W17" s="25">
        <v>43</v>
      </c>
      <c r="X17" s="25">
        <v>40</v>
      </c>
      <c r="Y17" s="25">
        <v>39</v>
      </c>
      <c r="Z17" s="25">
        <v>36</v>
      </c>
      <c r="AA17" s="25">
        <v>36</v>
      </c>
      <c r="AB17" s="25">
        <v>32</v>
      </c>
      <c r="AC17" s="25">
        <v>31</v>
      </c>
      <c r="AD17" s="25">
        <v>29</v>
      </c>
      <c r="AE17" s="25">
        <v>24</v>
      </c>
      <c r="AF17" s="25">
        <v>16</v>
      </c>
      <c r="AG17" s="25">
        <v>9</v>
      </c>
      <c r="AH17" s="25">
        <v>6</v>
      </c>
      <c r="AI17" s="25">
        <v>5</v>
      </c>
      <c r="AJ17" s="25">
        <v>3</v>
      </c>
      <c r="AK17" s="25">
        <v>3</v>
      </c>
      <c r="AL17" s="25">
        <v>1</v>
      </c>
      <c r="AM17" s="25">
        <v>1</v>
      </c>
      <c r="AN17" s="25">
        <v>1</v>
      </c>
      <c r="AO17" s="25">
        <v>1</v>
      </c>
      <c r="AP17" s="25">
        <v>1</v>
      </c>
      <c r="AQ17" s="25">
        <v>1</v>
      </c>
      <c r="AR17" s="25">
        <v>1</v>
      </c>
      <c r="AS17" s="25">
        <v>1</v>
      </c>
      <c r="AT17" s="25">
        <v>1</v>
      </c>
      <c r="AU17" s="26"/>
      <c r="AV17" s="26"/>
      <c r="AW17" s="26"/>
      <c r="AX17" s="26"/>
      <c r="AY17" s="26"/>
      <c r="AZ17" s="26"/>
      <c r="BA17" s="26"/>
      <c r="BB17" s="26"/>
      <c r="BC17" s="26"/>
    </row>
    <row r="18" spans="1:55" s="71" customFormat="1" x14ac:dyDescent="0.25">
      <c r="A18" s="24" t="s">
        <v>13</v>
      </c>
      <c r="B18" s="5">
        <v>3948</v>
      </c>
      <c r="C18" s="5">
        <v>3910</v>
      </c>
      <c r="D18" s="5">
        <v>3838</v>
      </c>
      <c r="E18" s="5">
        <v>3643</v>
      </c>
      <c r="F18" s="5">
        <v>3389</v>
      </c>
      <c r="G18" s="5">
        <v>3091</v>
      </c>
      <c r="H18" s="5"/>
      <c r="I18" s="5"/>
      <c r="J18" s="5"/>
      <c r="K18" s="9"/>
      <c r="L18" s="9"/>
      <c r="M18" s="9"/>
      <c r="N18" s="7"/>
      <c r="O18" s="7"/>
      <c r="P18" s="7"/>
      <c r="Q18" s="7"/>
      <c r="R18" s="7"/>
      <c r="S18" s="7"/>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6"/>
      <c r="AV18" s="26"/>
      <c r="AW18" s="26"/>
      <c r="AX18" s="26"/>
      <c r="AY18" s="26"/>
      <c r="AZ18" s="26"/>
      <c r="BA18" s="26"/>
      <c r="BB18" s="26"/>
      <c r="BC18" s="26"/>
    </row>
    <row r="19" spans="1:55" s="71" customFormat="1" x14ac:dyDescent="0.25">
      <c r="A19" s="24" t="s">
        <v>12</v>
      </c>
      <c r="B19" s="5">
        <v>2034</v>
      </c>
      <c r="C19" s="5">
        <v>2092</v>
      </c>
      <c r="D19" s="5">
        <v>2035</v>
      </c>
      <c r="E19" s="5">
        <v>2007</v>
      </c>
      <c r="F19" s="5">
        <v>2003</v>
      </c>
      <c r="G19" s="5">
        <v>1917</v>
      </c>
      <c r="H19" s="5">
        <v>4518</v>
      </c>
      <c r="I19" s="5">
        <v>3956</v>
      </c>
      <c r="J19" s="5">
        <v>3319</v>
      </c>
      <c r="K19" s="9">
        <v>2684</v>
      </c>
      <c r="L19" s="9">
        <v>2076</v>
      </c>
      <c r="M19" s="9">
        <v>1510</v>
      </c>
      <c r="N19" s="7">
        <v>1143</v>
      </c>
      <c r="O19" s="7">
        <v>813</v>
      </c>
      <c r="P19" s="7">
        <v>620</v>
      </c>
      <c r="Q19" s="7">
        <v>507</v>
      </c>
      <c r="R19" s="7">
        <v>452</v>
      </c>
      <c r="S19" s="7">
        <v>423</v>
      </c>
      <c r="T19" s="25">
        <v>370</v>
      </c>
      <c r="U19" s="25">
        <v>354</v>
      </c>
      <c r="V19" s="25">
        <v>362</v>
      </c>
      <c r="W19" s="25">
        <v>376</v>
      </c>
      <c r="X19" s="25">
        <v>377</v>
      </c>
      <c r="Y19" s="25">
        <v>392</v>
      </c>
      <c r="Z19" s="25">
        <v>405</v>
      </c>
      <c r="AA19" s="25">
        <v>418</v>
      </c>
      <c r="AB19" s="25">
        <v>420</v>
      </c>
      <c r="AC19" s="25">
        <v>403</v>
      </c>
      <c r="AD19" s="25">
        <v>365</v>
      </c>
      <c r="AE19" s="25">
        <v>273</v>
      </c>
      <c r="AF19" s="25">
        <v>192</v>
      </c>
      <c r="AG19" s="25">
        <v>136</v>
      </c>
      <c r="AH19" s="25">
        <v>106</v>
      </c>
      <c r="AI19" s="25">
        <v>89</v>
      </c>
      <c r="AJ19" s="25">
        <v>85</v>
      </c>
      <c r="AK19" s="25">
        <v>64</v>
      </c>
      <c r="AL19" s="25">
        <v>54</v>
      </c>
      <c r="AM19" s="25">
        <v>44</v>
      </c>
      <c r="AN19" s="25">
        <v>30</v>
      </c>
      <c r="AO19" s="25">
        <v>27</v>
      </c>
      <c r="AP19" s="25">
        <v>16</v>
      </c>
      <c r="AQ19" s="25">
        <v>10</v>
      </c>
      <c r="AR19" s="25">
        <v>9</v>
      </c>
      <c r="AS19" s="25">
        <v>7</v>
      </c>
      <c r="AT19" s="25">
        <v>7</v>
      </c>
      <c r="AU19" s="25">
        <v>2</v>
      </c>
      <c r="AV19" s="25">
        <v>2</v>
      </c>
      <c r="AW19" s="25">
        <v>2</v>
      </c>
      <c r="AX19" s="25">
        <v>2</v>
      </c>
      <c r="AY19" s="25">
        <v>1</v>
      </c>
      <c r="AZ19" s="25">
        <v>1</v>
      </c>
      <c r="BA19" s="25">
        <v>1</v>
      </c>
      <c r="BB19" s="25">
        <v>1</v>
      </c>
      <c r="BC19" s="25">
        <v>1</v>
      </c>
    </row>
    <row r="20" spans="1:55" s="177" customFormat="1" ht="3" customHeight="1" x14ac:dyDescent="0.25">
      <c r="A20" s="13"/>
      <c r="B20" s="13"/>
      <c r="C20" s="13"/>
      <c r="D20" s="13"/>
      <c r="E20" s="13"/>
      <c r="F20" s="13"/>
      <c r="G20" s="13"/>
      <c r="H20" s="13"/>
      <c r="I20" s="13"/>
      <c r="J20" s="13"/>
      <c r="K20" s="13"/>
      <c r="L20" s="13"/>
      <c r="M20" s="13"/>
      <c r="N20" s="14"/>
      <c r="O20" s="14"/>
      <c r="P20" s="14"/>
      <c r="Q20" s="14"/>
      <c r="R20" s="14"/>
      <c r="S20" s="14"/>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row>
    <row r="21" spans="1:55" s="71" customFormat="1" x14ac:dyDescent="0.25">
      <c r="A21" s="18" t="s">
        <v>30</v>
      </c>
      <c r="B21" s="7">
        <f>B19+B18+B17+B16</f>
        <v>9861</v>
      </c>
      <c r="C21" s="7">
        <f>C19+C18+C17+C16</f>
        <v>9761</v>
      </c>
      <c r="D21" s="7">
        <f>D19+D18+D17+D16</f>
        <v>9552</v>
      </c>
      <c r="E21" s="7">
        <f t="shared" ref="E21:G21" si="0">E19+E18+E17+E16</f>
        <v>9210</v>
      </c>
      <c r="F21" s="7">
        <f t="shared" si="0"/>
        <v>8921</v>
      </c>
      <c r="G21" s="7">
        <f t="shared" si="0"/>
        <v>8419</v>
      </c>
      <c r="H21" s="7">
        <v>7618</v>
      </c>
      <c r="I21" s="7">
        <v>6661</v>
      </c>
      <c r="J21" s="7">
        <v>5713</v>
      </c>
      <c r="K21" s="7">
        <v>4803</v>
      </c>
      <c r="L21" s="7">
        <v>3814</v>
      </c>
      <c r="M21" s="7">
        <v>2977</v>
      </c>
      <c r="N21" s="7">
        <v>2420</v>
      </c>
      <c r="O21" s="7">
        <v>1976</v>
      </c>
      <c r="P21" s="25">
        <v>1758</v>
      </c>
      <c r="Q21" s="25">
        <v>1600</v>
      </c>
      <c r="R21" s="25">
        <v>1523</v>
      </c>
      <c r="S21" s="25">
        <v>1460</v>
      </c>
      <c r="T21" s="25">
        <v>1409</v>
      </c>
      <c r="U21" s="25">
        <v>1394</v>
      </c>
      <c r="V21" s="25">
        <v>1413</v>
      </c>
      <c r="W21" s="25">
        <v>1430</v>
      </c>
      <c r="X21" s="25">
        <v>1457</v>
      </c>
      <c r="Y21" s="25">
        <v>1487</v>
      </c>
      <c r="Z21" s="25">
        <v>1509</v>
      </c>
      <c r="AA21" s="25">
        <v>1506</v>
      </c>
      <c r="AB21" s="25">
        <v>1453</v>
      </c>
      <c r="AC21" s="25">
        <v>1334</v>
      </c>
      <c r="AD21" s="25">
        <v>1087</v>
      </c>
      <c r="AE21" s="25">
        <v>794</v>
      </c>
      <c r="AF21" s="25">
        <v>537</v>
      </c>
      <c r="AG21" s="25">
        <v>382</v>
      </c>
      <c r="AH21" s="25">
        <v>295</v>
      </c>
      <c r="AI21" s="25">
        <v>248</v>
      </c>
      <c r="AJ21" s="25">
        <v>211</v>
      </c>
      <c r="AK21" s="25">
        <v>174</v>
      </c>
      <c r="AL21" s="25">
        <v>124</v>
      </c>
      <c r="AM21" s="25">
        <v>74</v>
      </c>
      <c r="AN21" s="25">
        <v>47</v>
      </c>
      <c r="AO21" s="25">
        <v>32</v>
      </c>
      <c r="AP21" s="25">
        <v>18</v>
      </c>
      <c r="AQ21" s="25">
        <v>12</v>
      </c>
      <c r="AR21" s="25">
        <v>10</v>
      </c>
      <c r="AS21" s="25">
        <v>8</v>
      </c>
      <c r="AT21" s="25">
        <v>8</v>
      </c>
      <c r="AU21" s="25">
        <v>2</v>
      </c>
      <c r="AV21" s="25">
        <v>2</v>
      </c>
      <c r="AW21" s="25">
        <v>2</v>
      </c>
      <c r="AX21" s="25">
        <v>2</v>
      </c>
      <c r="AY21" s="25">
        <v>1</v>
      </c>
      <c r="AZ21" s="25">
        <v>1</v>
      </c>
      <c r="BA21" s="25">
        <v>1</v>
      </c>
      <c r="BB21" s="25">
        <v>1</v>
      </c>
      <c r="BC21" s="25">
        <v>1</v>
      </c>
    </row>
    <row r="22" spans="1:55" s="71" customFormat="1" x14ac:dyDescent="0.25">
      <c r="A22" s="185"/>
      <c r="B22"/>
      <c r="C22"/>
      <c r="D22"/>
      <c r="E22"/>
      <c r="F22"/>
      <c r="G22"/>
      <c r="H22"/>
      <c r="I22"/>
      <c r="J22"/>
      <c r="K22"/>
      <c r="L22"/>
      <c r="M22"/>
      <c r="N22"/>
      <c r="O22"/>
      <c r="P22"/>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row>
    <row r="23" spans="1:55" s="71" customFormat="1" x14ac:dyDescent="0.25">
      <c r="A23" s="23" t="s">
        <v>31</v>
      </c>
      <c r="B23" s="3">
        <v>2024</v>
      </c>
      <c r="C23" s="3">
        <v>2023</v>
      </c>
      <c r="D23" s="3">
        <v>2021</v>
      </c>
      <c r="E23" s="3">
        <v>2021</v>
      </c>
      <c r="F23" s="3">
        <v>2020</v>
      </c>
      <c r="G23" s="3">
        <v>2019</v>
      </c>
      <c r="H23" s="3">
        <v>2018</v>
      </c>
      <c r="I23" s="3">
        <v>2017</v>
      </c>
      <c r="J23" s="3">
        <v>2016</v>
      </c>
      <c r="K23" s="3">
        <v>2015</v>
      </c>
      <c r="L23" s="3">
        <v>2014</v>
      </c>
      <c r="M23" s="3">
        <v>2013</v>
      </c>
      <c r="N23" s="3">
        <v>2012</v>
      </c>
      <c r="O23" s="3">
        <v>2011</v>
      </c>
      <c r="P23" s="3">
        <v>2010</v>
      </c>
      <c r="Q23" s="3">
        <v>2009</v>
      </c>
      <c r="R23" s="3">
        <v>2008</v>
      </c>
      <c r="S23" s="3">
        <v>2007</v>
      </c>
      <c r="T23" s="4">
        <v>2006</v>
      </c>
      <c r="U23" s="4">
        <v>2005</v>
      </c>
      <c r="V23" s="4">
        <v>2004</v>
      </c>
      <c r="W23" s="4">
        <v>2003</v>
      </c>
      <c r="X23" s="4">
        <v>2002</v>
      </c>
      <c r="Y23" s="4">
        <v>2001</v>
      </c>
      <c r="Z23" s="4">
        <v>2000</v>
      </c>
      <c r="AA23" s="4">
        <v>1999</v>
      </c>
      <c r="AB23" s="4">
        <v>1998</v>
      </c>
      <c r="AC23" s="4">
        <v>1997</v>
      </c>
      <c r="AD23" s="4">
        <v>1996</v>
      </c>
      <c r="AE23" s="4">
        <v>1995</v>
      </c>
      <c r="AF23" s="4">
        <v>1994</v>
      </c>
      <c r="AG23" s="4">
        <v>1993</v>
      </c>
      <c r="AH23" s="4">
        <v>1992</v>
      </c>
      <c r="AI23" s="4">
        <v>1991</v>
      </c>
      <c r="AJ23" s="4">
        <v>1990</v>
      </c>
      <c r="AK23" s="4">
        <v>1989</v>
      </c>
      <c r="AL23" s="4">
        <v>1988</v>
      </c>
      <c r="AM23" s="4">
        <v>1987</v>
      </c>
      <c r="AN23" s="4">
        <v>1986</v>
      </c>
      <c r="AO23" s="4">
        <v>1985</v>
      </c>
      <c r="AP23" s="4">
        <v>1984</v>
      </c>
      <c r="AQ23" s="4">
        <v>1983</v>
      </c>
      <c r="AR23" s="4">
        <v>1982</v>
      </c>
      <c r="AS23" s="4">
        <v>1981</v>
      </c>
      <c r="AT23" s="4">
        <v>1980</v>
      </c>
      <c r="AU23" s="4">
        <v>1979</v>
      </c>
      <c r="AV23" s="4">
        <v>1978</v>
      </c>
      <c r="AW23" s="4">
        <v>1977</v>
      </c>
      <c r="AX23" s="4">
        <v>1976</v>
      </c>
      <c r="AY23" s="4">
        <v>1975</v>
      </c>
      <c r="AZ23" s="4">
        <v>1974</v>
      </c>
      <c r="BA23" s="4">
        <v>1973</v>
      </c>
      <c r="BB23" s="4">
        <v>1972</v>
      </c>
      <c r="BC23" s="4">
        <v>1971</v>
      </c>
    </row>
    <row r="24" spans="1:55" s="71" customFormat="1" x14ac:dyDescent="0.25">
      <c r="A24" s="24" t="s">
        <v>32</v>
      </c>
      <c r="B24" s="9">
        <f>(B4+B5)/(B18+B19)</f>
        <v>954.85860838868234</v>
      </c>
      <c r="C24" s="9">
        <f>(C4+C5)/(C18+C19)</f>
        <v>1023.2554127567298</v>
      </c>
      <c r="D24" s="9">
        <f>(D4+D5)/(D18+D19)</f>
        <v>1089.3274306146773</v>
      </c>
      <c r="E24" s="9">
        <f>(E4+E5)/(E18+E19)</f>
        <v>1132.3221238938054</v>
      </c>
      <c r="F24" s="9">
        <f>(F4+F5)/(F18+F19)</f>
        <v>1071.5875370919882</v>
      </c>
      <c r="G24" s="9">
        <v>1295</v>
      </c>
      <c r="H24" s="9">
        <v>1308.7965914121294</v>
      </c>
      <c r="I24" s="9">
        <v>1392.4775025278059</v>
      </c>
      <c r="J24" s="9">
        <v>1465.9056944862909</v>
      </c>
      <c r="K24" s="9">
        <v>1470.3423994038749</v>
      </c>
      <c r="L24" s="9">
        <v>1526.4920328343794</v>
      </c>
      <c r="M24" s="9">
        <v>1615.9802855200544</v>
      </c>
      <c r="N24" s="9">
        <v>1666.8521434820648</v>
      </c>
      <c r="O24" s="9">
        <v>1761.4194341943419</v>
      </c>
      <c r="P24" s="9">
        <v>1840.5129032258064</v>
      </c>
      <c r="Q24" s="9">
        <v>1869.5285996055227</v>
      </c>
      <c r="R24" s="9">
        <v>2006.537610619469</v>
      </c>
      <c r="S24" s="9">
        <v>2290.1560283687945</v>
      </c>
      <c r="T24" s="9">
        <v>2288.6675675675674</v>
      </c>
      <c r="U24" s="9">
        <v>2000.0395480225989</v>
      </c>
      <c r="V24" s="9">
        <v>1935.8232044198894</v>
      </c>
      <c r="W24" s="9">
        <v>1772.7765957446809</v>
      </c>
      <c r="X24" s="9">
        <v>1949.920424403183</v>
      </c>
      <c r="Y24" s="9">
        <v>1910.8494897959183</v>
      </c>
      <c r="Z24" s="9">
        <v>1933.7111111111112</v>
      </c>
      <c r="AA24" s="9">
        <v>1886.3349282296651</v>
      </c>
      <c r="AB24" s="9">
        <v>1846.8380952380953</v>
      </c>
      <c r="AC24" s="9">
        <v>1886.4069478908189</v>
      </c>
      <c r="AD24" s="9">
        <v>1941.7616438356165</v>
      </c>
      <c r="AE24" s="9">
        <v>2181.3003663003665</v>
      </c>
      <c r="AF24" s="9">
        <v>2374.234375</v>
      </c>
      <c r="AG24" s="9">
        <v>2663.5294117647059</v>
      </c>
      <c r="AH24" s="9">
        <v>3114.2830188679245</v>
      </c>
      <c r="AI24" s="9">
        <v>2894.7640449438204</v>
      </c>
      <c r="AJ24" s="9">
        <v>2597.4117647058824</v>
      </c>
      <c r="AK24" s="9">
        <v>2852.84375</v>
      </c>
      <c r="AL24" s="9">
        <v>2537.5740740740739</v>
      </c>
      <c r="AM24" s="9">
        <v>2350.5</v>
      </c>
      <c r="AN24" s="9">
        <v>1613.6666666666667</v>
      </c>
      <c r="AO24" s="9">
        <v>978.03703703703707</v>
      </c>
      <c r="AP24" s="9">
        <v>861.1875</v>
      </c>
      <c r="AQ24" s="9">
        <v>865</v>
      </c>
      <c r="AR24" s="9">
        <v>511.11111111111109</v>
      </c>
      <c r="AS24" s="9">
        <v>435.71428571428572</v>
      </c>
      <c r="AT24" s="9">
        <v>321.42857142857144</v>
      </c>
      <c r="AU24" s="9">
        <v>6490</v>
      </c>
      <c r="AV24" s="9">
        <v>6360</v>
      </c>
      <c r="AW24" s="9">
        <v>5225</v>
      </c>
      <c r="AX24" s="9">
        <v>3930</v>
      </c>
      <c r="AY24" s="9">
        <v>7400</v>
      </c>
      <c r="AZ24" s="9">
        <v>6190</v>
      </c>
      <c r="BA24" s="9">
        <v>4730</v>
      </c>
      <c r="BB24" s="9">
        <v>3780</v>
      </c>
      <c r="BC24" s="9">
        <v>2030</v>
      </c>
    </row>
    <row r="25" spans="1:55" s="71" customFormat="1" x14ac:dyDescent="0.25">
      <c r="A25" s="24" t="s">
        <v>12</v>
      </c>
      <c r="B25" s="9">
        <f>B4/B19</f>
        <v>1865.7111507731754</v>
      </c>
      <c r="C25" s="9">
        <f>C4/C19</f>
        <v>2002.9699080043115</v>
      </c>
      <c r="D25" s="9">
        <f>D4/D19</f>
        <v>2194.1429975429974</v>
      </c>
      <c r="E25" s="9">
        <f>E4/E19</f>
        <v>2224.7538614848031</v>
      </c>
      <c r="F25" s="9">
        <f>F4/F19</f>
        <v>2053.7618572141787</v>
      </c>
      <c r="G25" s="9">
        <v>2375</v>
      </c>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row>
    <row r="26" spans="1:55" s="71" customFormat="1" x14ac:dyDescent="0.25">
      <c r="A26" s="24" t="s">
        <v>13</v>
      </c>
      <c r="B26" s="9">
        <f>B5/B18</f>
        <v>485.58959339120031</v>
      </c>
      <c r="C26" s="9">
        <f>C5/C18</f>
        <v>499.07057284421285</v>
      </c>
      <c r="D26" s="9">
        <f>D5/D18</f>
        <v>503.52761855132883</v>
      </c>
      <c r="E26" s="9">
        <f>E5/E18</f>
        <v>530.48009881965413</v>
      </c>
      <c r="F26" s="9">
        <f>F5/F18</f>
        <v>491.0932428444969</v>
      </c>
      <c r="G26" s="9">
        <v>530.65716999050335</v>
      </c>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row>
    <row r="27" spans="1:55" s="71" customFormat="1" x14ac:dyDescent="0.25">
      <c r="A27" s="24" t="s">
        <v>14</v>
      </c>
      <c r="B27" s="9">
        <f>B6/B16</f>
        <v>421.88599607502653</v>
      </c>
      <c r="C27" s="9">
        <f>C6/C16</f>
        <v>476.52021914831107</v>
      </c>
      <c r="D27" s="9">
        <f>D6/D16</f>
        <v>462.53657109420715</v>
      </c>
      <c r="E27" s="9">
        <f>E6/E16</f>
        <v>473.7638597542703</v>
      </c>
      <c r="F27" s="9">
        <f>F6/F16</f>
        <v>395.91145361136296</v>
      </c>
      <c r="G27" s="9">
        <v>529.52696310312206</v>
      </c>
      <c r="H27" s="9">
        <v>524.39059233449473</v>
      </c>
      <c r="I27" s="9">
        <v>578.09908110267679</v>
      </c>
      <c r="J27" s="9">
        <v>593.25588768115938</v>
      </c>
      <c r="K27" s="9">
        <v>610.12467800103036</v>
      </c>
      <c r="L27" s="9">
        <v>728.11228945726759</v>
      </c>
      <c r="M27" s="9">
        <v>747.63379204892965</v>
      </c>
      <c r="N27" s="9">
        <v>737.60254237288132</v>
      </c>
      <c r="O27" s="9">
        <v>755.03348837209307</v>
      </c>
      <c r="P27" s="9">
        <v>688.19962157048246</v>
      </c>
      <c r="Q27" s="9">
        <v>690.12035225048919</v>
      </c>
      <c r="R27" s="9">
        <v>690.73538156590689</v>
      </c>
      <c r="S27" s="9">
        <v>731.90835030549897</v>
      </c>
      <c r="T27" s="9">
        <v>707.33468149646103</v>
      </c>
      <c r="U27" s="9">
        <v>678.3239152371342</v>
      </c>
      <c r="V27" s="9">
        <v>630.31144278606962</v>
      </c>
      <c r="W27" s="9">
        <v>596.40158259149359</v>
      </c>
      <c r="X27" s="9">
        <v>627.50769230769231</v>
      </c>
      <c r="Y27" s="9">
        <v>629.8598484848485</v>
      </c>
      <c r="Z27" s="9">
        <v>641.90917602996251</v>
      </c>
      <c r="AA27" s="9">
        <v>647.16539923954372</v>
      </c>
      <c r="AB27" s="9">
        <v>686.00699300699296</v>
      </c>
      <c r="AC27" s="9">
        <v>753.49444444444441</v>
      </c>
      <c r="AD27" s="9">
        <v>790.80663780663781</v>
      </c>
      <c r="AE27" s="9">
        <v>759.6961770623742</v>
      </c>
      <c r="AF27" s="9">
        <v>783.21276595744678</v>
      </c>
      <c r="AG27" s="9">
        <v>849.86497890295357</v>
      </c>
      <c r="AH27" s="9">
        <v>802.14207650273227</v>
      </c>
      <c r="AI27" s="9">
        <v>728.27272727272725</v>
      </c>
      <c r="AJ27" s="9">
        <v>721.34959349593498</v>
      </c>
      <c r="AK27" s="9">
        <v>576.06542056074761</v>
      </c>
      <c r="AL27" s="9">
        <v>486.79710144927537</v>
      </c>
      <c r="AM27" s="9">
        <v>383.20689655172413</v>
      </c>
      <c r="AN27" s="9">
        <v>487.6875</v>
      </c>
      <c r="AO27" s="9">
        <v>368.25</v>
      </c>
      <c r="AP27" s="9">
        <v>2000</v>
      </c>
      <c r="AQ27" s="9"/>
      <c r="AR27" s="9"/>
      <c r="AS27" s="9"/>
      <c r="AT27" s="9"/>
      <c r="AU27" s="9"/>
      <c r="AV27" s="9"/>
      <c r="AW27" s="9"/>
      <c r="AX27" s="9"/>
      <c r="AY27" s="9"/>
      <c r="AZ27" s="9"/>
      <c r="BA27" s="9"/>
      <c r="BB27" s="9"/>
      <c r="BC27" s="9"/>
    </row>
    <row r="28" spans="1:55" s="71" customFormat="1" x14ac:dyDescent="0.25"/>
    <row r="29" spans="1:55" s="71" customFormat="1" x14ac:dyDescent="0.25">
      <c r="A29" s="20" t="s">
        <v>33</v>
      </c>
      <c r="B29" s="3">
        <v>2024</v>
      </c>
      <c r="C29" s="3">
        <v>2023</v>
      </c>
      <c r="D29" s="3">
        <v>2022</v>
      </c>
      <c r="E29" s="3">
        <v>2021</v>
      </c>
      <c r="F29" s="3">
        <v>2020</v>
      </c>
      <c r="G29" s="3">
        <v>2019</v>
      </c>
      <c r="H29" s="3">
        <v>2018</v>
      </c>
      <c r="I29" s="3">
        <v>2017</v>
      </c>
      <c r="J29" s="3">
        <v>2016</v>
      </c>
      <c r="K29" s="3">
        <v>2015</v>
      </c>
      <c r="L29" s="3">
        <v>2014</v>
      </c>
      <c r="M29" s="3">
        <v>2013</v>
      </c>
      <c r="N29" s="3">
        <v>2012</v>
      </c>
      <c r="O29" s="3">
        <v>2011</v>
      </c>
      <c r="P29" s="3">
        <v>2010</v>
      </c>
      <c r="Q29" s="3">
        <v>2009</v>
      </c>
      <c r="R29" s="3">
        <v>2008</v>
      </c>
      <c r="S29" s="3">
        <v>2007</v>
      </c>
      <c r="T29" s="4">
        <v>2006</v>
      </c>
      <c r="U29" s="4">
        <v>2005</v>
      </c>
      <c r="V29" s="4">
        <v>2004</v>
      </c>
      <c r="W29" s="4">
        <v>2003</v>
      </c>
      <c r="X29" s="4">
        <v>2002</v>
      </c>
      <c r="Y29" s="4">
        <v>2001</v>
      </c>
      <c r="Z29" s="4">
        <v>2000</v>
      </c>
      <c r="AA29" s="4">
        <v>1999</v>
      </c>
      <c r="AB29" s="4">
        <v>1998</v>
      </c>
    </row>
    <row r="30" spans="1:55" s="71" customFormat="1" x14ac:dyDescent="0.25">
      <c r="A30" s="29" t="s">
        <v>34</v>
      </c>
      <c r="B30" s="22">
        <v>13.288142599703825</v>
      </c>
      <c r="C30" s="22">
        <v>13.7</v>
      </c>
      <c r="D30" s="22">
        <v>13.2</v>
      </c>
      <c r="E30" s="22">
        <v>13</v>
      </c>
      <c r="F30" s="22">
        <v>12.2</v>
      </c>
      <c r="G30" s="22">
        <v>13.6</v>
      </c>
      <c r="H30" s="22">
        <v>13</v>
      </c>
      <c r="I30" s="22">
        <v>12.5</v>
      </c>
      <c r="J30" s="22">
        <v>12.1</v>
      </c>
      <c r="K30" s="29">
        <v>12.2</v>
      </c>
      <c r="L30" s="29">
        <v>11.05</v>
      </c>
      <c r="M30" s="29">
        <v>7.76</v>
      </c>
      <c r="N30" s="29">
        <v>6.52</v>
      </c>
      <c r="O30" s="29">
        <v>5.73</v>
      </c>
      <c r="P30" s="30">
        <v>4.97</v>
      </c>
      <c r="Q30" s="30">
        <v>4.4000000000000004</v>
      </c>
      <c r="R30" s="30">
        <v>4.0199999999999996</v>
      </c>
      <c r="S30" s="30">
        <v>3.8</v>
      </c>
      <c r="T30" s="30">
        <v>3.39</v>
      </c>
      <c r="U30" s="30">
        <v>3.05</v>
      </c>
      <c r="V30" s="30">
        <v>2.82</v>
      </c>
      <c r="W30" s="30">
        <v>2.7005089730978353</v>
      </c>
      <c r="X30" s="30">
        <v>2.67</v>
      </c>
      <c r="Y30" s="30">
        <v>2.6445292042568749</v>
      </c>
      <c r="Z30" s="30">
        <v>2.6439968912071983</v>
      </c>
      <c r="AA30" s="30">
        <v>2.6531651496234243</v>
      </c>
      <c r="AB30" s="30">
        <v>2.6318695645505161</v>
      </c>
      <c r="AE30" s="72"/>
    </row>
    <row r="31" spans="1:55" s="71" customFormat="1" x14ac:dyDescent="0.25">
      <c r="A31" s="29" t="s">
        <v>35</v>
      </c>
      <c r="B31" s="22">
        <v>24.362845132269289</v>
      </c>
      <c r="C31" s="22">
        <v>23.160797350547448</v>
      </c>
      <c r="D31" s="22">
        <v>22.2</v>
      </c>
      <c r="E31" s="22">
        <v>21</v>
      </c>
      <c r="F31" s="22">
        <v>19.600000000000001</v>
      </c>
      <c r="G31" s="22">
        <v>19</v>
      </c>
      <c r="H31" s="22">
        <v>18.399999999999999</v>
      </c>
      <c r="I31" s="22">
        <v>17.5</v>
      </c>
      <c r="J31" s="22">
        <v>16.8</v>
      </c>
      <c r="K31" s="29">
        <v>15.9</v>
      </c>
      <c r="L31" s="29">
        <v>14.93</v>
      </c>
      <c r="M31" s="29">
        <v>13.85</v>
      </c>
      <c r="N31" s="29">
        <v>13.85</v>
      </c>
      <c r="O31" s="29">
        <v>13.79</v>
      </c>
      <c r="P31" s="30">
        <v>13.4</v>
      </c>
      <c r="Q31" s="30">
        <v>12.62</v>
      </c>
      <c r="R31" s="30">
        <v>13.65</v>
      </c>
      <c r="S31" s="30">
        <v>14.2</v>
      </c>
      <c r="T31" s="30">
        <v>14.042278490445428</v>
      </c>
      <c r="U31" s="30">
        <v>12.500547053932223</v>
      </c>
      <c r="V31" s="30">
        <v>11.64213426999544</v>
      </c>
      <c r="W31" s="30">
        <v>11.580606167383634</v>
      </c>
      <c r="X31" s="30">
        <v>11.327789490122589</v>
      </c>
      <c r="Y31" s="30">
        <v>10.815604588887462</v>
      </c>
      <c r="Z31" s="30">
        <v>10.021871154488071</v>
      </c>
      <c r="AA31" s="30">
        <v>9.010129284304643</v>
      </c>
      <c r="AB31" s="30">
        <v>8.4083623479607965</v>
      </c>
    </row>
    <row r="32" spans="1:55" s="71" customFormat="1" x14ac:dyDescent="0.25">
      <c r="A32" s="29" t="s">
        <v>36</v>
      </c>
      <c r="B32" s="22">
        <v>62.349012268026883</v>
      </c>
      <c r="C32" s="22">
        <v>63.175927764543715</v>
      </c>
      <c r="D32" s="22">
        <v>64.5</v>
      </c>
      <c r="E32" s="22">
        <v>66</v>
      </c>
      <c r="F32" s="22">
        <v>68.3</v>
      </c>
      <c r="G32" s="22">
        <v>67.400000000000006</v>
      </c>
      <c r="H32" s="22">
        <v>68.7</v>
      </c>
      <c r="I32" s="22">
        <v>70</v>
      </c>
      <c r="J32" s="22">
        <v>71.099999999999994</v>
      </c>
      <c r="K32" s="29">
        <v>71.900000000000006</v>
      </c>
      <c r="L32" s="29">
        <v>74.010000000000005</v>
      </c>
      <c r="M32" s="29">
        <v>78.39</v>
      </c>
      <c r="N32" s="29">
        <v>79.62</v>
      </c>
      <c r="O32" s="29">
        <v>80.489999999999995</v>
      </c>
      <c r="P32" s="30">
        <v>81.63</v>
      </c>
      <c r="Q32" s="30">
        <v>82.98</v>
      </c>
      <c r="R32" s="30">
        <v>82.33</v>
      </c>
      <c r="S32" s="30">
        <v>82</v>
      </c>
      <c r="T32" s="30">
        <v>82.56</v>
      </c>
      <c r="U32" s="30">
        <v>84.44</v>
      </c>
      <c r="V32" s="30">
        <v>85.53</v>
      </c>
      <c r="W32" s="30">
        <v>85.712033298586135</v>
      </c>
      <c r="X32" s="30">
        <v>86.007289958616383</v>
      </c>
      <c r="Y32" s="30">
        <v>86.539866206855663</v>
      </c>
      <c r="Z32" s="30">
        <v>87.334131954304723</v>
      </c>
      <c r="AA32" s="30">
        <v>88.336705566071927</v>
      </c>
      <c r="AB32" s="30">
        <v>88.959768087488683</v>
      </c>
    </row>
    <row r="33" spans="1:28" s="71" customFormat="1" x14ac:dyDescent="0.25">
      <c r="A33" s="29" t="s">
        <v>37</v>
      </c>
      <c r="B33" s="22">
        <v>24.674779264893402</v>
      </c>
      <c r="C33" s="22">
        <v>24.061261925415529</v>
      </c>
      <c r="D33" s="22">
        <v>24.6</v>
      </c>
      <c r="E33" s="22">
        <v>25.6</v>
      </c>
      <c r="F33" s="22">
        <v>23.6</v>
      </c>
      <c r="G33" s="22">
        <v>25.2</v>
      </c>
      <c r="H33" s="22">
        <v>24.1</v>
      </c>
      <c r="I33" s="22">
        <v>22.9</v>
      </c>
      <c r="J33" s="22">
        <v>21.9</v>
      </c>
      <c r="K33" s="30">
        <v>21</v>
      </c>
      <c r="L33" s="29">
        <v>19.32</v>
      </c>
      <c r="M33" s="29">
        <v>14.28</v>
      </c>
      <c r="N33" s="29">
        <v>11.94</v>
      </c>
      <c r="O33" s="30">
        <v>10.6</v>
      </c>
      <c r="P33" s="31">
        <v>8.7671806167400881</v>
      </c>
      <c r="Q33" s="31">
        <v>7.5997797356828203</v>
      </c>
      <c r="R33" s="31">
        <v>7.2962555066079311</v>
      </c>
      <c r="S33" s="31">
        <v>6.8759911894273138</v>
      </c>
      <c r="T33" s="31">
        <v>6.1171806167400895</v>
      </c>
      <c r="U33" s="31">
        <v>5.4400881057268728</v>
      </c>
      <c r="V33" s="186"/>
      <c r="W33" s="186"/>
      <c r="X33" s="186"/>
      <c r="Y33" s="186"/>
      <c r="Z33" s="186"/>
      <c r="AA33" s="186"/>
      <c r="AB33" s="186"/>
    </row>
    <row r="35" spans="1:28" x14ac:dyDescent="0.25">
      <c r="B35" s="115"/>
    </row>
    <row r="36" spans="1:28" x14ac:dyDescent="0.25">
      <c r="C36"/>
      <c r="D36"/>
      <c r="E36"/>
      <c r="F36"/>
      <c r="G36"/>
      <c r="H36"/>
      <c r="I36"/>
      <c r="J36"/>
      <c r="K36" s="112"/>
      <c r="L36"/>
      <c r="M36"/>
      <c r="N36"/>
      <c r="O36"/>
      <c r="P36"/>
      <c r="Q36"/>
      <c r="R36"/>
      <c r="S36"/>
      <c r="T36"/>
      <c r="U36"/>
      <c r="V36"/>
      <c r="W36"/>
    </row>
    <row r="37" spans="1:28" x14ac:dyDescent="0.25">
      <c r="C37"/>
      <c r="D37"/>
      <c r="E37"/>
      <c r="F37"/>
      <c r="G37"/>
      <c r="H37"/>
      <c r="I37"/>
      <c r="J37"/>
      <c r="K37"/>
      <c r="L37"/>
      <c r="M37"/>
      <c r="N37"/>
      <c r="O37"/>
      <c r="P37"/>
      <c r="Q37"/>
      <c r="R37"/>
      <c r="S37"/>
      <c r="T37"/>
      <c r="U37"/>
      <c r="V37"/>
      <c r="W37"/>
    </row>
    <row r="38" spans="1:28" x14ac:dyDescent="0.25">
      <c r="A38" s="115"/>
      <c r="B38" s="115"/>
      <c r="C38"/>
      <c r="D38"/>
      <c r="E38"/>
      <c r="F38"/>
      <c r="G38"/>
      <c r="H38"/>
      <c r="I38"/>
    </row>
    <row r="39" spans="1:28" x14ac:dyDescent="0.25">
      <c r="C39"/>
      <c r="D39"/>
      <c r="E39"/>
      <c r="F39"/>
      <c r="G39"/>
      <c r="H39"/>
      <c r="I39"/>
    </row>
    <row r="40" spans="1:28" x14ac:dyDescent="0.25">
      <c r="C40"/>
      <c r="D40"/>
      <c r="E40"/>
      <c r="F40"/>
      <c r="G40"/>
      <c r="H40"/>
      <c r="I40"/>
    </row>
    <row r="41" spans="1:28" x14ac:dyDescent="0.25">
      <c r="C41"/>
      <c r="D41"/>
      <c r="E41"/>
      <c r="F41"/>
      <c r="G41"/>
      <c r="H41"/>
      <c r="I41"/>
    </row>
    <row r="42" spans="1:28" x14ac:dyDescent="0.25">
      <c r="C42"/>
      <c r="D42"/>
      <c r="E42"/>
      <c r="F42"/>
      <c r="G42"/>
      <c r="H42"/>
      <c r="I42"/>
    </row>
    <row r="43" spans="1:28" x14ac:dyDescent="0.25">
      <c r="C43"/>
      <c r="D43"/>
      <c r="E43"/>
      <c r="F43"/>
      <c r="G43"/>
      <c r="H43"/>
      <c r="I43"/>
    </row>
    <row r="44" spans="1:28" x14ac:dyDescent="0.25">
      <c r="F44"/>
      <c r="G44"/>
      <c r="H44"/>
      <c r="I44"/>
    </row>
    <row r="45" spans="1:28" x14ac:dyDescent="0.25">
      <c r="F45"/>
      <c r="G45"/>
      <c r="H45"/>
      <c r="I45"/>
    </row>
    <row r="46" spans="1:28" x14ac:dyDescent="0.25">
      <c r="F46"/>
      <c r="G46"/>
      <c r="H46"/>
      <c r="I46"/>
    </row>
    <row r="50" spans="6:7" x14ac:dyDescent="0.25">
      <c r="F50"/>
      <c r="G50"/>
    </row>
    <row r="51" spans="6:7" x14ac:dyDescent="0.25">
      <c r="F51"/>
      <c r="G51"/>
    </row>
    <row r="52" spans="6:7" x14ac:dyDescent="0.25">
      <c r="F52"/>
      <c r="G52"/>
    </row>
    <row r="53" spans="6:7" x14ac:dyDescent="0.25">
      <c r="F53"/>
      <c r="G53"/>
    </row>
    <row r="54" spans="6:7" x14ac:dyDescent="0.25">
      <c r="F54"/>
      <c r="G54"/>
    </row>
    <row r="55" spans="6:7" x14ac:dyDescent="0.25">
      <c r="F55"/>
      <c r="G55"/>
    </row>
    <row r="56" spans="6:7" x14ac:dyDescent="0.25">
      <c r="F56"/>
      <c r="G56"/>
    </row>
    <row r="57" spans="6:7" x14ac:dyDescent="0.25">
      <c r="F57"/>
      <c r="G57"/>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6EFD9-BCE8-436F-B792-86755B0923C7}">
  <dimension ref="A1:E16"/>
  <sheetViews>
    <sheetView workbookViewId="0">
      <selection activeCell="E17" sqref="E17"/>
    </sheetView>
  </sheetViews>
  <sheetFormatPr defaultRowHeight="15" x14ac:dyDescent="0.25"/>
  <cols>
    <col min="2" max="2" width="14.85546875" bestFit="1" customWidth="1"/>
    <col min="3" max="3" width="24.7109375" bestFit="1" customWidth="1"/>
    <col min="4" max="4" width="14.140625" bestFit="1" customWidth="1"/>
    <col min="5" max="5" width="17.28515625" bestFit="1" customWidth="1"/>
    <col min="8" max="8" width="15.28515625" bestFit="1" customWidth="1"/>
    <col min="9" max="9" width="18.42578125" bestFit="1" customWidth="1"/>
  </cols>
  <sheetData>
    <row r="1" spans="1:5" ht="15.75" thickBot="1" x14ac:dyDescent="0.3">
      <c r="A1" s="116" t="s">
        <v>38</v>
      </c>
      <c r="B1" s="119" t="s">
        <v>39</v>
      </c>
      <c r="C1" s="120" t="s">
        <v>40</v>
      </c>
      <c r="D1" s="119" t="s">
        <v>41</v>
      </c>
      <c r="E1" s="120" t="s">
        <v>42</v>
      </c>
    </row>
    <row r="2" spans="1:5" x14ac:dyDescent="0.25">
      <c r="A2" s="117">
        <v>2010</v>
      </c>
      <c r="B2" s="121">
        <v>11.8</v>
      </c>
      <c r="C2" s="122">
        <v>1069348</v>
      </c>
      <c r="D2" s="123">
        <v>1758</v>
      </c>
      <c r="E2" s="124">
        <v>608.27531285551765</v>
      </c>
    </row>
    <row r="3" spans="1:5" x14ac:dyDescent="0.25">
      <c r="A3" s="117">
        <v>2011</v>
      </c>
      <c r="B3" s="121">
        <v>13.2</v>
      </c>
      <c r="C3" s="122">
        <v>1333360</v>
      </c>
      <c r="D3" s="123">
        <v>1976</v>
      </c>
      <c r="E3" s="124">
        <v>674.77732793522262</v>
      </c>
    </row>
    <row r="4" spans="1:5" x14ac:dyDescent="0.25">
      <c r="A4" s="117">
        <v>2012</v>
      </c>
      <c r="B4" s="121">
        <v>15.4</v>
      </c>
      <c r="C4" s="122">
        <v>1768580</v>
      </c>
      <c r="D4" s="123">
        <v>2420</v>
      </c>
      <c r="E4" s="124">
        <v>730.81818181818187</v>
      </c>
    </row>
    <row r="5" spans="1:5" x14ac:dyDescent="0.25">
      <c r="A5" s="117">
        <v>2013</v>
      </c>
      <c r="B5" s="121">
        <v>17.100000000000001</v>
      </c>
      <c r="C5" s="122">
        <v>2268933</v>
      </c>
      <c r="D5" s="123">
        <v>2977</v>
      </c>
      <c r="E5" s="124">
        <v>762.15418206247898</v>
      </c>
    </row>
    <row r="6" spans="1:5" x14ac:dyDescent="0.25">
      <c r="A6" s="117">
        <v>2014</v>
      </c>
      <c r="B6" s="121">
        <v>17.8</v>
      </c>
      <c r="C6" s="122">
        <v>3327306</v>
      </c>
      <c r="D6" s="123">
        <v>3814</v>
      </c>
      <c r="E6" s="124">
        <v>872.39276350288412</v>
      </c>
    </row>
    <row r="7" spans="1:5" x14ac:dyDescent="0.25">
      <c r="A7" s="117">
        <v>2015</v>
      </c>
      <c r="B7" s="121">
        <v>11.331905102938844</v>
      </c>
      <c r="C7" s="122">
        <v>2461409</v>
      </c>
      <c r="D7" s="123">
        <v>4803</v>
      </c>
      <c r="E7" s="124">
        <v>512.47324588798665</v>
      </c>
    </row>
    <row r="8" spans="1:5" x14ac:dyDescent="0.25">
      <c r="A8" s="117">
        <v>2016</v>
      </c>
      <c r="B8" s="121">
        <v>5.9073150487435555</v>
      </c>
      <c r="C8" s="122">
        <v>1355551.4400913008</v>
      </c>
      <c r="D8" s="123">
        <v>5713</v>
      </c>
      <c r="E8" s="124">
        <v>237.27488886597249</v>
      </c>
    </row>
    <row r="9" spans="1:5" x14ac:dyDescent="0.25">
      <c r="A9" s="117">
        <v>2017</v>
      </c>
      <c r="B9" s="121">
        <v>3.9965739152044044</v>
      </c>
      <c r="C9" s="122">
        <v>959154</v>
      </c>
      <c r="D9" s="123">
        <v>6661</v>
      </c>
      <c r="E9" s="124">
        <v>143.995496171746</v>
      </c>
    </row>
    <row r="10" spans="1:5" x14ac:dyDescent="0.25">
      <c r="A10" s="117">
        <v>2018</v>
      </c>
      <c r="B10" s="121">
        <v>2.6607962096354854</v>
      </c>
      <c r="C10" s="122">
        <v>659814</v>
      </c>
      <c r="D10" s="123">
        <v>7618</v>
      </c>
      <c r="E10" s="124">
        <v>86.612496718298772</v>
      </c>
    </row>
    <row r="11" spans="1:5" x14ac:dyDescent="0.25">
      <c r="A11" s="117">
        <v>2019</v>
      </c>
      <c r="B11" s="121">
        <v>3.4971962132451573</v>
      </c>
      <c r="C11" s="122">
        <v>889352</v>
      </c>
      <c r="D11" s="123">
        <v>8419</v>
      </c>
      <c r="E11" s="124">
        <v>105.63629884784416</v>
      </c>
    </row>
    <row r="12" spans="1:5" x14ac:dyDescent="0.25">
      <c r="A12" s="117">
        <v>2020</v>
      </c>
      <c r="B12" s="121">
        <v>-10.1</v>
      </c>
      <c r="C12" s="122">
        <v>-2569432</v>
      </c>
      <c r="D12" s="123">
        <v>8921</v>
      </c>
      <c r="E12" s="124">
        <v>-288.02062549041585</v>
      </c>
    </row>
    <row r="13" spans="1:5" x14ac:dyDescent="0.25">
      <c r="A13" s="117">
        <v>2021</v>
      </c>
      <c r="B13" s="121">
        <v>7.9</v>
      </c>
      <c r="C13" s="122">
        <v>1813640</v>
      </c>
      <c r="D13" s="123">
        <v>9210</v>
      </c>
      <c r="E13" s="124">
        <v>196.92073832790444</v>
      </c>
    </row>
    <row r="14" spans="1:5" x14ac:dyDescent="0.25">
      <c r="A14" s="117">
        <v>2022</v>
      </c>
      <c r="B14" s="121">
        <v>0.1</v>
      </c>
      <c r="C14" s="122">
        <v>16462</v>
      </c>
      <c r="D14" s="123">
        <v>9552</v>
      </c>
      <c r="E14" s="124">
        <f>C14/D14</f>
        <v>1.7234087102177555</v>
      </c>
    </row>
    <row r="15" spans="1:5" x14ac:dyDescent="0.25">
      <c r="A15" s="117">
        <v>2023</v>
      </c>
      <c r="B15" s="121">
        <f>'1. Craft Historical'!C13</f>
        <v>-0.97314335543566899</v>
      </c>
      <c r="C15" s="122">
        <v>-236214.33394347131</v>
      </c>
      <c r="D15" s="123">
        <f>'1. Craft Historical'!C21</f>
        <v>9761</v>
      </c>
      <c r="E15" s="124">
        <f>C15/D15</f>
        <v>-24.199808825271109</v>
      </c>
    </row>
    <row r="16" spans="1:5" x14ac:dyDescent="0.25">
      <c r="A16" s="118">
        <v>2024</v>
      </c>
      <c r="B16" s="125">
        <f>'1. Craft Historical'!B13</f>
        <v>-3.9299642059191999</v>
      </c>
      <c r="C16" s="128">
        <v>-268261.96528986469</v>
      </c>
      <c r="D16" s="126">
        <f>'1. Craft Historical'!B21</f>
        <v>9861</v>
      </c>
      <c r="E16" s="127">
        <f>C16/D16</f>
        <v>-27.204336810654567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54D4B-FFF0-42B3-B657-7213E75F43D0}">
  <dimension ref="A1:F7849"/>
  <sheetViews>
    <sheetView workbookViewId="0">
      <selection sqref="A1:E1"/>
    </sheetView>
  </sheetViews>
  <sheetFormatPr defaultRowHeight="15" x14ac:dyDescent="0.25"/>
  <cols>
    <col min="1" max="1" width="62.7109375" bestFit="1" customWidth="1"/>
    <col min="2" max="2" width="10.5703125" style="1" bestFit="1" customWidth="1"/>
    <col min="3" max="3" width="20.85546875" style="1" customWidth="1"/>
    <col min="4" max="4" width="18.28515625" style="1" bestFit="1" customWidth="1"/>
    <col min="5" max="5" width="14.7109375" style="1" customWidth="1"/>
    <col min="7" max="7" width="12.7109375" bestFit="1" customWidth="1"/>
  </cols>
  <sheetData>
    <row r="1" spans="1:5" ht="43.5" customHeight="1" x14ac:dyDescent="0.25">
      <c r="A1" s="241" t="s">
        <v>11835</v>
      </c>
      <c r="B1" s="241"/>
      <c r="C1" s="241"/>
      <c r="D1" s="241"/>
      <c r="E1" s="241"/>
    </row>
    <row r="2" spans="1:5" ht="45" customHeight="1" thickBot="1" x14ac:dyDescent="0.3">
      <c r="A2" s="131" t="s">
        <v>43</v>
      </c>
      <c r="B2" s="129" t="s">
        <v>44</v>
      </c>
      <c r="C2" s="132" t="s">
        <v>45</v>
      </c>
      <c r="D2" s="132" t="s">
        <v>46</v>
      </c>
      <c r="E2" s="130" t="s">
        <v>11834</v>
      </c>
    </row>
    <row r="3" spans="1:5" x14ac:dyDescent="0.25">
      <c r="A3" s="215" t="s">
        <v>47</v>
      </c>
      <c r="B3" s="217" t="s">
        <v>48</v>
      </c>
      <c r="C3" s="219" t="s">
        <v>49</v>
      </c>
      <c r="D3" s="219" t="s">
        <v>50</v>
      </c>
      <c r="E3" s="214">
        <v>2527500</v>
      </c>
    </row>
    <row r="4" spans="1:5" x14ac:dyDescent="0.25">
      <c r="A4" s="216" t="s">
        <v>51</v>
      </c>
      <c r="B4" s="218">
        <v>1</v>
      </c>
      <c r="C4" s="220" t="s">
        <v>52</v>
      </c>
      <c r="D4" s="220" t="s">
        <v>53</v>
      </c>
      <c r="E4" s="165">
        <v>1104000</v>
      </c>
    </row>
    <row r="5" spans="1:5" x14ac:dyDescent="0.25">
      <c r="A5" s="216" t="s">
        <v>54</v>
      </c>
      <c r="B5" s="218" t="s">
        <v>48</v>
      </c>
      <c r="C5" s="220" t="s">
        <v>55</v>
      </c>
      <c r="D5" s="220" t="s">
        <v>56</v>
      </c>
      <c r="E5" s="165">
        <v>1065894</v>
      </c>
    </row>
    <row r="6" spans="1:5" x14ac:dyDescent="0.25">
      <c r="A6" s="216" t="s">
        <v>62</v>
      </c>
      <c r="B6" s="218">
        <v>1</v>
      </c>
      <c r="C6" s="220" t="s">
        <v>63</v>
      </c>
      <c r="D6" s="220" t="s">
        <v>63</v>
      </c>
      <c r="E6" s="165">
        <v>783495</v>
      </c>
    </row>
    <row r="7" spans="1:5" x14ac:dyDescent="0.25">
      <c r="A7" s="216" t="s">
        <v>60</v>
      </c>
      <c r="B7" s="218">
        <v>1</v>
      </c>
      <c r="C7" s="220" t="s">
        <v>61</v>
      </c>
      <c r="D7" s="220" t="s">
        <v>56</v>
      </c>
      <c r="E7" s="165">
        <v>480000</v>
      </c>
    </row>
    <row r="8" spans="1:5" x14ac:dyDescent="0.25">
      <c r="A8" s="216" t="s">
        <v>57</v>
      </c>
      <c r="B8" s="218">
        <v>1</v>
      </c>
      <c r="C8" s="220" t="s">
        <v>58</v>
      </c>
      <c r="D8" s="220" t="s">
        <v>59</v>
      </c>
      <c r="E8" s="165">
        <v>453859</v>
      </c>
    </row>
    <row r="9" spans="1:5" x14ac:dyDescent="0.25">
      <c r="A9" s="216" t="s">
        <v>79</v>
      </c>
      <c r="B9" s="218" t="s">
        <v>48</v>
      </c>
      <c r="C9" s="220" t="s">
        <v>80</v>
      </c>
      <c r="D9" s="220" t="s">
        <v>63</v>
      </c>
      <c r="E9" s="165">
        <v>403367</v>
      </c>
    </row>
    <row r="10" spans="1:5" x14ac:dyDescent="0.25">
      <c r="A10" s="216" t="s">
        <v>70</v>
      </c>
      <c r="B10" s="218" t="s">
        <v>48</v>
      </c>
      <c r="C10" s="220" t="s">
        <v>71</v>
      </c>
      <c r="D10" s="220" t="s">
        <v>72</v>
      </c>
      <c r="E10" s="165">
        <v>399500</v>
      </c>
    </row>
    <row r="11" spans="1:5" x14ac:dyDescent="0.25">
      <c r="A11" s="216" t="s">
        <v>67</v>
      </c>
      <c r="B11" s="218" t="s">
        <v>48</v>
      </c>
      <c r="C11" s="220" t="s">
        <v>68</v>
      </c>
      <c r="D11" s="220" t="s">
        <v>63</v>
      </c>
      <c r="E11" s="165">
        <v>338568</v>
      </c>
    </row>
    <row r="12" spans="1:5" x14ac:dyDescent="0.25">
      <c r="A12" s="216" t="s">
        <v>10938</v>
      </c>
      <c r="B12" s="218" t="s">
        <v>48</v>
      </c>
      <c r="C12" s="220" t="s">
        <v>245</v>
      </c>
      <c r="D12" s="220" t="s">
        <v>69</v>
      </c>
      <c r="E12" s="165">
        <v>303286</v>
      </c>
    </row>
    <row r="13" spans="1:5" x14ac:dyDescent="0.25">
      <c r="A13" s="216" t="s">
        <v>64</v>
      </c>
      <c r="B13" s="218"/>
      <c r="C13" s="220" t="s">
        <v>65</v>
      </c>
      <c r="D13" s="220" t="s">
        <v>66</v>
      </c>
      <c r="E13" s="165">
        <v>252334</v>
      </c>
    </row>
    <row r="14" spans="1:5" x14ac:dyDescent="0.25">
      <c r="A14" s="216" t="s">
        <v>76</v>
      </c>
      <c r="B14" s="218" t="s">
        <v>48</v>
      </c>
      <c r="C14" s="220" t="s">
        <v>77</v>
      </c>
      <c r="D14" s="220" t="s">
        <v>78</v>
      </c>
      <c r="E14" s="165">
        <v>248195</v>
      </c>
    </row>
    <row r="15" spans="1:5" x14ac:dyDescent="0.25">
      <c r="A15" s="216" t="s">
        <v>73</v>
      </c>
      <c r="B15" s="218" t="s">
        <v>48</v>
      </c>
      <c r="C15" s="220" t="s">
        <v>74</v>
      </c>
      <c r="D15" s="220" t="s">
        <v>75</v>
      </c>
      <c r="E15" s="165">
        <v>232171</v>
      </c>
    </row>
    <row r="16" spans="1:5" x14ac:dyDescent="0.25">
      <c r="A16" s="216" t="s">
        <v>81</v>
      </c>
      <c r="B16" s="218" t="s">
        <v>48</v>
      </c>
      <c r="C16" s="220" t="s">
        <v>473</v>
      </c>
      <c r="D16" s="220" t="s">
        <v>82</v>
      </c>
      <c r="E16" s="165">
        <v>167000</v>
      </c>
    </row>
    <row r="17" spans="1:5" x14ac:dyDescent="0.25">
      <c r="A17" s="216" t="s">
        <v>10939</v>
      </c>
      <c r="B17" s="218" t="s">
        <v>48</v>
      </c>
      <c r="C17" s="220" t="s">
        <v>52</v>
      </c>
      <c r="D17" s="220" t="s">
        <v>53</v>
      </c>
      <c r="E17" s="165">
        <v>125400</v>
      </c>
    </row>
    <row r="18" spans="1:5" x14ac:dyDescent="0.25">
      <c r="A18" s="216" t="s">
        <v>88</v>
      </c>
      <c r="B18" s="218" t="s">
        <v>48</v>
      </c>
      <c r="C18" s="220" t="s">
        <v>89</v>
      </c>
      <c r="D18" s="220" t="s">
        <v>90</v>
      </c>
      <c r="E18" s="165">
        <v>122918</v>
      </c>
    </row>
    <row r="19" spans="1:5" x14ac:dyDescent="0.25">
      <c r="A19" s="216" t="s">
        <v>83</v>
      </c>
      <c r="B19" s="218">
        <v>1</v>
      </c>
      <c r="C19" s="220" t="s">
        <v>84</v>
      </c>
      <c r="D19" s="220" t="s">
        <v>56</v>
      </c>
      <c r="E19" s="165">
        <v>122510</v>
      </c>
    </row>
    <row r="20" spans="1:5" x14ac:dyDescent="0.25">
      <c r="A20" s="216" t="s">
        <v>101</v>
      </c>
      <c r="B20" s="218" t="s">
        <v>48</v>
      </c>
      <c r="C20" s="220" t="s">
        <v>102</v>
      </c>
      <c r="D20" s="220" t="s">
        <v>93</v>
      </c>
      <c r="E20" s="165">
        <v>118020</v>
      </c>
    </row>
    <row r="21" spans="1:5" x14ac:dyDescent="0.25">
      <c r="A21" s="216" t="s">
        <v>111</v>
      </c>
      <c r="B21" s="218" t="s">
        <v>48</v>
      </c>
      <c r="C21" s="220" t="s">
        <v>112</v>
      </c>
      <c r="D21" s="220" t="s">
        <v>113</v>
      </c>
      <c r="E21" s="165">
        <v>115645</v>
      </c>
    </row>
    <row r="22" spans="1:5" x14ac:dyDescent="0.25">
      <c r="A22" s="216" t="s">
        <v>91</v>
      </c>
      <c r="B22" s="218" t="s">
        <v>48</v>
      </c>
      <c r="C22" s="220" t="s">
        <v>92</v>
      </c>
      <c r="D22" s="220" t="s">
        <v>93</v>
      </c>
      <c r="E22" s="165">
        <v>114827</v>
      </c>
    </row>
    <row r="23" spans="1:5" x14ac:dyDescent="0.25">
      <c r="A23" s="216" t="s">
        <v>103</v>
      </c>
      <c r="B23" s="218" t="s">
        <v>48</v>
      </c>
      <c r="C23" s="220" t="s">
        <v>104</v>
      </c>
      <c r="D23" s="220" t="s">
        <v>105</v>
      </c>
      <c r="E23" s="165">
        <v>111375</v>
      </c>
    </row>
    <row r="24" spans="1:5" x14ac:dyDescent="0.25">
      <c r="A24" s="216" t="s">
        <v>114</v>
      </c>
      <c r="B24" s="218" t="s">
        <v>48</v>
      </c>
      <c r="C24" s="220" t="s">
        <v>115</v>
      </c>
      <c r="D24" s="220" t="s">
        <v>50</v>
      </c>
      <c r="E24" s="165">
        <v>109576</v>
      </c>
    </row>
    <row r="25" spans="1:5" x14ac:dyDescent="0.25">
      <c r="A25" s="216" t="s">
        <v>85</v>
      </c>
      <c r="B25" s="218" t="s">
        <v>48</v>
      </c>
      <c r="C25" s="220" t="s">
        <v>86</v>
      </c>
      <c r="D25" s="220" t="s">
        <v>87</v>
      </c>
      <c r="E25" s="165">
        <v>109304</v>
      </c>
    </row>
    <row r="26" spans="1:5" x14ac:dyDescent="0.25">
      <c r="A26" s="216" t="s">
        <v>106</v>
      </c>
      <c r="B26" s="218" t="s">
        <v>48</v>
      </c>
      <c r="C26" s="220" t="s">
        <v>107</v>
      </c>
      <c r="D26" s="220" t="s">
        <v>108</v>
      </c>
      <c r="E26" s="165">
        <v>108375</v>
      </c>
    </row>
    <row r="27" spans="1:5" x14ac:dyDescent="0.25">
      <c r="A27" s="216" t="s">
        <v>116</v>
      </c>
      <c r="B27" s="218" t="s">
        <v>48</v>
      </c>
      <c r="C27" s="220" t="s">
        <v>117</v>
      </c>
      <c r="D27" s="220" t="s">
        <v>118</v>
      </c>
      <c r="E27" s="165">
        <v>108143</v>
      </c>
    </row>
    <row r="28" spans="1:5" x14ac:dyDescent="0.25">
      <c r="A28" s="216" t="s">
        <v>94</v>
      </c>
      <c r="B28" s="218" t="s">
        <v>48</v>
      </c>
      <c r="C28" s="220" t="s">
        <v>95</v>
      </c>
      <c r="D28" s="220" t="s">
        <v>75</v>
      </c>
      <c r="E28" s="165">
        <v>107000</v>
      </c>
    </row>
    <row r="29" spans="1:5" x14ac:dyDescent="0.25">
      <c r="A29" s="216" t="s">
        <v>99</v>
      </c>
      <c r="B29" s="218">
        <v>1</v>
      </c>
      <c r="C29" s="220" t="s">
        <v>100</v>
      </c>
      <c r="D29" s="220" t="s">
        <v>50</v>
      </c>
      <c r="E29" s="165">
        <v>106766</v>
      </c>
    </row>
    <row r="30" spans="1:5" x14ac:dyDescent="0.25">
      <c r="A30" s="216" t="s">
        <v>96</v>
      </c>
      <c r="B30" s="218" t="s">
        <v>48</v>
      </c>
      <c r="C30" s="220" t="s">
        <v>97</v>
      </c>
      <c r="D30" s="220" t="s">
        <v>98</v>
      </c>
      <c r="E30" s="165">
        <v>104866</v>
      </c>
    </row>
    <row r="31" spans="1:5" x14ac:dyDescent="0.25">
      <c r="A31" s="216" t="s">
        <v>109</v>
      </c>
      <c r="B31" s="218" t="s">
        <v>48</v>
      </c>
      <c r="C31" s="220" t="s">
        <v>110</v>
      </c>
      <c r="D31" s="220" t="s">
        <v>69</v>
      </c>
      <c r="E31" s="223">
        <v>98212</v>
      </c>
    </row>
    <row r="32" spans="1:5" x14ac:dyDescent="0.25">
      <c r="A32" s="216" t="s">
        <v>131</v>
      </c>
      <c r="B32" s="218" t="s">
        <v>48</v>
      </c>
      <c r="C32" s="220" t="s">
        <v>48</v>
      </c>
      <c r="D32" s="220" t="s">
        <v>78</v>
      </c>
      <c r="E32" s="165">
        <v>89460</v>
      </c>
    </row>
    <row r="33" spans="1:5" x14ac:dyDescent="0.25">
      <c r="A33" s="216" t="s">
        <v>10940</v>
      </c>
      <c r="B33" s="218" t="s">
        <v>48</v>
      </c>
      <c r="C33" s="220" t="s">
        <v>333</v>
      </c>
      <c r="D33" s="220" t="s">
        <v>127</v>
      </c>
      <c r="E33" s="165">
        <v>89091</v>
      </c>
    </row>
    <row r="34" spans="1:5" x14ac:dyDescent="0.25">
      <c r="A34" s="216" t="s">
        <v>132</v>
      </c>
      <c r="B34" s="218" t="s">
        <v>48</v>
      </c>
      <c r="C34" s="220" t="s">
        <v>133</v>
      </c>
      <c r="D34" s="220" t="s">
        <v>93</v>
      </c>
      <c r="E34" s="165">
        <v>89084</v>
      </c>
    </row>
    <row r="35" spans="1:5" x14ac:dyDescent="0.25">
      <c r="A35" s="216" t="s">
        <v>128</v>
      </c>
      <c r="B35" s="218" t="s">
        <v>48</v>
      </c>
      <c r="C35" s="220" t="s">
        <v>129</v>
      </c>
      <c r="D35" s="220" t="s">
        <v>130</v>
      </c>
      <c r="E35" s="165">
        <v>86029</v>
      </c>
    </row>
    <row r="36" spans="1:5" x14ac:dyDescent="0.25">
      <c r="A36" s="216" t="s">
        <v>10941</v>
      </c>
      <c r="B36" s="218" t="s">
        <v>48</v>
      </c>
      <c r="C36" s="220" t="s">
        <v>136</v>
      </c>
      <c r="D36" s="220" t="s">
        <v>53</v>
      </c>
      <c r="E36" s="165">
        <v>86000</v>
      </c>
    </row>
    <row r="37" spans="1:5" x14ac:dyDescent="0.25">
      <c r="A37" s="216" t="s">
        <v>122</v>
      </c>
      <c r="B37" s="218" t="s">
        <v>48</v>
      </c>
      <c r="C37" s="220" t="s">
        <v>123</v>
      </c>
      <c r="D37" s="220" t="s">
        <v>124</v>
      </c>
      <c r="E37" s="165">
        <v>82400</v>
      </c>
    </row>
    <row r="38" spans="1:5" x14ac:dyDescent="0.25">
      <c r="A38" s="216" t="s">
        <v>134</v>
      </c>
      <c r="B38" s="218" t="s">
        <v>48</v>
      </c>
      <c r="C38" s="220" t="s">
        <v>135</v>
      </c>
      <c r="D38" s="220" t="s">
        <v>108</v>
      </c>
      <c r="E38" s="165">
        <v>76611</v>
      </c>
    </row>
    <row r="39" spans="1:5" x14ac:dyDescent="0.25">
      <c r="A39" s="216" t="s">
        <v>125</v>
      </c>
      <c r="B39" s="218" t="s">
        <v>48</v>
      </c>
      <c r="C39" s="220" t="s">
        <v>126</v>
      </c>
      <c r="D39" s="220" t="s">
        <v>113</v>
      </c>
      <c r="E39" s="165">
        <v>70081</v>
      </c>
    </row>
    <row r="40" spans="1:5" x14ac:dyDescent="0.25">
      <c r="A40" s="216" t="s">
        <v>143</v>
      </c>
      <c r="B40" s="218" t="s">
        <v>48</v>
      </c>
      <c r="C40" s="220" t="s">
        <v>144</v>
      </c>
      <c r="D40" s="220" t="s">
        <v>59</v>
      </c>
      <c r="E40" s="165">
        <v>65201</v>
      </c>
    </row>
    <row r="41" spans="1:5" x14ac:dyDescent="0.25">
      <c r="A41" s="216" t="s">
        <v>137</v>
      </c>
      <c r="B41" s="218" t="s">
        <v>48</v>
      </c>
      <c r="C41" s="220" t="s">
        <v>138</v>
      </c>
      <c r="D41" s="220" t="s">
        <v>139</v>
      </c>
      <c r="E41" s="165">
        <v>62180</v>
      </c>
    </row>
    <row r="42" spans="1:5" x14ac:dyDescent="0.25">
      <c r="A42" s="216" t="s">
        <v>153</v>
      </c>
      <c r="B42" s="218" t="s">
        <v>48</v>
      </c>
      <c r="C42" s="220" t="s">
        <v>154</v>
      </c>
      <c r="D42" s="220" t="s">
        <v>56</v>
      </c>
      <c r="E42" s="165">
        <v>53450</v>
      </c>
    </row>
    <row r="43" spans="1:5" x14ac:dyDescent="0.25">
      <c r="A43" s="216" t="s">
        <v>147</v>
      </c>
      <c r="B43" s="218" t="s">
        <v>48</v>
      </c>
      <c r="C43" s="220" t="s">
        <v>148</v>
      </c>
      <c r="D43" s="220" t="s">
        <v>108</v>
      </c>
      <c r="E43" s="165">
        <v>52315</v>
      </c>
    </row>
    <row r="44" spans="1:5" x14ac:dyDescent="0.25">
      <c r="A44" s="216" t="s">
        <v>180</v>
      </c>
      <c r="B44" s="218" t="s">
        <v>48</v>
      </c>
      <c r="C44" s="220" t="s">
        <v>181</v>
      </c>
      <c r="D44" s="220" t="s">
        <v>78</v>
      </c>
      <c r="E44" s="165">
        <v>49366</v>
      </c>
    </row>
    <row r="45" spans="1:5" x14ac:dyDescent="0.25">
      <c r="A45" s="216" t="s">
        <v>167</v>
      </c>
      <c r="B45" s="218" t="s">
        <v>48</v>
      </c>
      <c r="C45" s="220" t="s">
        <v>89</v>
      </c>
      <c r="D45" s="220" t="s">
        <v>90</v>
      </c>
      <c r="E45" s="165">
        <v>48377</v>
      </c>
    </row>
    <row r="46" spans="1:5" x14ac:dyDescent="0.25">
      <c r="A46" s="216" t="s">
        <v>186</v>
      </c>
      <c r="B46" s="218">
        <v>1</v>
      </c>
      <c r="C46" s="220" t="s">
        <v>187</v>
      </c>
      <c r="D46" s="220" t="s">
        <v>188</v>
      </c>
      <c r="E46" s="165">
        <v>47961</v>
      </c>
    </row>
    <row r="47" spans="1:5" x14ac:dyDescent="0.25">
      <c r="A47" s="216" t="s">
        <v>10551</v>
      </c>
      <c r="B47" s="218">
        <v>1</v>
      </c>
      <c r="C47" s="220" t="s">
        <v>626</v>
      </c>
      <c r="D47" s="220" t="s">
        <v>56</v>
      </c>
      <c r="E47" s="165">
        <v>47344</v>
      </c>
    </row>
    <row r="48" spans="1:5" x14ac:dyDescent="0.25">
      <c r="A48" s="216" t="s">
        <v>168</v>
      </c>
      <c r="B48" s="218" t="s">
        <v>48</v>
      </c>
      <c r="C48" s="220" t="s">
        <v>169</v>
      </c>
      <c r="D48" s="220" t="s">
        <v>56</v>
      </c>
      <c r="E48" s="165">
        <v>47195</v>
      </c>
    </row>
    <row r="49" spans="1:5" x14ac:dyDescent="0.25">
      <c r="A49" s="216" t="s">
        <v>152</v>
      </c>
      <c r="B49" s="218">
        <v>1</v>
      </c>
      <c r="C49" s="220" t="s">
        <v>86</v>
      </c>
      <c r="D49" s="220" t="s">
        <v>87</v>
      </c>
      <c r="E49" s="165">
        <v>47123</v>
      </c>
    </row>
    <row r="50" spans="1:5" x14ac:dyDescent="0.25">
      <c r="A50" s="216" t="s">
        <v>195</v>
      </c>
      <c r="B50" s="218" t="s">
        <v>48</v>
      </c>
      <c r="C50" s="220" t="s">
        <v>196</v>
      </c>
      <c r="D50" s="220" t="s">
        <v>50</v>
      </c>
      <c r="E50" s="165">
        <v>46669</v>
      </c>
    </row>
    <row r="51" spans="1:5" x14ac:dyDescent="0.25">
      <c r="A51" s="216" t="s">
        <v>160</v>
      </c>
      <c r="B51" s="218" t="s">
        <v>48</v>
      </c>
      <c r="C51" s="220" t="s">
        <v>161</v>
      </c>
      <c r="D51" s="220" t="s">
        <v>118</v>
      </c>
      <c r="E51" s="165">
        <v>46595</v>
      </c>
    </row>
    <row r="52" spans="1:5" x14ac:dyDescent="0.25">
      <c r="A52" s="216" t="s">
        <v>10626</v>
      </c>
      <c r="B52" s="218" t="s">
        <v>48</v>
      </c>
      <c r="C52" s="220" t="s">
        <v>10942</v>
      </c>
      <c r="D52" s="220" t="s">
        <v>93</v>
      </c>
      <c r="E52" s="165">
        <v>45771</v>
      </c>
    </row>
    <row r="53" spans="1:5" x14ac:dyDescent="0.25">
      <c r="A53" s="216" t="s">
        <v>10943</v>
      </c>
      <c r="B53" s="218" t="s">
        <v>48</v>
      </c>
      <c r="C53" s="220" t="s">
        <v>224</v>
      </c>
      <c r="D53" s="220" t="s">
        <v>56</v>
      </c>
      <c r="E53" s="165">
        <v>45723</v>
      </c>
    </row>
    <row r="54" spans="1:5" x14ac:dyDescent="0.25">
      <c r="A54" s="216" t="s">
        <v>149</v>
      </c>
      <c r="B54" s="218">
        <v>1</v>
      </c>
      <c r="C54" s="220" t="s">
        <v>150</v>
      </c>
      <c r="D54" s="220" t="s">
        <v>78</v>
      </c>
      <c r="E54" s="165">
        <v>45602</v>
      </c>
    </row>
    <row r="55" spans="1:5" x14ac:dyDescent="0.25">
      <c r="A55" s="216" t="s">
        <v>184</v>
      </c>
      <c r="B55" s="218" t="s">
        <v>48</v>
      </c>
      <c r="C55" s="220" t="s">
        <v>185</v>
      </c>
      <c r="D55" s="220" t="s">
        <v>87</v>
      </c>
      <c r="E55" s="165">
        <v>45210</v>
      </c>
    </row>
    <row r="56" spans="1:5" x14ac:dyDescent="0.25">
      <c r="A56" s="216" t="s">
        <v>140</v>
      </c>
      <c r="B56" s="218">
        <v>1</v>
      </c>
      <c r="C56" s="220" t="s">
        <v>141</v>
      </c>
      <c r="D56" s="220" t="s">
        <v>142</v>
      </c>
      <c r="E56" s="165">
        <v>44525</v>
      </c>
    </row>
    <row r="57" spans="1:5" x14ac:dyDescent="0.25">
      <c r="A57" s="216" t="s">
        <v>155</v>
      </c>
      <c r="B57" s="218" t="s">
        <v>48</v>
      </c>
      <c r="C57" s="220" t="s">
        <v>156</v>
      </c>
      <c r="D57" s="220" t="s">
        <v>56</v>
      </c>
      <c r="E57" s="165">
        <v>43273</v>
      </c>
    </row>
    <row r="58" spans="1:5" x14ac:dyDescent="0.25">
      <c r="A58" s="216" t="s">
        <v>158</v>
      </c>
      <c r="B58" s="218">
        <v>1</v>
      </c>
      <c r="C58" s="220" t="s">
        <v>159</v>
      </c>
      <c r="D58" s="220" t="s">
        <v>130</v>
      </c>
      <c r="E58" s="165">
        <v>43055</v>
      </c>
    </row>
    <row r="59" spans="1:5" x14ac:dyDescent="0.25">
      <c r="A59" s="216" t="s">
        <v>164</v>
      </c>
      <c r="B59" s="218" t="s">
        <v>48</v>
      </c>
      <c r="C59" s="220" t="s">
        <v>165</v>
      </c>
      <c r="D59" s="220" t="s">
        <v>166</v>
      </c>
      <c r="E59" s="165">
        <v>42157</v>
      </c>
    </row>
    <row r="60" spans="1:5" x14ac:dyDescent="0.25">
      <c r="A60" s="216" t="s">
        <v>190</v>
      </c>
      <c r="B60" s="218" t="s">
        <v>48</v>
      </c>
      <c r="C60" s="220" t="s">
        <v>191</v>
      </c>
      <c r="D60" s="220" t="s">
        <v>192</v>
      </c>
      <c r="E60" s="165">
        <v>41923</v>
      </c>
    </row>
    <row r="61" spans="1:5" x14ac:dyDescent="0.25">
      <c r="A61" s="216" t="s">
        <v>175</v>
      </c>
      <c r="B61" s="218" t="s">
        <v>48</v>
      </c>
      <c r="C61" s="220" t="s">
        <v>176</v>
      </c>
      <c r="D61" s="220" t="s">
        <v>177</v>
      </c>
      <c r="E61" s="165">
        <v>41517</v>
      </c>
    </row>
    <row r="62" spans="1:5" x14ac:dyDescent="0.25">
      <c r="A62" s="216" t="s">
        <v>193</v>
      </c>
      <c r="B62" s="218" t="s">
        <v>48</v>
      </c>
      <c r="C62" s="220" t="s">
        <v>194</v>
      </c>
      <c r="D62" s="220" t="s">
        <v>53</v>
      </c>
      <c r="E62" s="165">
        <v>40262</v>
      </c>
    </row>
    <row r="63" spans="1:5" x14ac:dyDescent="0.25">
      <c r="A63" s="216" t="s">
        <v>202</v>
      </c>
      <c r="B63" s="218" t="s">
        <v>48</v>
      </c>
      <c r="C63" s="220" t="s">
        <v>203</v>
      </c>
      <c r="D63" s="220" t="s">
        <v>166</v>
      </c>
      <c r="E63" s="165">
        <v>39825</v>
      </c>
    </row>
    <row r="64" spans="1:5" x14ac:dyDescent="0.25">
      <c r="A64" s="216" t="s">
        <v>209</v>
      </c>
      <c r="B64" s="218">
        <v>1</v>
      </c>
      <c r="C64" s="220" t="s">
        <v>68</v>
      </c>
      <c r="D64" s="220" t="s">
        <v>63</v>
      </c>
      <c r="E64" s="224">
        <v>39431</v>
      </c>
    </row>
    <row r="65" spans="1:5" x14ac:dyDescent="0.25">
      <c r="A65" s="216" t="s">
        <v>162</v>
      </c>
      <c r="B65" s="218" t="s">
        <v>48</v>
      </c>
      <c r="C65" s="220" t="s">
        <v>163</v>
      </c>
      <c r="D65" s="220" t="s">
        <v>72</v>
      </c>
      <c r="E65" s="165">
        <v>39181</v>
      </c>
    </row>
    <row r="66" spans="1:5" x14ac:dyDescent="0.25">
      <c r="A66" s="216" t="s">
        <v>182</v>
      </c>
      <c r="B66" s="218" t="s">
        <v>48</v>
      </c>
      <c r="C66" s="220" t="s">
        <v>183</v>
      </c>
      <c r="D66" s="220" t="s">
        <v>59</v>
      </c>
      <c r="E66" s="165">
        <v>39065</v>
      </c>
    </row>
    <row r="67" spans="1:5" x14ac:dyDescent="0.25">
      <c r="A67" s="216" t="s">
        <v>189</v>
      </c>
      <c r="B67" s="218" t="s">
        <v>48</v>
      </c>
      <c r="C67" s="220" t="s">
        <v>121</v>
      </c>
      <c r="D67" s="220" t="s">
        <v>56</v>
      </c>
      <c r="E67" s="165">
        <v>38730</v>
      </c>
    </row>
    <row r="68" spans="1:5" x14ac:dyDescent="0.25">
      <c r="A68" s="216" t="s">
        <v>173</v>
      </c>
      <c r="B68" s="218" t="s">
        <v>48</v>
      </c>
      <c r="C68" s="220" t="s">
        <v>174</v>
      </c>
      <c r="D68" s="220" t="s">
        <v>56</v>
      </c>
      <c r="E68" s="165">
        <v>38374</v>
      </c>
    </row>
    <row r="69" spans="1:5" x14ac:dyDescent="0.25">
      <c r="A69" s="216" t="s">
        <v>220</v>
      </c>
      <c r="B69" s="218" t="s">
        <v>48</v>
      </c>
      <c r="C69" s="220" t="s">
        <v>221</v>
      </c>
      <c r="D69" s="220" t="s">
        <v>222</v>
      </c>
      <c r="E69" s="165">
        <v>38082</v>
      </c>
    </row>
    <row r="70" spans="1:5" x14ac:dyDescent="0.25">
      <c r="A70" s="216" t="s">
        <v>212</v>
      </c>
      <c r="B70" s="218" t="s">
        <v>48</v>
      </c>
      <c r="C70" s="220" t="s">
        <v>213</v>
      </c>
      <c r="D70" s="220" t="s">
        <v>75</v>
      </c>
      <c r="E70" s="165">
        <v>37772</v>
      </c>
    </row>
    <row r="71" spans="1:5" x14ac:dyDescent="0.25">
      <c r="A71" s="216" t="s">
        <v>225</v>
      </c>
      <c r="B71" s="218" t="s">
        <v>48</v>
      </c>
      <c r="C71" s="220" t="s">
        <v>159</v>
      </c>
      <c r="D71" s="220" t="s">
        <v>130</v>
      </c>
      <c r="E71" s="165">
        <v>37760</v>
      </c>
    </row>
    <row r="72" spans="1:5" x14ac:dyDescent="0.25">
      <c r="A72" s="216" t="s">
        <v>199</v>
      </c>
      <c r="B72" s="218" t="s">
        <v>48</v>
      </c>
      <c r="C72" s="220" t="s">
        <v>200</v>
      </c>
      <c r="D72" s="220" t="s">
        <v>201</v>
      </c>
      <c r="E72" s="165">
        <v>35654</v>
      </c>
    </row>
    <row r="73" spans="1:5" x14ac:dyDescent="0.25">
      <c r="A73" s="216" t="s">
        <v>10944</v>
      </c>
      <c r="B73" s="218" t="s">
        <v>48</v>
      </c>
      <c r="C73" s="220" t="s">
        <v>10945</v>
      </c>
      <c r="D73" s="220" t="s">
        <v>75</v>
      </c>
      <c r="E73" s="165">
        <v>35554</v>
      </c>
    </row>
    <row r="74" spans="1:5" x14ac:dyDescent="0.25">
      <c r="A74" s="216" t="s">
        <v>10946</v>
      </c>
      <c r="B74" s="218" t="s">
        <v>48</v>
      </c>
      <c r="C74" s="220" t="s">
        <v>121</v>
      </c>
      <c r="D74" s="220" t="s">
        <v>56</v>
      </c>
      <c r="E74" s="165">
        <v>35303</v>
      </c>
    </row>
    <row r="75" spans="1:5" x14ac:dyDescent="0.25">
      <c r="A75" s="216" t="s">
        <v>232</v>
      </c>
      <c r="B75" s="218" t="s">
        <v>48</v>
      </c>
      <c r="C75" s="220" t="s">
        <v>233</v>
      </c>
      <c r="D75" s="220" t="s">
        <v>56</v>
      </c>
      <c r="E75" s="165">
        <v>35220</v>
      </c>
    </row>
    <row r="76" spans="1:5" x14ac:dyDescent="0.25">
      <c r="A76" s="216" t="s">
        <v>214</v>
      </c>
      <c r="B76" s="218" t="s">
        <v>48</v>
      </c>
      <c r="C76" s="220" t="s">
        <v>215</v>
      </c>
      <c r="D76" s="220" t="s">
        <v>78</v>
      </c>
      <c r="E76" s="165">
        <v>34596</v>
      </c>
    </row>
    <row r="77" spans="1:5" x14ac:dyDescent="0.25">
      <c r="A77" s="216" t="s">
        <v>242</v>
      </c>
      <c r="B77" s="218" t="s">
        <v>48</v>
      </c>
      <c r="C77" s="220" t="s">
        <v>243</v>
      </c>
      <c r="D77" s="220" t="s">
        <v>201</v>
      </c>
      <c r="E77" s="165">
        <v>34412</v>
      </c>
    </row>
    <row r="78" spans="1:5" x14ac:dyDescent="0.25">
      <c r="A78" s="216" t="s">
        <v>178</v>
      </c>
      <c r="B78" s="218" t="s">
        <v>48</v>
      </c>
      <c r="C78" s="220" t="s">
        <v>179</v>
      </c>
      <c r="D78" s="220" t="s">
        <v>66</v>
      </c>
      <c r="E78" s="165">
        <v>34378</v>
      </c>
    </row>
    <row r="79" spans="1:5" x14ac:dyDescent="0.25">
      <c r="A79" s="216" t="s">
        <v>226</v>
      </c>
      <c r="B79" s="218" t="s">
        <v>48</v>
      </c>
      <c r="C79" s="220" t="s">
        <v>227</v>
      </c>
      <c r="D79" s="220" t="s">
        <v>78</v>
      </c>
      <c r="E79" s="165">
        <v>34343</v>
      </c>
    </row>
    <row r="80" spans="1:5" x14ac:dyDescent="0.25">
      <c r="A80" s="216" t="s">
        <v>237</v>
      </c>
      <c r="B80" s="218" t="s">
        <v>48</v>
      </c>
      <c r="C80" s="220" t="s">
        <v>238</v>
      </c>
      <c r="D80" s="220" t="s">
        <v>93</v>
      </c>
      <c r="E80" s="165">
        <v>32219</v>
      </c>
    </row>
    <row r="81" spans="1:5" x14ac:dyDescent="0.25">
      <c r="A81" s="216" t="s">
        <v>10657</v>
      </c>
      <c r="B81" s="218" t="s">
        <v>48</v>
      </c>
      <c r="C81" s="220" t="s">
        <v>138</v>
      </c>
      <c r="D81" s="220" t="s">
        <v>139</v>
      </c>
      <c r="E81" s="165">
        <v>31378</v>
      </c>
    </row>
    <row r="82" spans="1:5" x14ac:dyDescent="0.25">
      <c r="A82" s="216" t="s">
        <v>10613</v>
      </c>
      <c r="B82" s="218" t="s">
        <v>48</v>
      </c>
      <c r="C82" s="220" t="s">
        <v>5536</v>
      </c>
      <c r="D82" s="220" t="s">
        <v>139</v>
      </c>
      <c r="E82" s="165">
        <v>31000</v>
      </c>
    </row>
    <row r="83" spans="1:5" x14ac:dyDescent="0.25">
      <c r="A83" s="216" t="s">
        <v>197</v>
      </c>
      <c r="B83" s="218">
        <v>1</v>
      </c>
      <c r="C83" s="220" t="s">
        <v>198</v>
      </c>
      <c r="D83" s="220" t="s">
        <v>56</v>
      </c>
      <c r="E83" s="165">
        <v>30906</v>
      </c>
    </row>
    <row r="84" spans="1:5" x14ac:dyDescent="0.25">
      <c r="A84" s="216" t="s">
        <v>241</v>
      </c>
      <c r="B84" s="218" t="s">
        <v>48</v>
      </c>
      <c r="C84" s="220" t="s">
        <v>65</v>
      </c>
      <c r="D84" s="220" t="s">
        <v>66</v>
      </c>
      <c r="E84" s="165">
        <v>30645</v>
      </c>
    </row>
    <row r="85" spans="1:5" x14ac:dyDescent="0.25">
      <c r="A85" s="216" t="s">
        <v>204</v>
      </c>
      <c r="B85" s="218" t="s">
        <v>48</v>
      </c>
      <c r="C85" s="220" t="s">
        <v>205</v>
      </c>
      <c r="D85" s="220" t="s">
        <v>206</v>
      </c>
      <c r="E85" s="165">
        <v>30603</v>
      </c>
    </row>
    <row r="86" spans="1:5" x14ac:dyDescent="0.25">
      <c r="A86" s="216" t="s">
        <v>524</v>
      </c>
      <c r="B86" s="218" t="s">
        <v>48</v>
      </c>
      <c r="C86" s="220" t="s">
        <v>525</v>
      </c>
      <c r="D86" s="220" t="s">
        <v>75</v>
      </c>
      <c r="E86" s="165">
        <v>30208</v>
      </c>
    </row>
    <row r="87" spans="1:5" x14ac:dyDescent="0.25">
      <c r="A87" s="216" t="s">
        <v>246</v>
      </c>
      <c r="B87" s="218">
        <v>1</v>
      </c>
      <c r="C87" s="220" t="s">
        <v>247</v>
      </c>
      <c r="D87" s="220" t="s">
        <v>66</v>
      </c>
      <c r="E87" s="165">
        <v>30195</v>
      </c>
    </row>
    <row r="88" spans="1:5" x14ac:dyDescent="0.25">
      <c r="A88" s="216" t="s">
        <v>151</v>
      </c>
      <c r="B88" s="218">
        <v>1</v>
      </c>
      <c r="C88" s="220" t="s">
        <v>2248</v>
      </c>
      <c r="D88" s="220" t="s">
        <v>72</v>
      </c>
      <c r="E88" s="165">
        <v>29597</v>
      </c>
    </row>
    <row r="89" spans="1:5" x14ac:dyDescent="0.25">
      <c r="A89" s="216" t="s">
        <v>228</v>
      </c>
      <c r="B89" s="218" t="s">
        <v>48</v>
      </c>
      <c r="C89" s="220" t="s">
        <v>229</v>
      </c>
      <c r="D89" s="220" t="s">
        <v>78</v>
      </c>
      <c r="E89" s="165">
        <v>29271</v>
      </c>
    </row>
    <row r="90" spans="1:5" x14ac:dyDescent="0.25">
      <c r="A90" s="216" t="s">
        <v>234</v>
      </c>
      <c r="B90" s="218">
        <v>1</v>
      </c>
      <c r="C90" s="220" t="s">
        <v>235</v>
      </c>
      <c r="D90" s="220" t="s">
        <v>236</v>
      </c>
      <c r="E90" s="165">
        <v>28957</v>
      </c>
    </row>
    <row r="91" spans="1:5" x14ac:dyDescent="0.25">
      <c r="A91" s="216" t="s">
        <v>239</v>
      </c>
      <c r="B91" s="218" t="s">
        <v>48</v>
      </c>
      <c r="C91" s="220" t="s">
        <v>240</v>
      </c>
      <c r="D91" s="220" t="s">
        <v>108</v>
      </c>
      <c r="E91" s="165">
        <v>28911</v>
      </c>
    </row>
    <row r="92" spans="1:5" x14ac:dyDescent="0.25">
      <c r="A92" s="216" t="s">
        <v>10947</v>
      </c>
      <c r="B92" s="218">
        <v>1</v>
      </c>
      <c r="C92" s="220" t="s">
        <v>84</v>
      </c>
      <c r="D92" s="220" t="s">
        <v>56</v>
      </c>
      <c r="E92" s="165">
        <v>28909</v>
      </c>
    </row>
    <row r="93" spans="1:5" x14ac:dyDescent="0.25">
      <c r="A93" s="216" t="s">
        <v>252</v>
      </c>
      <c r="B93" s="218" t="s">
        <v>48</v>
      </c>
      <c r="C93" s="220" t="s">
        <v>253</v>
      </c>
      <c r="D93" s="220" t="s">
        <v>142</v>
      </c>
      <c r="E93" s="165">
        <v>28605</v>
      </c>
    </row>
    <row r="94" spans="1:5" x14ac:dyDescent="0.25">
      <c r="A94" s="216" t="s">
        <v>397</v>
      </c>
      <c r="B94" s="218" t="s">
        <v>48</v>
      </c>
      <c r="C94" s="220" t="s">
        <v>398</v>
      </c>
      <c r="D94" s="220" t="s">
        <v>56</v>
      </c>
      <c r="E94" s="165">
        <v>27900</v>
      </c>
    </row>
    <row r="95" spans="1:5" x14ac:dyDescent="0.25">
      <c r="A95" s="216" t="s">
        <v>248</v>
      </c>
      <c r="B95" s="218">
        <v>1</v>
      </c>
      <c r="C95" s="220" t="s">
        <v>249</v>
      </c>
      <c r="D95" s="220" t="s">
        <v>142</v>
      </c>
      <c r="E95" s="165">
        <v>26847</v>
      </c>
    </row>
    <row r="96" spans="1:5" x14ac:dyDescent="0.25">
      <c r="A96" s="216" t="s">
        <v>207</v>
      </c>
      <c r="B96" s="218">
        <v>1</v>
      </c>
      <c r="C96" s="220" t="s">
        <v>208</v>
      </c>
      <c r="D96" s="220" t="s">
        <v>192</v>
      </c>
      <c r="E96" s="165">
        <v>26814</v>
      </c>
    </row>
    <row r="97" spans="1:5" x14ac:dyDescent="0.25">
      <c r="A97" s="216" t="s">
        <v>231</v>
      </c>
      <c r="B97" s="218">
        <v>1</v>
      </c>
      <c r="C97" s="220" t="s">
        <v>89</v>
      </c>
      <c r="D97" s="220" t="s">
        <v>90</v>
      </c>
      <c r="E97" s="165">
        <v>26707</v>
      </c>
    </row>
    <row r="98" spans="1:5" x14ac:dyDescent="0.25">
      <c r="A98" s="216" t="s">
        <v>216</v>
      </c>
      <c r="B98" s="218">
        <v>1</v>
      </c>
      <c r="C98" s="220" t="s">
        <v>217</v>
      </c>
      <c r="D98" s="220" t="s">
        <v>63</v>
      </c>
      <c r="E98" s="165">
        <v>26359</v>
      </c>
    </row>
    <row r="99" spans="1:5" x14ac:dyDescent="0.25">
      <c r="A99" s="216" t="s">
        <v>267</v>
      </c>
      <c r="B99" s="218" t="s">
        <v>48</v>
      </c>
      <c r="C99" s="220" t="s">
        <v>268</v>
      </c>
      <c r="D99" s="220" t="s">
        <v>139</v>
      </c>
      <c r="E99" s="165">
        <v>26000</v>
      </c>
    </row>
    <row r="100" spans="1:5" x14ac:dyDescent="0.25">
      <c r="A100" s="216" t="s">
        <v>250</v>
      </c>
      <c r="B100" s="218" t="s">
        <v>48</v>
      </c>
      <c r="C100" s="220" t="s">
        <v>251</v>
      </c>
      <c r="D100" s="220" t="s">
        <v>98</v>
      </c>
      <c r="E100" s="165">
        <v>25749</v>
      </c>
    </row>
    <row r="101" spans="1:5" x14ac:dyDescent="0.25">
      <c r="A101" s="216" t="s">
        <v>244</v>
      </c>
      <c r="B101" s="218" t="s">
        <v>48</v>
      </c>
      <c r="C101" s="220" t="s">
        <v>245</v>
      </c>
      <c r="D101" s="220" t="s">
        <v>69</v>
      </c>
      <c r="E101" s="165">
        <v>25604</v>
      </c>
    </row>
    <row r="102" spans="1:5" x14ac:dyDescent="0.25">
      <c r="A102" s="216" t="s">
        <v>275</v>
      </c>
      <c r="B102" s="218" t="s">
        <v>48</v>
      </c>
      <c r="C102" s="220" t="s">
        <v>276</v>
      </c>
      <c r="D102" s="220" t="s">
        <v>277</v>
      </c>
      <c r="E102" s="165">
        <v>25343</v>
      </c>
    </row>
    <row r="103" spans="1:5" x14ac:dyDescent="0.25">
      <c r="A103" s="216" t="s">
        <v>10388</v>
      </c>
      <c r="B103" s="218" t="s">
        <v>48</v>
      </c>
      <c r="C103" s="220" t="s">
        <v>10948</v>
      </c>
      <c r="D103" s="220" t="s">
        <v>188</v>
      </c>
      <c r="E103" s="165">
        <v>25000</v>
      </c>
    </row>
    <row r="104" spans="1:5" x14ac:dyDescent="0.25">
      <c r="A104" s="216" t="s">
        <v>218</v>
      </c>
      <c r="B104" s="218" t="s">
        <v>48</v>
      </c>
      <c r="C104" s="220" t="s">
        <v>219</v>
      </c>
      <c r="D104" s="220" t="s">
        <v>56</v>
      </c>
      <c r="E104" s="165">
        <v>24500</v>
      </c>
    </row>
    <row r="105" spans="1:5" x14ac:dyDescent="0.25">
      <c r="A105" s="216" t="s">
        <v>294</v>
      </c>
      <c r="B105" s="218" t="s">
        <v>48</v>
      </c>
      <c r="C105" s="220" t="s">
        <v>295</v>
      </c>
      <c r="D105" s="220" t="s">
        <v>56</v>
      </c>
      <c r="E105" s="165">
        <v>24296</v>
      </c>
    </row>
    <row r="106" spans="1:5" x14ac:dyDescent="0.25">
      <c r="A106" s="216" t="s">
        <v>258</v>
      </c>
      <c r="B106" s="218" t="s">
        <v>48</v>
      </c>
      <c r="C106" s="220" t="s">
        <v>259</v>
      </c>
      <c r="D106" s="220" t="s">
        <v>50</v>
      </c>
      <c r="E106" s="165">
        <v>24224</v>
      </c>
    </row>
    <row r="107" spans="1:5" x14ac:dyDescent="0.25">
      <c r="A107" s="216" t="s">
        <v>265</v>
      </c>
      <c r="B107" s="218" t="s">
        <v>48</v>
      </c>
      <c r="C107" s="220" t="s">
        <v>266</v>
      </c>
      <c r="D107" s="220" t="s">
        <v>206</v>
      </c>
      <c r="E107" s="165">
        <v>24112</v>
      </c>
    </row>
    <row r="108" spans="1:5" x14ac:dyDescent="0.25">
      <c r="A108" s="216" t="s">
        <v>326</v>
      </c>
      <c r="B108" s="218">
        <v>1</v>
      </c>
      <c r="C108" s="220" t="s">
        <v>169</v>
      </c>
      <c r="D108" s="220" t="s">
        <v>56</v>
      </c>
      <c r="E108" s="165">
        <v>23973</v>
      </c>
    </row>
    <row r="109" spans="1:5" x14ac:dyDescent="0.25">
      <c r="A109" s="216" t="s">
        <v>332</v>
      </c>
      <c r="B109" s="218" t="s">
        <v>48</v>
      </c>
      <c r="C109" s="220" t="s">
        <v>333</v>
      </c>
      <c r="D109" s="220" t="s">
        <v>236</v>
      </c>
      <c r="E109" s="165">
        <v>23850</v>
      </c>
    </row>
    <row r="110" spans="1:5" x14ac:dyDescent="0.25">
      <c r="A110" s="216" t="s">
        <v>10636</v>
      </c>
      <c r="B110" s="218">
        <v>1</v>
      </c>
      <c r="C110" s="220" t="s">
        <v>1906</v>
      </c>
      <c r="D110" s="220" t="s">
        <v>66</v>
      </c>
      <c r="E110" s="165">
        <v>23821</v>
      </c>
    </row>
    <row r="111" spans="1:5" x14ac:dyDescent="0.25">
      <c r="A111" s="216" t="s">
        <v>345</v>
      </c>
      <c r="B111" s="218" t="s">
        <v>48</v>
      </c>
      <c r="C111" s="220" t="s">
        <v>266</v>
      </c>
      <c r="D111" s="220" t="s">
        <v>206</v>
      </c>
      <c r="E111" s="165">
        <v>23806</v>
      </c>
    </row>
    <row r="112" spans="1:5" x14ac:dyDescent="0.25">
      <c r="A112" s="216" t="s">
        <v>262</v>
      </c>
      <c r="B112" s="218" t="s">
        <v>48</v>
      </c>
      <c r="C112" s="220" t="s">
        <v>263</v>
      </c>
      <c r="D112" s="220" t="s">
        <v>264</v>
      </c>
      <c r="E112" s="165">
        <v>23565</v>
      </c>
    </row>
    <row r="113" spans="1:5" x14ac:dyDescent="0.25">
      <c r="A113" s="216" t="s">
        <v>223</v>
      </c>
      <c r="B113" s="218" t="s">
        <v>48</v>
      </c>
      <c r="C113" s="220" t="s">
        <v>224</v>
      </c>
      <c r="D113" s="220" t="s">
        <v>56</v>
      </c>
      <c r="E113" s="165">
        <v>23217</v>
      </c>
    </row>
    <row r="114" spans="1:5" x14ac:dyDescent="0.25">
      <c r="A114" s="216" t="s">
        <v>10526</v>
      </c>
      <c r="B114" s="218" t="s">
        <v>48</v>
      </c>
      <c r="C114" s="220" t="s">
        <v>1641</v>
      </c>
      <c r="D114" s="220" t="s">
        <v>90</v>
      </c>
      <c r="E114" s="165">
        <v>23186</v>
      </c>
    </row>
    <row r="115" spans="1:5" x14ac:dyDescent="0.25">
      <c r="A115" s="216" t="s">
        <v>10949</v>
      </c>
      <c r="B115" s="218" t="s">
        <v>48</v>
      </c>
      <c r="C115" s="220" t="s">
        <v>283</v>
      </c>
      <c r="D115" s="220" t="s">
        <v>59</v>
      </c>
      <c r="E115" s="165">
        <v>23066</v>
      </c>
    </row>
    <row r="116" spans="1:5" x14ac:dyDescent="0.25">
      <c r="A116" s="216" t="s">
        <v>292</v>
      </c>
      <c r="B116" s="218" t="s">
        <v>48</v>
      </c>
      <c r="C116" s="220" t="s">
        <v>293</v>
      </c>
      <c r="D116" s="220" t="s">
        <v>56</v>
      </c>
      <c r="E116" s="165">
        <v>22581</v>
      </c>
    </row>
    <row r="117" spans="1:5" x14ac:dyDescent="0.25">
      <c r="A117" s="216" t="s">
        <v>10667</v>
      </c>
      <c r="B117" s="218" t="s">
        <v>48</v>
      </c>
      <c r="C117" s="220" t="s">
        <v>179</v>
      </c>
      <c r="D117" s="220" t="s">
        <v>66</v>
      </c>
      <c r="E117" s="165">
        <v>22515</v>
      </c>
    </row>
    <row r="118" spans="1:5" x14ac:dyDescent="0.25">
      <c r="A118" s="216" t="s">
        <v>269</v>
      </c>
      <c r="B118" s="218">
        <v>1</v>
      </c>
      <c r="C118" s="220" t="s">
        <v>270</v>
      </c>
      <c r="D118" s="220" t="s">
        <v>177</v>
      </c>
      <c r="E118" s="165">
        <v>21982</v>
      </c>
    </row>
    <row r="119" spans="1:5" x14ac:dyDescent="0.25">
      <c r="A119" s="216" t="s">
        <v>280</v>
      </c>
      <c r="B119" s="218" t="s">
        <v>48</v>
      </c>
      <c r="C119" s="220" t="s">
        <v>281</v>
      </c>
      <c r="D119" s="220" t="s">
        <v>206</v>
      </c>
      <c r="E119" s="165">
        <v>21982</v>
      </c>
    </row>
    <row r="120" spans="1:5" x14ac:dyDescent="0.25">
      <c r="A120" s="216" t="s">
        <v>278</v>
      </c>
      <c r="B120" s="218" t="s">
        <v>48</v>
      </c>
      <c r="C120" s="220" t="s">
        <v>279</v>
      </c>
      <c r="D120" s="220" t="s">
        <v>127</v>
      </c>
      <c r="E120" s="165">
        <v>21872</v>
      </c>
    </row>
    <row r="121" spans="1:5" x14ac:dyDescent="0.25">
      <c r="A121" s="216" t="s">
        <v>305</v>
      </c>
      <c r="B121" s="218" t="s">
        <v>48</v>
      </c>
      <c r="C121" s="220" t="s">
        <v>306</v>
      </c>
      <c r="D121" s="220" t="s">
        <v>63</v>
      </c>
      <c r="E121" s="165">
        <v>21804</v>
      </c>
    </row>
    <row r="122" spans="1:5" x14ac:dyDescent="0.25">
      <c r="A122" s="216" t="s">
        <v>307</v>
      </c>
      <c r="B122" s="218" t="s">
        <v>48</v>
      </c>
      <c r="C122" s="220" t="s">
        <v>308</v>
      </c>
      <c r="D122" s="220" t="s">
        <v>56</v>
      </c>
      <c r="E122" s="165">
        <v>21518</v>
      </c>
    </row>
    <row r="123" spans="1:5" x14ac:dyDescent="0.25">
      <c r="A123" s="216" t="s">
        <v>256</v>
      </c>
      <c r="B123" s="218" t="s">
        <v>48</v>
      </c>
      <c r="C123" s="220" t="s">
        <v>257</v>
      </c>
      <c r="D123" s="220" t="s">
        <v>108</v>
      </c>
      <c r="E123" s="165">
        <v>21461</v>
      </c>
    </row>
    <row r="124" spans="1:5" x14ac:dyDescent="0.25">
      <c r="A124" s="216" t="s">
        <v>286</v>
      </c>
      <c r="B124" s="218" t="s">
        <v>48</v>
      </c>
      <c r="C124" s="220" t="s">
        <v>287</v>
      </c>
      <c r="D124" s="220" t="s">
        <v>82</v>
      </c>
      <c r="E124" s="165">
        <v>21369</v>
      </c>
    </row>
    <row r="125" spans="1:5" x14ac:dyDescent="0.25">
      <c r="A125" s="216" t="s">
        <v>297</v>
      </c>
      <c r="B125" s="218" t="s">
        <v>48</v>
      </c>
      <c r="C125" s="220" t="s">
        <v>298</v>
      </c>
      <c r="D125" s="220" t="s">
        <v>127</v>
      </c>
      <c r="E125" s="165">
        <v>21151</v>
      </c>
    </row>
    <row r="126" spans="1:5" x14ac:dyDescent="0.25">
      <c r="A126" s="216" t="s">
        <v>309</v>
      </c>
      <c r="B126" s="218" t="s">
        <v>48</v>
      </c>
      <c r="C126" s="220" t="s">
        <v>310</v>
      </c>
      <c r="D126" s="220" t="s">
        <v>105</v>
      </c>
      <c r="E126" s="165">
        <v>21060</v>
      </c>
    </row>
    <row r="127" spans="1:5" x14ac:dyDescent="0.25">
      <c r="A127" s="216" t="s">
        <v>290</v>
      </c>
      <c r="B127" s="218">
        <v>1</v>
      </c>
      <c r="C127" s="220" t="s">
        <v>291</v>
      </c>
      <c r="D127" s="220" t="s">
        <v>50</v>
      </c>
      <c r="E127" s="165">
        <v>21035</v>
      </c>
    </row>
    <row r="128" spans="1:5" x14ac:dyDescent="0.25">
      <c r="A128" s="216" t="s">
        <v>260</v>
      </c>
      <c r="B128" s="218">
        <v>1</v>
      </c>
      <c r="C128" s="220" t="s">
        <v>261</v>
      </c>
      <c r="D128" s="220" t="s">
        <v>56</v>
      </c>
      <c r="E128" s="165">
        <v>21021</v>
      </c>
    </row>
    <row r="129" spans="1:5" x14ac:dyDescent="0.25">
      <c r="A129" s="216" t="s">
        <v>288</v>
      </c>
      <c r="B129" s="218">
        <v>1</v>
      </c>
      <c r="C129" s="220" t="s">
        <v>289</v>
      </c>
      <c r="D129" s="220" t="s">
        <v>69</v>
      </c>
      <c r="E129" s="165">
        <v>20902</v>
      </c>
    </row>
    <row r="130" spans="1:5" x14ac:dyDescent="0.25">
      <c r="A130" s="216" t="s">
        <v>328</v>
      </c>
      <c r="B130" s="218" t="s">
        <v>48</v>
      </c>
      <c r="C130" s="220" t="s">
        <v>329</v>
      </c>
      <c r="D130" s="220" t="s">
        <v>188</v>
      </c>
      <c r="E130" s="165">
        <v>20862</v>
      </c>
    </row>
    <row r="131" spans="1:5" x14ac:dyDescent="0.25">
      <c r="A131" s="216" t="s">
        <v>7575</v>
      </c>
      <c r="B131" s="218" t="s">
        <v>48</v>
      </c>
      <c r="C131" s="220" t="s">
        <v>390</v>
      </c>
      <c r="D131" s="220" t="s">
        <v>75</v>
      </c>
      <c r="E131" s="165">
        <v>20764</v>
      </c>
    </row>
    <row r="132" spans="1:5" x14ac:dyDescent="0.25">
      <c r="A132" s="216" t="s">
        <v>303</v>
      </c>
      <c r="B132" s="218" t="s">
        <v>48</v>
      </c>
      <c r="C132" s="220" t="s">
        <v>304</v>
      </c>
      <c r="D132" s="220" t="s">
        <v>72</v>
      </c>
      <c r="E132" s="165">
        <v>20700</v>
      </c>
    </row>
    <row r="133" spans="1:5" x14ac:dyDescent="0.25">
      <c r="A133" s="216" t="s">
        <v>311</v>
      </c>
      <c r="B133" s="218" t="s">
        <v>48</v>
      </c>
      <c r="C133" s="220" t="s">
        <v>138</v>
      </c>
      <c r="D133" s="220" t="s">
        <v>139</v>
      </c>
      <c r="E133" s="165">
        <v>20395</v>
      </c>
    </row>
    <row r="134" spans="1:5" x14ac:dyDescent="0.25">
      <c r="A134" s="216" t="s">
        <v>312</v>
      </c>
      <c r="B134" s="218" t="s">
        <v>48</v>
      </c>
      <c r="C134" s="220" t="s">
        <v>313</v>
      </c>
      <c r="D134" s="220" t="s">
        <v>90</v>
      </c>
      <c r="E134" s="165">
        <v>20054</v>
      </c>
    </row>
    <row r="135" spans="1:5" x14ac:dyDescent="0.25">
      <c r="A135" s="216" t="s">
        <v>324</v>
      </c>
      <c r="B135" s="218" t="s">
        <v>48</v>
      </c>
      <c r="C135" s="220" t="s">
        <v>283</v>
      </c>
      <c r="D135" s="220" t="s">
        <v>59</v>
      </c>
      <c r="E135" s="165">
        <v>19950</v>
      </c>
    </row>
    <row r="136" spans="1:5" x14ac:dyDescent="0.25">
      <c r="A136" s="216" t="s">
        <v>10950</v>
      </c>
      <c r="B136" s="218" t="s">
        <v>48</v>
      </c>
      <c r="C136" s="220" t="s">
        <v>65</v>
      </c>
      <c r="D136" s="220" t="s">
        <v>66</v>
      </c>
      <c r="E136" s="165">
        <v>19902</v>
      </c>
    </row>
    <row r="137" spans="1:5" x14ac:dyDescent="0.25">
      <c r="A137" s="216" t="s">
        <v>317</v>
      </c>
      <c r="B137" s="218">
        <v>1</v>
      </c>
      <c r="C137" s="220" t="s">
        <v>318</v>
      </c>
      <c r="D137" s="220" t="s">
        <v>172</v>
      </c>
      <c r="E137" s="165">
        <v>19742</v>
      </c>
    </row>
    <row r="138" spans="1:5" x14ac:dyDescent="0.25">
      <c r="A138" s="216" t="s">
        <v>302</v>
      </c>
      <c r="B138" s="218" t="s">
        <v>48</v>
      </c>
      <c r="C138" s="220" t="s">
        <v>287</v>
      </c>
      <c r="D138" s="220" t="s">
        <v>82</v>
      </c>
      <c r="E138" s="165">
        <v>19643</v>
      </c>
    </row>
    <row r="139" spans="1:5" x14ac:dyDescent="0.25">
      <c r="A139" s="216" t="s">
        <v>314</v>
      </c>
      <c r="B139" s="218" t="s">
        <v>48</v>
      </c>
      <c r="C139" s="220" t="s">
        <v>235</v>
      </c>
      <c r="D139" s="220" t="s">
        <v>236</v>
      </c>
      <c r="E139" s="165">
        <v>19327</v>
      </c>
    </row>
    <row r="140" spans="1:5" x14ac:dyDescent="0.25">
      <c r="A140" s="216" t="s">
        <v>340</v>
      </c>
      <c r="B140" s="218" t="s">
        <v>48</v>
      </c>
      <c r="C140" s="220" t="s">
        <v>77</v>
      </c>
      <c r="D140" s="220" t="s">
        <v>78</v>
      </c>
      <c r="E140" s="165">
        <v>19307</v>
      </c>
    </row>
    <row r="141" spans="1:5" x14ac:dyDescent="0.25">
      <c r="A141" s="216" t="s">
        <v>170</v>
      </c>
      <c r="B141" s="218">
        <v>1</v>
      </c>
      <c r="C141" s="220" t="s">
        <v>2138</v>
      </c>
      <c r="D141" s="220" t="s">
        <v>394</v>
      </c>
      <c r="E141" s="165">
        <v>18675</v>
      </c>
    </row>
    <row r="142" spans="1:5" x14ac:dyDescent="0.25">
      <c r="A142" s="216" t="s">
        <v>315</v>
      </c>
      <c r="B142" s="218">
        <v>1</v>
      </c>
      <c r="C142" s="220" t="s">
        <v>316</v>
      </c>
      <c r="D142" s="220" t="s">
        <v>118</v>
      </c>
      <c r="E142" s="165">
        <v>18566</v>
      </c>
    </row>
    <row r="143" spans="1:5" x14ac:dyDescent="0.25">
      <c r="A143" s="216" t="s">
        <v>301</v>
      </c>
      <c r="B143" s="218">
        <v>1</v>
      </c>
      <c r="C143" s="220" t="s">
        <v>227</v>
      </c>
      <c r="D143" s="220" t="s">
        <v>78</v>
      </c>
      <c r="E143" s="165">
        <v>18497</v>
      </c>
    </row>
    <row r="144" spans="1:5" x14ac:dyDescent="0.25">
      <c r="A144" s="216" t="s">
        <v>10951</v>
      </c>
      <c r="B144" s="218">
        <v>1</v>
      </c>
      <c r="C144" s="220" t="s">
        <v>282</v>
      </c>
      <c r="D144" s="220" t="s">
        <v>63</v>
      </c>
      <c r="E144" s="165">
        <v>18395</v>
      </c>
    </row>
    <row r="145" spans="1:5" x14ac:dyDescent="0.25">
      <c r="A145" s="216" t="s">
        <v>360</v>
      </c>
      <c r="B145" s="218">
        <v>1</v>
      </c>
      <c r="C145" s="220" t="s">
        <v>361</v>
      </c>
      <c r="D145" s="220" t="s">
        <v>177</v>
      </c>
      <c r="E145" s="165">
        <v>18387</v>
      </c>
    </row>
    <row r="146" spans="1:5" x14ac:dyDescent="0.25">
      <c r="A146" s="216" t="s">
        <v>322</v>
      </c>
      <c r="B146" s="218" t="s">
        <v>48</v>
      </c>
      <c r="C146" s="220" t="s">
        <v>323</v>
      </c>
      <c r="D146" s="220" t="s">
        <v>277</v>
      </c>
      <c r="E146" s="165">
        <v>18348</v>
      </c>
    </row>
    <row r="147" spans="1:5" x14ac:dyDescent="0.25">
      <c r="A147" s="216" t="s">
        <v>338</v>
      </c>
      <c r="B147" s="218" t="s">
        <v>48</v>
      </c>
      <c r="C147" s="220" t="s">
        <v>339</v>
      </c>
      <c r="D147" s="220" t="s">
        <v>118</v>
      </c>
      <c r="E147" s="165">
        <v>18000</v>
      </c>
    </row>
    <row r="148" spans="1:5" x14ac:dyDescent="0.25">
      <c r="A148" s="216" t="s">
        <v>10952</v>
      </c>
      <c r="B148" s="218">
        <v>1</v>
      </c>
      <c r="C148" s="220" t="s">
        <v>10953</v>
      </c>
      <c r="D148" s="220" t="s">
        <v>63</v>
      </c>
      <c r="E148" s="165">
        <v>17783</v>
      </c>
    </row>
    <row r="149" spans="1:5" x14ac:dyDescent="0.25">
      <c r="A149" s="216" t="s">
        <v>255</v>
      </c>
      <c r="B149" s="218">
        <v>1</v>
      </c>
      <c r="C149" s="220" t="s">
        <v>181</v>
      </c>
      <c r="D149" s="220" t="s">
        <v>78</v>
      </c>
      <c r="E149" s="165">
        <v>17686</v>
      </c>
    </row>
    <row r="150" spans="1:5" x14ac:dyDescent="0.25">
      <c r="A150" s="216" t="s">
        <v>366</v>
      </c>
      <c r="B150" s="218" t="s">
        <v>48</v>
      </c>
      <c r="C150" s="220" t="s">
        <v>367</v>
      </c>
      <c r="D150" s="220" t="s">
        <v>56</v>
      </c>
      <c r="E150" s="165">
        <v>17675</v>
      </c>
    </row>
    <row r="151" spans="1:5" x14ac:dyDescent="0.25">
      <c r="A151" s="216" t="s">
        <v>362</v>
      </c>
      <c r="B151" s="218" t="s">
        <v>48</v>
      </c>
      <c r="C151" s="220" t="s">
        <v>363</v>
      </c>
      <c r="D151" s="220" t="s">
        <v>56</v>
      </c>
      <c r="E151" s="165">
        <v>17500</v>
      </c>
    </row>
    <row r="152" spans="1:5" x14ac:dyDescent="0.25">
      <c r="A152" s="216" t="s">
        <v>351</v>
      </c>
      <c r="B152" s="218" t="s">
        <v>48</v>
      </c>
      <c r="C152" s="220" t="s">
        <v>121</v>
      </c>
      <c r="D152" s="220" t="s">
        <v>56</v>
      </c>
      <c r="E152" s="165">
        <v>17500</v>
      </c>
    </row>
    <row r="153" spans="1:5" x14ac:dyDescent="0.25">
      <c r="A153" s="216" t="s">
        <v>341</v>
      </c>
      <c r="B153" s="218">
        <v>1</v>
      </c>
      <c r="C153" s="220" t="s">
        <v>342</v>
      </c>
      <c r="D153" s="220" t="s">
        <v>277</v>
      </c>
      <c r="E153" s="165">
        <v>17468</v>
      </c>
    </row>
    <row r="154" spans="1:5" x14ac:dyDescent="0.25">
      <c r="A154" s="216" t="s">
        <v>352</v>
      </c>
      <c r="B154" s="218" t="s">
        <v>48</v>
      </c>
      <c r="C154" s="220" t="s">
        <v>353</v>
      </c>
      <c r="D154" s="220" t="s">
        <v>56</v>
      </c>
      <c r="E154" s="165">
        <v>17452</v>
      </c>
    </row>
    <row r="155" spans="1:5" x14ac:dyDescent="0.25">
      <c r="A155" s="216" t="s">
        <v>119</v>
      </c>
      <c r="B155" s="218" t="s">
        <v>48</v>
      </c>
      <c r="C155" s="220" t="s">
        <v>120</v>
      </c>
      <c r="D155" s="220" t="s">
        <v>75</v>
      </c>
      <c r="E155" s="165">
        <v>17419</v>
      </c>
    </row>
    <row r="156" spans="1:5" x14ac:dyDescent="0.25">
      <c r="A156" s="216" t="s">
        <v>325</v>
      </c>
      <c r="B156" s="218" t="s">
        <v>48</v>
      </c>
      <c r="C156" s="220" t="s">
        <v>102</v>
      </c>
      <c r="D156" s="220" t="s">
        <v>93</v>
      </c>
      <c r="E156" s="165">
        <v>17370</v>
      </c>
    </row>
    <row r="157" spans="1:5" x14ac:dyDescent="0.25">
      <c r="A157" s="216" t="s">
        <v>401</v>
      </c>
      <c r="B157" s="218">
        <v>1</v>
      </c>
      <c r="C157" s="220" t="s">
        <v>402</v>
      </c>
      <c r="D157" s="220" t="s">
        <v>108</v>
      </c>
      <c r="E157" s="165">
        <v>17340</v>
      </c>
    </row>
    <row r="158" spans="1:5" x14ac:dyDescent="0.25">
      <c r="A158" s="216" t="s">
        <v>355</v>
      </c>
      <c r="B158" s="218">
        <v>1</v>
      </c>
      <c r="C158" s="220" t="s">
        <v>356</v>
      </c>
      <c r="D158" s="220" t="s">
        <v>192</v>
      </c>
      <c r="E158" s="165">
        <v>17239</v>
      </c>
    </row>
    <row r="159" spans="1:5" x14ac:dyDescent="0.25">
      <c r="A159" s="216" t="s">
        <v>436</v>
      </c>
      <c r="B159" s="218" t="s">
        <v>48</v>
      </c>
      <c r="C159" s="220" t="s">
        <v>437</v>
      </c>
      <c r="D159" s="220" t="s">
        <v>53</v>
      </c>
      <c r="E159" s="165">
        <v>17231</v>
      </c>
    </row>
    <row r="160" spans="1:5" x14ac:dyDescent="0.25">
      <c r="A160" s="216" t="s">
        <v>346</v>
      </c>
      <c r="B160" s="218">
        <v>1</v>
      </c>
      <c r="C160" s="220" t="s">
        <v>347</v>
      </c>
      <c r="D160" s="220" t="s">
        <v>348</v>
      </c>
      <c r="E160" s="165">
        <v>17213</v>
      </c>
    </row>
    <row r="161" spans="1:5" x14ac:dyDescent="0.25">
      <c r="A161" s="216" t="s">
        <v>10954</v>
      </c>
      <c r="B161" s="218">
        <v>1</v>
      </c>
      <c r="C161" s="220" t="s">
        <v>6618</v>
      </c>
      <c r="D161" s="220" t="s">
        <v>56</v>
      </c>
      <c r="E161" s="165">
        <v>17063</v>
      </c>
    </row>
    <row r="162" spans="1:5" x14ac:dyDescent="0.25">
      <c r="A162" s="216" t="s">
        <v>330</v>
      </c>
      <c r="B162" s="218">
        <v>1</v>
      </c>
      <c r="C162" s="220" t="s">
        <v>331</v>
      </c>
      <c r="D162" s="220" t="s">
        <v>69</v>
      </c>
      <c r="E162" s="165">
        <v>17059</v>
      </c>
    </row>
    <row r="163" spans="1:5" x14ac:dyDescent="0.25">
      <c r="A163" s="216" t="s">
        <v>299</v>
      </c>
      <c r="B163" s="218">
        <v>1</v>
      </c>
      <c r="C163" s="220" t="s">
        <v>300</v>
      </c>
      <c r="D163" s="220" t="s">
        <v>69</v>
      </c>
      <c r="E163" s="165">
        <v>17056</v>
      </c>
    </row>
    <row r="164" spans="1:5" x14ac:dyDescent="0.25">
      <c r="A164" s="216" t="s">
        <v>354</v>
      </c>
      <c r="B164" s="218" t="s">
        <v>48</v>
      </c>
      <c r="C164" s="220" t="s">
        <v>65</v>
      </c>
      <c r="D164" s="220" t="s">
        <v>66</v>
      </c>
      <c r="E164" s="165">
        <v>17003</v>
      </c>
    </row>
    <row r="165" spans="1:5" x14ac:dyDescent="0.25">
      <c r="A165" s="216" t="s">
        <v>376</v>
      </c>
      <c r="B165" s="218" t="s">
        <v>48</v>
      </c>
      <c r="C165" s="220" t="s">
        <v>377</v>
      </c>
      <c r="D165" s="220" t="s">
        <v>378</v>
      </c>
      <c r="E165" s="165">
        <v>16818</v>
      </c>
    </row>
    <row r="166" spans="1:5" x14ac:dyDescent="0.25">
      <c r="A166" s="216" t="s">
        <v>359</v>
      </c>
      <c r="B166" s="218" t="s">
        <v>48</v>
      </c>
      <c r="C166" s="220" t="s">
        <v>270</v>
      </c>
      <c r="D166" s="220" t="s">
        <v>177</v>
      </c>
      <c r="E166" s="165">
        <v>16764</v>
      </c>
    </row>
    <row r="167" spans="1:5" x14ac:dyDescent="0.25">
      <c r="A167" s="216" t="s">
        <v>334</v>
      </c>
      <c r="B167" s="218" t="s">
        <v>48</v>
      </c>
      <c r="C167" s="220" t="s">
        <v>289</v>
      </c>
      <c r="D167" s="220" t="s">
        <v>69</v>
      </c>
      <c r="E167" s="165">
        <v>16598</v>
      </c>
    </row>
    <row r="168" spans="1:5" x14ac:dyDescent="0.25">
      <c r="A168" s="216" t="s">
        <v>10955</v>
      </c>
      <c r="B168" s="218">
        <v>1</v>
      </c>
      <c r="C168" s="220" t="s">
        <v>522</v>
      </c>
      <c r="D168" s="220" t="s">
        <v>523</v>
      </c>
      <c r="E168" s="165">
        <v>16578</v>
      </c>
    </row>
    <row r="169" spans="1:5" x14ac:dyDescent="0.25">
      <c r="A169" s="216" t="s">
        <v>327</v>
      </c>
      <c r="B169" s="218">
        <v>1</v>
      </c>
      <c r="C169" s="220" t="s">
        <v>86</v>
      </c>
      <c r="D169" s="220" t="s">
        <v>87</v>
      </c>
      <c r="E169" s="165">
        <v>16539</v>
      </c>
    </row>
    <row r="170" spans="1:5" x14ac:dyDescent="0.25">
      <c r="A170" s="216" t="s">
        <v>407</v>
      </c>
      <c r="B170" s="218" t="s">
        <v>48</v>
      </c>
      <c r="C170" s="220" t="s">
        <v>287</v>
      </c>
      <c r="D170" s="220" t="s">
        <v>82</v>
      </c>
      <c r="E170" s="165">
        <v>16469</v>
      </c>
    </row>
    <row r="171" spans="1:5" x14ac:dyDescent="0.25">
      <c r="A171" s="216" t="s">
        <v>405</v>
      </c>
      <c r="B171" s="218" t="s">
        <v>48</v>
      </c>
      <c r="C171" s="220" t="s">
        <v>367</v>
      </c>
      <c r="D171" s="220" t="s">
        <v>56</v>
      </c>
      <c r="E171" s="165">
        <v>16446</v>
      </c>
    </row>
    <row r="172" spans="1:5" x14ac:dyDescent="0.25">
      <c r="A172" s="216" t="s">
        <v>365</v>
      </c>
      <c r="B172" s="218">
        <v>1</v>
      </c>
      <c r="C172" s="220" t="s">
        <v>283</v>
      </c>
      <c r="D172" s="220" t="s">
        <v>59</v>
      </c>
      <c r="E172" s="165">
        <v>16362</v>
      </c>
    </row>
    <row r="173" spans="1:5" x14ac:dyDescent="0.25">
      <c r="A173" s="216" t="s">
        <v>418</v>
      </c>
      <c r="B173" s="218" t="s">
        <v>48</v>
      </c>
      <c r="C173" s="220" t="s">
        <v>419</v>
      </c>
      <c r="D173" s="220" t="s">
        <v>63</v>
      </c>
      <c r="E173" s="165">
        <v>16120</v>
      </c>
    </row>
    <row r="174" spans="1:5" x14ac:dyDescent="0.25">
      <c r="A174" s="216" t="s">
        <v>364</v>
      </c>
      <c r="B174" s="218">
        <v>1</v>
      </c>
      <c r="C174" s="220" t="s">
        <v>121</v>
      </c>
      <c r="D174" s="220" t="s">
        <v>56</v>
      </c>
      <c r="E174" s="165">
        <v>16035</v>
      </c>
    </row>
    <row r="175" spans="1:5" x14ac:dyDescent="0.25">
      <c r="A175" s="216" t="s">
        <v>439</v>
      </c>
      <c r="B175" s="218" t="s">
        <v>48</v>
      </c>
      <c r="C175" s="220" t="s">
        <v>285</v>
      </c>
      <c r="D175" s="220" t="s">
        <v>59</v>
      </c>
      <c r="E175" s="165">
        <v>15822</v>
      </c>
    </row>
    <row r="176" spans="1:5" x14ac:dyDescent="0.25">
      <c r="A176" s="216" t="s">
        <v>427</v>
      </c>
      <c r="B176" s="218" t="s">
        <v>48</v>
      </c>
      <c r="C176" s="220" t="s">
        <v>810</v>
      </c>
      <c r="D176" s="220" t="s">
        <v>394</v>
      </c>
      <c r="E176" s="165">
        <v>15600</v>
      </c>
    </row>
    <row r="177" spans="1:5" x14ac:dyDescent="0.25">
      <c r="A177" s="216" t="s">
        <v>372</v>
      </c>
      <c r="B177" s="218">
        <v>1</v>
      </c>
      <c r="C177" s="220" t="s">
        <v>373</v>
      </c>
      <c r="D177" s="220" t="s">
        <v>130</v>
      </c>
      <c r="E177" s="165">
        <v>15539</v>
      </c>
    </row>
    <row r="178" spans="1:5" x14ac:dyDescent="0.25">
      <c r="A178" s="216" t="s">
        <v>386</v>
      </c>
      <c r="B178" s="218" t="s">
        <v>48</v>
      </c>
      <c r="C178" s="220" t="s">
        <v>274</v>
      </c>
      <c r="D178" s="220" t="s">
        <v>188</v>
      </c>
      <c r="E178" s="165">
        <v>15430</v>
      </c>
    </row>
    <row r="179" spans="1:5" x14ac:dyDescent="0.25">
      <c r="A179" s="216" t="s">
        <v>399</v>
      </c>
      <c r="B179" s="218" t="s">
        <v>48</v>
      </c>
      <c r="C179" s="220" t="s">
        <v>400</v>
      </c>
      <c r="D179" s="220" t="s">
        <v>277</v>
      </c>
      <c r="E179" s="165">
        <v>15400</v>
      </c>
    </row>
    <row r="180" spans="1:5" x14ac:dyDescent="0.25">
      <c r="A180" s="216" t="s">
        <v>482</v>
      </c>
      <c r="B180" s="218">
        <v>1</v>
      </c>
      <c r="C180" s="220" t="s">
        <v>483</v>
      </c>
      <c r="D180" s="220" t="s">
        <v>56</v>
      </c>
      <c r="E180" s="165">
        <v>15387</v>
      </c>
    </row>
    <row r="181" spans="1:5" x14ac:dyDescent="0.25">
      <c r="A181" s="216" t="s">
        <v>578</v>
      </c>
      <c r="B181" s="218" t="s">
        <v>48</v>
      </c>
      <c r="C181" s="220" t="s">
        <v>579</v>
      </c>
      <c r="D181" s="220" t="s">
        <v>75</v>
      </c>
      <c r="E181" s="165">
        <v>15352</v>
      </c>
    </row>
    <row r="182" spans="1:5" x14ac:dyDescent="0.25">
      <c r="A182" s="216" t="s">
        <v>381</v>
      </c>
      <c r="B182" s="218" t="s">
        <v>48</v>
      </c>
      <c r="C182" s="220" t="s">
        <v>382</v>
      </c>
      <c r="D182" s="220" t="s">
        <v>166</v>
      </c>
      <c r="E182" s="165">
        <v>15334</v>
      </c>
    </row>
    <row r="183" spans="1:5" x14ac:dyDescent="0.25">
      <c r="A183" s="216" t="s">
        <v>557</v>
      </c>
      <c r="B183" s="218" t="s">
        <v>48</v>
      </c>
      <c r="C183" s="220" t="s">
        <v>558</v>
      </c>
      <c r="D183" s="220" t="s">
        <v>56</v>
      </c>
      <c r="E183" s="165">
        <v>15328</v>
      </c>
    </row>
    <row r="184" spans="1:5" x14ac:dyDescent="0.25">
      <c r="A184" s="216" t="s">
        <v>403</v>
      </c>
      <c r="B184" s="218" t="s">
        <v>48</v>
      </c>
      <c r="C184" s="220" t="s">
        <v>404</v>
      </c>
      <c r="D184" s="220" t="s">
        <v>59</v>
      </c>
      <c r="E184" s="165">
        <v>15290</v>
      </c>
    </row>
    <row r="185" spans="1:5" x14ac:dyDescent="0.25">
      <c r="A185" s="216" t="s">
        <v>284</v>
      </c>
      <c r="B185" s="218" t="s">
        <v>48</v>
      </c>
      <c r="C185" s="220" t="s">
        <v>285</v>
      </c>
      <c r="D185" s="220" t="s">
        <v>59</v>
      </c>
      <c r="E185" s="165">
        <v>15279</v>
      </c>
    </row>
    <row r="186" spans="1:5" x14ac:dyDescent="0.25">
      <c r="A186" s="216" t="s">
        <v>320</v>
      </c>
      <c r="B186" s="218" t="s">
        <v>48</v>
      </c>
      <c r="C186" s="220" t="s">
        <v>321</v>
      </c>
      <c r="D186" s="220" t="s">
        <v>90</v>
      </c>
      <c r="E186" s="165">
        <v>15198</v>
      </c>
    </row>
    <row r="187" spans="1:5" x14ac:dyDescent="0.25">
      <c r="A187" s="216" t="s">
        <v>387</v>
      </c>
      <c r="B187" s="218">
        <v>1</v>
      </c>
      <c r="C187" s="220" t="s">
        <v>388</v>
      </c>
      <c r="D187" s="220" t="s">
        <v>56</v>
      </c>
      <c r="E187" s="165">
        <v>15071</v>
      </c>
    </row>
    <row r="188" spans="1:5" x14ac:dyDescent="0.25">
      <c r="A188" s="216" t="s">
        <v>370</v>
      </c>
      <c r="B188" s="218">
        <v>1</v>
      </c>
      <c r="C188" s="220" t="s">
        <v>86</v>
      </c>
      <c r="D188" s="220" t="s">
        <v>78</v>
      </c>
      <c r="E188" s="165">
        <v>15030</v>
      </c>
    </row>
    <row r="189" spans="1:5" x14ac:dyDescent="0.25">
      <c r="A189" s="216" t="s">
        <v>383</v>
      </c>
      <c r="B189" s="218" t="s">
        <v>48</v>
      </c>
      <c r="C189" s="220" t="s">
        <v>347</v>
      </c>
      <c r="D189" s="220" t="s">
        <v>348</v>
      </c>
      <c r="E189" s="165">
        <v>15000</v>
      </c>
    </row>
    <row r="190" spans="1:5" x14ac:dyDescent="0.25">
      <c r="A190" s="216" t="s">
        <v>478</v>
      </c>
      <c r="B190" s="218" t="s">
        <v>48</v>
      </c>
      <c r="C190" s="220" t="s">
        <v>479</v>
      </c>
      <c r="D190" s="220" t="s">
        <v>90</v>
      </c>
      <c r="E190" s="165">
        <v>14818</v>
      </c>
    </row>
    <row r="191" spans="1:5" x14ac:dyDescent="0.25">
      <c r="A191" s="216" t="s">
        <v>10862</v>
      </c>
      <c r="B191" s="218" t="s">
        <v>48</v>
      </c>
      <c r="C191" s="220" t="s">
        <v>1508</v>
      </c>
      <c r="D191" s="220" t="s">
        <v>69</v>
      </c>
      <c r="E191" s="165">
        <v>14476</v>
      </c>
    </row>
    <row r="192" spans="1:5" x14ac:dyDescent="0.25">
      <c r="A192" s="216" t="s">
        <v>379</v>
      </c>
      <c r="B192" s="218" t="s">
        <v>48</v>
      </c>
      <c r="C192" s="220" t="s">
        <v>380</v>
      </c>
      <c r="D192" s="220" t="s">
        <v>90</v>
      </c>
      <c r="E192" s="165">
        <v>14412</v>
      </c>
    </row>
    <row r="193" spans="1:5" x14ac:dyDescent="0.25">
      <c r="A193" s="216" t="s">
        <v>392</v>
      </c>
      <c r="B193" s="218">
        <v>1</v>
      </c>
      <c r="C193" s="220" t="s">
        <v>393</v>
      </c>
      <c r="D193" s="220" t="s">
        <v>394</v>
      </c>
      <c r="E193" s="165">
        <v>14284</v>
      </c>
    </row>
    <row r="194" spans="1:5" x14ac:dyDescent="0.25">
      <c r="A194" s="216" t="s">
        <v>500</v>
      </c>
      <c r="B194" s="218">
        <v>1</v>
      </c>
      <c r="C194" s="220" t="s">
        <v>501</v>
      </c>
      <c r="D194" s="220" t="s">
        <v>264</v>
      </c>
      <c r="E194" s="165">
        <v>14026</v>
      </c>
    </row>
    <row r="195" spans="1:5" x14ac:dyDescent="0.25">
      <c r="A195" s="216" t="s">
        <v>343</v>
      </c>
      <c r="B195" s="218">
        <v>1</v>
      </c>
      <c r="C195" s="220" t="s">
        <v>86</v>
      </c>
      <c r="D195" s="220" t="s">
        <v>87</v>
      </c>
      <c r="E195" s="165">
        <v>13984</v>
      </c>
    </row>
    <row r="196" spans="1:5" x14ac:dyDescent="0.25">
      <c r="A196" s="216" t="s">
        <v>422</v>
      </c>
      <c r="B196" s="218" t="s">
        <v>48</v>
      </c>
      <c r="C196" s="220" t="s">
        <v>157</v>
      </c>
      <c r="D196" s="220" t="s">
        <v>56</v>
      </c>
      <c r="E196" s="165">
        <v>13867</v>
      </c>
    </row>
    <row r="197" spans="1:5" x14ac:dyDescent="0.25">
      <c r="A197" s="216" t="s">
        <v>414</v>
      </c>
      <c r="B197" s="218" t="s">
        <v>48</v>
      </c>
      <c r="C197" s="220" t="s">
        <v>415</v>
      </c>
      <c r="D197" s="220" t="s">
        <v>50</v>
      </c>
      <c r="E197" s="165">
        <v>13750</v>
      </c>
    </row>
    <row r="198" spans="1:5" x14ac:dyDescent="0.25">
      <c r="A198" s="216" t="s">
        <v>448</v>
      </c>
      <c r="B198" s="218" t="s">
        <v>48</v>
      </c>
      <c r="C198" s="220" t="s">
        <v>449</v>
      </c>
      <c r="D198" s="220" t="s">
        <v>75</v>
      </c>
      <c r="E198" s="165">
        <v>13538</v>
      </c>
    </row>
    <row r="199" spans="1:5" x14ac:dyDescent="0.25">
      <c r="A199" s="216" t="s">
        <v>10695</v>
      </c>
      <c r="B199" s="218" t="s">
        <v>48</v>
      </c>
      <c r="C199" s="220" t="s">
        <v>4019</v>
      </c>
      <c r="D199" s="220" t="s">
        <v>108</v>
      </c>
      <c r="E199" s="165">
        <v>13444</v>
      </c>
    </row>
    <row r="200" spans="1:5" x14ac:dyDescent="0.25">
      <c r="A200" s="216" t="s">
        <v>444</v>
      </c>
      <c r="B200" s="218" t="s">
        <v>48</v>
      </c>
      <c r="C200" s="220" t="s">
        <v>445</v>
      </c>
      <c r="D200" s="220" t="s">
        <v>75</v>
      </c>
      <c r="E200" s="165">
        <v>13273</v>
      </c>
    </row>
    <row r="201" spans="1:5" x14ac:dyDescent="0.25">
      <c r="A201" s="216" t="s">
        <v>344</v>
      </c>
      <c r="B201" s="218" t="s">
        <v>48</v>
      </c>
      <c r="C201" s="220" t="s">
        <v>257</v>
      </c>
      <c r="D201" s="220" t="s">
        <v>108</v>
      </c>
      <c r="E201" s="165">
        <v>13214</v>
      </c>
    </row>
    <row r="202" spans="1:5" x14ac:dyDescent="0.25">
      <c r="A202" s="216" t="s">
        <v>408</v>
      </c>
      <c r="B202" s="218">
        <v>1</v>
      </c>
      <c r="C202" s="220" t="s">
        <v>409</v>
      </c>
      <c r="D202" s="220" t="s">
        <v>72</v>
      </c>
      <c r="E202" s="165">
        <v>13172</v>
      </c>
    </row>
    <row r="203" spans="1:5" x14ac:dyDescent="0.25">
      <c r="A203" s="216" t="s">
        <v>430</v>
      </c>
      <c r="B203" s="218" t="s">
        <v>48</v>
      </c>
      <c r="C203" s="220" t="s">
        <v>431</v>
      </c>
      <c r="D203" s="220" t="s">
        <v>78</v>
      </c>
      <c r="E203" s="165">
        <v>13134</v>
      </c>
    </row>
    <row r="204" spans="1:5" x14ac:dyDescent="0.25">
      <c r="A204" s="216" t="s">
        <v>10956</v>
      </c>
      <c r="B204" s="218">
        <v>1</v>
      </c>
      <c r="C204" s="220" t="s">
        <v>429</v>
      </c>
      <c r="D204" s="220" t="s">
        <v>98</v>
      </c>
      <c r="E204" s="165">
        <v>13112</v>
      </c>
    </row>
    <row r="205" spans="1:5" x14ac:dyDescent="0.25">
      <c r="A205" s="216" t="s">
        <v>425</v>
      </c>
      <c r="B205" s="218" t="s">
        <v>48</v>
      </c>
      <c r="C205" s="220" t="s">
        <v>426</v>
      </c>
      <c r="D205" s="220" t="s">
        <v>53</v>
      </c>
      <c r="E205" s="165">
        <v>13004</v>
      </c>
    </row>
    <row r="206" spans="1:5" x14ac:dyDescent="0.25">
      <c r="A206" s="216" t="s">
        <v>434</v>
      </c>
      <c r="B206" s="218" t="s">
        <v>48</v>
      </c>
      <c r="C206" s="220" t="s">
        <v>435</v>
      </c>
      <c r="D206" s="220" t="s">
        <v>124</v>
      </c>
      <c r="E206" s="165">
        <v>13000</v>
      </c>
    </row>
    <row r="207" spans="1:5" x14ac:dyDescent="0.25">
      <c r="A207" s="216" t="s">
        <v>696</v>
      </c>
      <c r="B207" s="218">
        <v>1</v>
      </c>
      <c r="C207" s="220" t="s">
        <v>697</v>
      </c>
      <c r="D207" s="220" t="s">
        <v>628</v>
      </c>
      <c r="E207" s="165">
        <v>12986</v>
      </c>
    </row>
    <row r="208" spans="1:5" x14ac:dyDescent="0.25">
      <c r="A208" s="216" t="s">
        <v>389</v>
      </c>
      <c r="B208" s="218">
        <v>1</v>
      </c>
      <c r="C208" s="220" t="s">
        <v>390</v>
      </c>
      <c r="D208" s="220" t="s">
        <v>264</v>
      </c>
      <c r="E208" s="165">
        <v>12978</v>
      </c>
    </row>
    <row r="209" spans="1:5" x14ac:dyDescent="0.25">
      <c r="A209" s="216" t="s">
        <v>374</v>
      </c>
      <c r="B209" s="218" t="s">
        <v>48</v>
      </c>
      <c r="C209" s="220" t="s">
        <v>375</v>
      </c>
      <c r="D209" s="220" t="s">
        <v>118</v>
      </c>
      <c r="E209" s="165">
        <v>12960</v>
      </c>
    </row>
    <row r="210" spans="1:5" x14ac:dyDescent="0.25">
      <c r="A210" s="216" t="s">
        <v>467</v>
      </c>
      <c r="B210" s="218" t="s">
        <v>48</v>
      </c>
      <c r="C210" s="220" t="s">
        <v>468</v>
      </c>
      <c r="D210" s="220" t="s">
        <v>69</v>
      </c>
      <c r="E210" s="165">
        <v>12760</v>
      </c>
    </row>
    <row r="211" spans="1:5" x14ac:dyDescent="0.25">
      <c r="A211" s="216" t="s">
        <v>10508</v>
      </c>
      <c r="B211" s="218" t="s">
        <v>48</v>
      </c>
      <c r="C211" s="220" t="s">
        <v>10957</v>
      </c>
      <c r="D211" s="220" t="s">
        <v>56</v>
      </c>
      <c r="E211" s="165">
        <v>12715</v>
      </c>
    </row>
    <row r="212" spans="1:5" x14ac:dyDescent="0.25">
      <c r="A212" s="216" t="s">
        <v>451</v>
      </c>
      <c r="B212" s="218" t="s">
        <v>48</v>
      </c>
      <c r="C212" s="220" t="s">
        <v>1719</v>
      </c>
      <c r="D212" s="220" t="s">
        <v>90</v>
      </c>
      <c r="E212" s="165">
        <v>12710</v>
      </c>
    </row>
    <row r="213" spans="1:5" x14ac:dyDescent="0.25">
      <c r="A213" s="216" t="s">
        <v>416</v>
      </c>
      <c r="B213" s="218">
        <v>1</v>
      </c>
      <c r="C213" s="220" t="s">
        <v>417</v>
      </c>
      <c r="D213" s="220" t="s">
        <v>66</v>
      </c>
      <c r="E213" s="165">
        <v>12668</v>
      </c>
    </row>
    <row r="214" spans="1:5" x14ac:dyDescent="0.25">
      <c r="A214" s="216" t="s">
        <v>484</v>
      </c>
      <c r="B214" s="218" t="s">
        <v>48</v>
      </c>
      <c r="C214" s="220" t="s">
        <v>485</v>
      </c>
      <c r="D214" s="220" t="s">
        <v>486</v>
      </c>
      <c r="E214" s="165">
        <v>12643</v>
      </c>
    </row>
    <row r="215" spans="1:5" x14ac:dyDescent="0.25">
      <c r="A215" s="216" t="s">
        <v>423</v>
      </c>
      <c r="B215" s="218" t="s">
        <v>48</v>
      </c>
      <c r="C215" s="220" t="s">
        <v>424</v>
      </c>
      <c r="D215" s="220" t="s">
        <v>59</v>
      </c>
      <c r="E215" s="165">
        <v>12608</v>
      </c>
    </row>
    <row r="216" spans="1:5" x14ac:dyDescent="0.25">
      <c r="A216" s="216" t="s">
        <v>10958</v>
      </c>
      <c r="B216" s="218" t="s">
        <v>48</v>
      </c>
      <c r="C216" s="220" t="s">
        <v>4582</v>
      </c>
      <c r="D216" s="220" t="s">
        <v>56</v>
      </c>
      <c r="E216" s="165">
        <v>12579</v>
      </c>
    </row>
    <row r="217" spans="1:5" x14ac:dyDescent="0.25">
      <c r="A217" s="216" t="s">
        <v>273</v>
      </c>
      <c r="B217" s="218">
        <v>1</v>
      </c>
      <c r="C217" s="220" t="s">
        <v>274</v>
      </c>
      <c r="D217" s="220" t="s">
        <v>188</v>
      </c>
      <c r="E217" s="165">
        <v>12560</v>
      </c>
    </row>
    <row r="218" spans="1:5" x14ac:dyDescent="0.25">
      <c r="A218" s="216" t="s">
        <v>432</v>
      </c>
      <c r="B218" s="218" t="s">
        <v>48</v>
      </c>
      <c r="C218" s="220" t="s">
        <v>433</v>
      </c>
      <c r="D218" s="220" t="s">
        <v>127</v>
      </c>
      <c r="E218" s="165">
        <v>12515</v>
      </c>
    </row>
    <row r="219" spans="1:5" x14ac:dyDescent="0.25">
      <c r="A219" s="216" t="s">
        <v>1177</v>
      </c>
      <c r="B219" s="218">
        <v>1</v>
      </c>
      <c r="C219" s="220" t="s">
        <v>121</v>
      </c>
      <c r="D219" s="220" t="s">
        <v>56</v>
      </c>
      <c r="E219" s="165">
        <v>12504</v>
      </c>
    </row>
    <row r="220" spans="1:5" x14ac:dyDescent="0.25">
      <c r="A220" s="216" t="s">
        <v>499</v>
      </c>
      <c r="B220" s="218" t="s">
        <v>48</v>
      </c>
      <c r="C220" s="220" t="s">
        <v>86</v>
      </c>
      <c r="D220" s="220" t="s">
        <v>87</v>
      </c>
      <c r="E220" s="165">
        <v>12500</v>
      </c>
    </row>
    <row r="221" spans="1:5" x14ac:dyDescent="0.25">
      <c r="A221" s="216" t="s">
        <v>395</v>
      </c>
      <c r="B221" s="218">
        <v>1</v>
      </c>
      <c r="C221" s="220" t="s">
        <v>396</v>
      </c>
      <c r="D221" s="220" t="s">
        <v>188</v>
      </c>
      <c r="E221" s="165">
        <v>12414</v>
      </c>
    </row>
    <row r="222" spans="1:5" x14ac:dyDescent="0.25">
      <c r="A222" s="216" t="s">
        <v>460</v>
      </c>
      <c r="B222" s="218" t="s">
        <v>48</v>
      </c>
      <c r="C222" s="220" t="s">
        <v>65</v>
      </c>
      <c r="D222" s="220" t="s">
        <v>66</v>
      </c>
      <c r="E222" s="165">
        <v>12414</v>
      </c>
    </row>
    <row r="223" spans="1:5" x14ac:dyDescent="0.25">
      <c r="A223" s="216" t="s">
        <v>10959</v>
      </c>
      <c r="B223" s="218" t="s">
        <v>48</v>
      </c>
      <c r="C223" s="220" t="s">
        <v>466</v>
      </c>
      <c r="D223" s="220" t="s">
        <v>206</v>
      </c>
      <c r="E223" s="165">
        <v>12284</v>
      </c>
    </row>
    <row r="224" spans="1:5" x14ac:dyDescent="0.25">
      <c r="A224" s="216" t="s">
        <v>494</v>
      </c>
      <c r="B224" s="218" t="s">
        <v>48</v>
      </c>
      <c r="C224" s="220" t="s">
        <v>68</v>
      </c>
      <c r="D224" s="220" t="s">
        <v>63</v>
      </c>
      <c r="E224" s="165">
        <v>12218</v>
      </c>
    </row>
    <row r="225" spans="1:5" x14ac:dyDescent="0.25">
      <c r="A225" s="216" t="s">
        <v>760</v>
      </c>
      <c r="B225" s="218" t="s">
        <v>48</v>
      </c>
      <c r="C225" s="220" t="s">
        <v>761</v>
      </c>
      <c r="D225" s="220" t="s">
        <v>188</v>
      </c>
      <c r="E225" s="165">
        <v>12149</v>
      </c>
    </row>
    <row r="226" spans="1:5" x14ac:dyDescent="0.25">
      <c r="A226" s="216" t="s">
        <v>461</v>
      </c>
      <c r="B226" s="218" t="s">
        <v>48</v>
      </c>
      <c r="C226" s="220" t="s">
        <v>61</v>
      </c>
      <c r="D226" s="220" t="s">
        <v>56</v>
      </c>
      <c r="E226" s="165">
        <v>11826</v>
      </c>
    </row>
    <row r="227" spans="1:5" x14ac:dyDescent="0.25">
      <c r="A227" s="216" t="s">
        <v>438</v>
      </c>
      <c r="B227" s="218">
        <v>1</v>
      </c>
      <c r="C227" s="220" t="s">
        <v>138</v>
      </c>
      <c r="D227" s="220" t="s">
        <v>139</v>
      </c>
      <c r="E227" s="165">
        <v>11825</v>
      </c>
    </row>
    <row r="228" spans="1:5" x14ac:dyDescent="0.25">
      <c r="A228" s="216" t="s">
        <v>510</v>
      </c>
      <c r="B228" s="218" t="s">
        <v>48</v>
      </c>
      <c r="C228" s="220" t="s">
        <v>511</v>
      </c>
      <c r="D228" s="220" t="s">
        <v>82</v>
      </c>
      <c r="E228" s="165">
        <v>11800</v>
      </c>
    </row>
    <row r="229" spans="1:5" x14ac:dyDescent="0.25">
      <c r="A229" s="216" t="s">
        <v>495</v>
      </c>
      <c r="B229" s="218" t="s">
        <v>48</v>
      </c>
      <c r="C229" s="220" t="s">
        <v>496</v>
      </c>
      <c r="D229" s="220" t="s">
        <v>272</v>
      </c>
      <c r="E229" s="165">
        <v>11775</v>
      </c>
    </row>
    <row r="230" spans="1:5" x14ac:dyDescent="0.25">
      <c r="A230" s="216" t="s">
        <v>450</v>
      </c>
      <c r="B230" s="218">
        <v>1</v>
      </c>
      <c r="C230" s="220" t="s">
        <v>102</v>
      </c>
      <c r="D230" s="220" t="s">
        <v>93</v>
      </c>
      <c r="E230" s="165">
        <v>11695</v>
      </c>
    </row>
    <row r="231" spans="1:5" x14ac:dyDescent="0.25">
      <c r="A231" s="216" t="s">
        <v>519</v>
      </c>
      <c r="B231" s="218" t="s">
        <v>48</v>
      </c>
      <c r="C231" s="220" t="s">
        <v>520</v>
      </c>
      <c r="D231" s="220" t="s">
        <v>59</v>
      </c>
      <c r="E231" s="165">
        <v>11627</v>
      </c>
    </row>
    <row r="232" spans="1:5" x14ac:dyDescent="0.25">
      <c r="A232" s="216" t="s">
        <v>210</v>
      </c>
      <c r="B232" s="218">
        <v>1</v>
      </c>
      <c r="C232" s="220" t="s">
        <v>211</v>
      </c>
      <c r="D232" s="220" t="s">
        <v>50</v>
      </c>
      <c r="E232" s="165">
        <v>11623</v>
      </c>
    </row>
    <row r="233" spans="1:5" x14ac:dyDescent="0.25">
      <c r="A233" s="216" t="s">
        <v>420</v>
      </c>
      <c r="B233" s="218">
        <v>1</v>
      </c>
      <c r="C233" s="220" t="s">
        <v>421</v>
      </c>
      <c r="D233" s="220" t="s">
        <v>201</v>
      </c>
      <c r="E233" s="165">
        <v>11286</v>
      </c>
    </row>
    <row r="234" spans="1:5" x14ac:dyDescent="0.25">
      <c r="A234" s="216" t="s">
        <v>487</v>
      </c>
      <c r="B234" s="218" t="s">
        <v>48</v>
      </c>
      <c r="C234" s="220" t="s">
        <v>488</v>
      </c>
      <c r="D234" s="220" t="s">
        <v>166</v>
      </c>
      <c r="E234" s="165">
        <v>11257</v>
      </c>
    </row>
    <row r="235" spans="1:5" x14ac:dyDescent="0.25">
      <c r="A235" s="216" t="s">
        <v>10960</v>
      </c>
      <c r="B235" s="218" t="s">
        <v>48</v>
      </c>
      <c r="C235" s="220" t="s">
        <v>471</v>
      </c>
      <c r="D235" s="220" t="s">
        <v>53</v>
      </c>
      <c r="E235" s="165">
        <v>11143</v>
      </c>
    </row>
    <row r="236" spans="1:5" x14ac:dyDescent="0.25">
      <c r="A236" s="216" t="s">
        <v>472</v>
      </c>
      <c r="B236" s="218" t="s">
        <v>48</v>
      </c>
      <c r="C236" s="220" t="s">
        <v>473</v>
      </c>
      <c r="D236" s="220" t="s">
        <v>82</v>
      </c>
      <c r="E236" s="165">
        <v>11094</v>
      </c>
    </row>
    <row r="237" spans="1:5" x14ac:dyDescent="0.25">
      <c r="A237" s="216" t="s">
        <v>518</v>
      </c>
      <c r="B237" s="218" t="s">
        <v>48</v>
      </c>
      <c r="C237" s="220" t="s">
        <v>289</v>
      </c>
      <c r="D237" s="220" t="s">
        <v>69</v>
      </c>
      <c r="E237" s="165">
        <v>11017</v>
      </c>
    </row>
    <row r="238" spans="1:5" x14ac:dyDescent="0.25">
      <c r="A238" s="216" t="s">
        <v>465</v>
      </c>
      <c r="B238" s="218">
        <v>1</v>
      </c>
      <c r="C238" s="220" t="s">
        <v>77</v>
      </c>
      <c r="D238" s="220" t="s">
        <v>78</v>
      </c>
      <c r="E238" s="165">
        <v>11013</v>
      </c>
    </row>
    <row r="239" spans="1:5" x14ac:dyDescent="0.25">
      <c r="A239" s="216" t="s">
        <v>514</v>
      </c>
      <c r="B239" s="218" t="s">
        <v>48</v>
      </c>
      <c r="C239" s="220" t="s">
        <v>129</v>
      </c>
      <c r="D239" s="220" t="s">
        <v>93</v>
      </c>
      <c r="E239" s="165">
        <v>11000</v>
      </c>
    </row>
    <row r="240" spans="1:5" x14ac:dyDescent="0.25">
      <c r="A240" s="216" t="s">
        <v>474</v>
      </c>
      <c r="B240" s="218">
        <v>1</v>
      </c>
      <c r="C240" s="220" t="s">
        <v>475</v>
      </c>
      <c r="D240" s="220" t="s">
        <v>188</v>
      </c>
      <c r="E240" s="165">
        <v>10997</v>
      </c>
    </row>
    <row r="241" spans="1:5" x14ac:dyDescent="0.25">
      <c r="A241" s="216" t="s">
        <v>440</v>
      </c>
      <c r="B241" s="218" t="s">
        <v>48</v>
      </c>
      <c r="C241" s="220" t="s">
        <v>90</v>
      </c>
      <c r="D241" s="220" t="s">
        <v>441</v>
      </c>
      <c r="E241" s="165">
        <v>10823</v>
      </c>
    </row>
    <row r="242" spans="1:5" x14ac:dyDescent="0.25">
      <c r="A242" s="216" t="s">
        <v>1191</v>
      </c>
      <c r="B242" s="218">
        <v>1</v>
      </c>
      <c r="C242" s="220" t="s">
        <v>306</v>
      </c>
      <c r="D242" s="220" t="s">
        <v>63</v>
      </c>
      <c r="E242" s="165">
        <v>10714</v>
      </c>
    </row>
    <row r="243" spans="1:5" x14ac:dyDescent="0.25">
      <c r="A243" s="216" t="s">
        <v>521</v>
      </c>
      <c r="B243" s="218" t="s">
        <v>48</v>
      </c>
      <c r="C243" s="220" t="s">
        <v>522</v>
      </c>
      <c r="D243" s="220" t="s">
        <v>523</v>
      </c>
      <c r="E243" s="165">
        <v>10681</v>
      </c>
    </row>
    <row r="244" spans="1:5" x14ac:dyDescent="0.25">
      <c r="A244" s="216" t="s">
        <v>476</v>
      </c>
      <c r="B244" s="218">
        <v>1</v>
      </c>
      <c r="C244" s="220" t="s">
        <v>477</v>
      </c>
      <c r="D244" s="220" t="s">
        <v>56</v>
      </c>
      <c r="E244" s="165">
        <v>10606</v>
      </c>
    </row>
    <row r="245" spans="1:5" x14ac:dyDescent="0.25">
      <c r="A245" s="216" t="s">
        <v>491</v>
      </c>
      <c r="B245" s="218" t="s">
        <v>48</v>
      </c>
      <c r="C245" s="220" t="s">
        <v>319</v>
      </c>
      <c r="D245" s="220" t="s">
        <v>53</v>
      </c>
      <c r="E245" s="165">
        <v>10600</v>
      </c>
    </row>
    <row r="246" spans="1:5" x14ac:dyDescent="0.25">
      <c r="A246" s="216" t="s">
        <v>480</v>
      </c>
      <c r="B246" s="218">
        <v>1</v>
      </c>
      <c r="C246" s="220" t="s">
        <v>481</v>
      </c>
      <c r="D246" s="220" t="s">
        <v>142</v>
      </c>
      <c r="E246" s="165">
        <v>10596</v>
      </c>
    </row>
    <row r="247" spans="1:5" x14ac:dyDescent="0.25">
      <c r="A247" s="216" t="s">
        <v>854</v>
      </c>
      <c r="B247" s="218" t="s">
        <v>48</v>
      </c>
      <c r="C247" s="220" t="s">
        <v>855</v>
      </c>
      <c r="D247" s="220" t="s">
        <v>75</v>
      </c>
      <c r="E247" s="165">
        <v>10576</v>
      </c>
    </row>
    <row r="248" spans="1:5" x14ac:dyDescent="0.25">
      <c r="A248" s="216" t="s">
        <v>335</v>
      </c>
      <c r="B248" s="218" t="s">
        <v>48</v>
      </c>
      <c r="C248" s="220" t="s">
        <v>336</v>
      </c>
      <c r="D248" s="220" t="s">
        <v>337</v>
      </c>
      <c r="E248" s="165">
        <v>10565</v>
      </c>
    </row>
    <row r="249" spans="1:5" x14ac:dyDescent="0.25">
      <c r="A249" s="216" t="s">
        <v>529</v>
      </c>
      <c r="B249" s="218">
        <v>1</v>
      </c>
      <c r="C249" s="220" t="s">
        <v>530</v>
      </c>
      <c r="D249" s="220" t="s">
        <v>105</v>
      </c>
      <c r="E249" s="165">
        <v>10524</v>
      </c>
    </row>
    <row r="250" spans="1:5" x14ac:dyDescent="0.25">
      <c r="A250" s="216" t="s">
        <v>502</v>
      </c>
      <c r="B250" s="218" t="s">
        <v>48</v>
      </c>
      <c r="C250" s="220" t="s">
        <v>503</v>
      </c>
      <c r="D250" s="220" t="s">
        <v>87</v>
      </c>
      <c r="E250" s="165">
        <v>10514</v>
      </c>
    </row>
    <row r="251" spans="1:5" x14ac:dyDescent="0.25">
      <c r="A251" s="216" t="s">
        <v>469</v>
      </c>
      <c r="B251" s="218" t="s">
        <v>48</v>
      </c>
      <c r="C251" s="220" t="s">
        <v>470</v>
      </c>
      <c r="D251" s="220" t="s">
        <v>108</v>
      </c>
      <c r="E251" s="165">
        <v>10500</v>
      </c>
    </row>
    <row r="252" spans="1:5" x14ac:dyDescent="0.25">
      <c r="A252" s="216" t="s">
        <v>581</v>
      </c>
      <c r="B252" s="218" t="s">
        <v>48</v>
      </c>
      <c r="C252" s="220" t="s">
        <v>582</v>
      </c>
      <c r="D252" s="220" t="s">
        <v>59</v>
      </c>
      <c r="E252" s="165">
        <v>10500</v>
      </c>
    </row>
    <row r="253" spans="1:5" x14ac:dyDescent="0.25">
      <c r="A253" s="216" t="s">
        <v>10961</v>
      </c>
      <c r="B253" s="218" t="s">
        <v>48</v>
      </c>
      <c r="C253" s="220" t="s">
        <v>10962</v>
      </c>
      <c r="D253" s="220" t="s">
        <v>7585</v>
      </c>
      <c r="E253" s="165">
        <v>10491</v>
      </c>
    </row>
    <row r="254" spans="1:5" x14ac:dyDescent="0.25">
      <c r="A254" s="216" t="s">
        <v>442</v>
      </c>
      <c r="B254" s="218" t="s">
        <v>48</v>
      </c>
      <c r="C254" s="220" t="s">
        <v>443</v>
      </c>
      <c r="D254" s="220" t="s">
        <v>166</v>
      </c>
      <c r="E254" s="165">
        <v>10429</v>
      </c>
    </row>
    <row r="255" spans="1:5" x14ac:dyDescent="0.25">
      <c r="A255" s="216" t="s">
        <v>580</v>
      </c>
      <c r="B255" s="218" t="s">
        <v>48</v>
      </c>
      <c r="C255" s="220" t="s">
        <v>245</v>
      </c>
      <c r="D255" s="220" t="s">
        <v>69</v>
      </c>
      <c r="E255" s="165">
        <v>10381</v>
      </c>
    </row>
    <row r="256" spans="1:5" x14ac:dyDescent="0.25">
      <c r="A256" s="216" t="s">
        <v>528</v>
      </c>
      <c r="B256" s="218" t="s">
        <v>48</v>
      </c>
      <c r="C256" s="220" t="s">
        <v>86</v>
      </c>
      <c r="D256" s="220" t="s">
        <v>78</v>
      </c>
      <c r="E256" s="165">
        <v>10333</v>
      </c>
    </row>
    <row r="257" spans="1:5" x14ac:dyDescent="0.25">
      <c r="A257" s="216" t="s">
        <v>493</v>
      </c>
      <c r="B257" s="218">
        <v>1</v>
      </c>
      <c r="C257" s="220" t="s">
        <v>409</v>
      </c>
      <c r="D257" s="220" t="s">
        <v>72</v>
      </c>
      <c r="E257" s="165">
        <v>10315</v>
      </c>
    </row>
    <row r="258" spans="1:5" x14ac:dyDescent="0.25">
      <c r="A258" s="216" t="s">
        <v>569</v>
      </c>
      <c r="B258" s="218">
        <v>1</v>
      </c>
      <c r="C258" s="220" t="s">
        <v>570</v>
      </c>
      <c r="D258" s="220" t="s">
        <v>523</v>
      </c>
      <c r="E258" s="165">
        <v>10307</v>
      </c>
    </row>
    <row r="259" spans="1:5" x14ac:dyDescent="0.25">
      <c r="A259" s="216" t="s">
        <v>463</v>
      </c>
      <c r="B259" s="218" t="s">
        <v>48</v>
      </c>
      <c r="C259" s="220" t="s">
        <v>464</v>
      </c>
      <c r="D259" s="220" t="s">
        <v>56</v>
      </c>
      <c r="E259" s="165">
        <v>10260</v>
      </c>
    </row>
    <row r="260" spans="1:5" x14ac:dyDescent="0.25">
      <c r="A260" s="216" t="s">
        <v>544</v>
      </c>
      <c r="B260" s="218" t="s">
        <v>48</v>
      </c>
      <c r="C260" s="220" t="s">
        <v>545</v>
      </c>
      <c r="D260" s="220" t="s">
        <v>56</v>
      </c>
      <c r="E260" s="165">
        <v>10119</v>
      </c>
    </row>
    <row r="261" spans="1:5" x14ac:dyDescent="0.25">
      <c r="A261" s="216" t="s">
        <v>535</v>
      </c>
      <c r="B261" s="218">
        <v>1</v>
      </c>
      <c r="C261" s="220" t="s">
        <v>536</v>
      </c>
      <c r="D261" s="220" t="s">
        <v>56</v>
      </c>
      <c r="E261" s="165">
        <v>10069</v>
      </c>
    </row>
    <row r="262" spans="1:5" x14ac:dyDescent="0.25">
      <c r="A262" s="216" t="s">
        <v>7175</v>
      </c>
      <c r="B262" s="218" t="s">
        <v>48</v>
      </c>
      <c r="C262" s="220" t="s">
        <v>691</v>
      </c>
      <c r="D262" s="220" t="s">
        <v>139</v>
      </c>
      <c r="E262" s="165">
        <v>10006</v>
      </c>
    </row>
    <row r="263" spans="1:5" x14ac:dyDescent="0.25">
      <c r="A263" s="216" t="s">
        <v>625</v>
      </c>
      <c r="B263" s="218" t="s">
        <v>48</v>
      </c>
      <c r="C263" s="220" t="s">
        <v>626</v>
      </c>
      <c r="D263" s="220" t="s">
        <v>56</v>
      </c>
      <c r="E263" s="165">
        <v>10000</v>
      </c>
    </row>
    <row r="264" spans="1:5" x14ac:dyDescent="0.25">
      <c r="A264" s="216" t="s">
        <v>533</v>
      </c>
      <c r="B264" s="218" t="s">
        <v>48</v>
      </c>
      <c r="C264" s="220" t="s">
        <v>534</v>
      </c>
      <c r="D264" s="220" t="s">
        <v>192</v>
      </c>
      <c r="E264" s="165">
        <v>10000</v>
      </c>
    </row>
    <row r="265" spans="1:5" x14ac:dyDescent="0.25">
      <c r="A265" s="216" t="s">
        <v>541</v>
      </c>
      <c r="B265" s="218" t="s">
        <v>48</v>
      </c>
      <c r="C265" s="220" t="s">
        <v>102</v>
      </c>
      <c r="D265" s="220" t="s">
        <v>93</v>
      </c>
      <c r="E265" s="165">
        <v>10000</v>
      </c>
    </row>
    <row r="266" spans="1:5" x14ac:dyDescent="0.25">
      <c r="A266" s="216" t="s">
        <v>506</v>
      </c>
      <c r="B266" s="218">
        <v>1</v>
      </c>
      <c r="C266" s="220" t="s">
        <v>507</v>
      </c>
      <c r="D266" s="220" t="s">
        <v>130</v>
      </c>
      <c r="E266" s="165">
        <v>9953</v>
      </c>
    </row>
    <row r="267" spans="1:5" x14ac:dyDescent="0.25">
      <c r="A267" s="216" t="s">
        <v>508</v>
      </c>
      <c r="B267" s="218">
        <v>1</v>
      </c>
      <c r="C267" s="220" t="s">
        <v>509</v>
      </c>
      <c r="D267" s="220" t="s">
        <v>56</v>
      </c>
      <c r="E267" s="165">
        <v>9953</v>
      </c>
    </row>
    <row r="268" spans="1:5" x14ac:dyDescent="0.25">
      <c r="A268" s="216" t="s">
        <v>728</v>
      </c>
      <c r="B268" s="218" t="s">
        <v>48</v>
      </c>
      <c r="C268" s="220" t="s">
        <v>729</v>
      </c>
      <c r="D268" s="220" t="s">
        <v>188</v>
      </c>
      <c r="E268" s="165">
        <v>9853</v>
      </c>
    </row>
    <row r="269" spans="1:5" x14ac:dyDescent="0.25">
      <c r="A269" s="216" t="s">
        <v>612</v>
      </c>
      <c r="B269" s="218">
        <v>1</v>
      </c>
      <c r="C269" s="220" t="s">
        <v>613</v>
      </c>
      <c r="D269" s="220" t="s">
        <v>139</v>
      </c>
      <c r="E269" s="165">
        <v>9849</v>
      </c>
    </row>
    <row r="270" spans="1:5" x14ac:dyDescent="0.25">
      <c r="A270" s="216" t="s">
        <v>550</v>
      </c>
      <c r="B270" s="218" t="s">
        <v>48</v>
      </c>
      <c r="C270" s="220" t="s">
        <v>466</v>
      </c>
      <c r="D270" s="220" t="s">
        <v>206</v>
      </c>
      <c r="E270" s="165">
        <v>9839</v>
      </c>
    </row>
    <row r="271" spans="1:5" x14ac:dyDescent="0.25">
      <c r="A271" s="216" t="s">
        <v>571</v>
      </c>
      <c r="B271" s="218">
        <v>1</v>
      </c>
      <c r="C271" s="220" t="s">
        <v>572</v>
      </c>
      <c r="D271" s="220" t="s">
        <v>87</v>
      </c>
      <c r="E271" s="165">
        <v>9678</v>
      </c>
    </row>
    <row r="272" spans="1:5" x14ac:dyDescent="0.25">
      <c r="A272" s="216" t="s">
        <v>357</v>
      </c>
      <c r="B272" s="218" t="s">
        <v>48</v>
      </c>
      <c r="C272" s="220" t="s">
        <v>358</v>
      </c>
      <c r="D272" s="220" t="s">
        <v>53</v>
      </c>
      <c r="E272" s="165">
        <v>9591</v>
      </c>
    </row>
    <row r="273" spans="1:5" x14ac:dyDescent="0.25">
      <c r="A273" s="216" t="s">
        <v>526</v>
      </c>
      <c r="B273" s="218" t="s">
        <v>48</v>
      </c>
      <c r="C273" s="220" t="s">
        <v>527</v>
      </c>
      <c r="D273" s="220" t="s">
        <v>69</v>
      </c>
      <c r="E273" s="165">
        <v>9573</v>
      </c>
    </row>
    <row r="274" spans="1:5" x14ac:dyDescent="0.25">
      <c r="A274" s="216" t="s">
        <v>566</v>
      </c>
      <c r="B274" s="218">
        <v>1</v>
      </c>
      <c r="C274" s="220" t="s">
        <v>198</v>
      </c>
      <c r="D274" s="220" t="s">
        <v>63</v>
      </c>
      <c r="E274" s="165">
        <v>9479</v>
      </c>
    </row>
    <row r="275" spans="1:5" x14ac:dyDescent="0.25">
      <c r="A275" s="216" t="s">
        <v>492</v>
      </c>
      <c r="B275" s="218">
        <v>1</v>
      </c>
      <c r="C275" s="220" t="s">
        <v>477</v>
      </c>
      <c r="D275" s="220" t="s">
        <v>56</v>
      </c>
      <c r="E275" s="165">
        <v>9450</v>
      </c>
    </row>
    <row r="276" spans="1:5" x14ac:dyDescent="0.25">
      <c r="A276" s="216" t="s">
        <v>10655</v>
      </c>
      <c r="B276" s="218" t="s">
        <v>48</v>
      </c>
      <c r="C276" s="220" t="s">
        <v>318</v>
      </c>
      <c r="D276" s="220" t="s">
        <v>166</v>
      </c>
      <c r="E276" s="165">
        <v>9403</v>
      </c>
    </row>
    <row r="277" spans="1:5" x14ac:dyDescent="0.25">
      <c r="A277" s="216" t="s">
        <v>642</v>
      </c>
      <c r="B277" s="218" t="s">
        <v>48</v>
      </c>
      <c r="C277" s="220" t="s">
        <v>643</v>
      </c>
      <c r="D277" s="220" t="s">
        <v>166</v>
      </c>
      <c r="E277" s="165">
        <v>9400</v>
      </c>
    </row>
    <row r="278" spans="1:5" x14ac:dyDescent="0.25">
      <c r="A278" s="216" t="s">
        <v>542</v>
      </c>
      <c r="B278" s="218" t="s">
        <v>48</v>
      </c>
      <c r="C278" s="220" t="s">
        <v>543</v>
      </c>
      <c r="D278" s="220" t="s">
        <v>177</v>
      </c>
      <c r="E278" s="165">
        <v>9376</v>
      </c>
    </row>
    <row r="279" spans="1:5" x14ac:dyDescent="0.25">
      <c r="A279" s="216" t="s">
        <v>453</v>
      </c>
      <c r="B279" s="218">
        <v>1</v>
      </c>
      <c r="C279" s="220" t="s">
        <v>454</v>
      </c>
      <c r="D279" s="220" t="s">
        <v>53</v>
      </c>
      <c r="E279" s="165">
        <v>9319</v>
      </c>
    </row>
    <row r="280" spans="1:5" x14ac:dyDescent="0.25">
      <c r="A280" s="216" t="s">
        <v>594</v>
      </c>
      <c r="B280" s="218" t="s">
        <v>48</v>
      </c>
      <c r="C280" s="220" t="s">
        <v>595</v>
      </c>
      <c r="D280" s="220" t="s">
        <v>53</v>
      </c>
      <c r="E280" s="165">
        <v>9300</v>
      </c>
    </row>
    <row r="281" spans="1:5" x14ac:dyDescent="0.25">
      <c r="A281" s="216" t="s">
        <v>555</v>
      </c>
      <c r="B281" s="218" t="s">
        <v>48</v>
      </c>
      <c r="C281" s="220" t="s">
        <v>556</v>
      </c>
      <c r="D281" s="220" t="s">
        <v>222</v>
      </c>
      <c r="E281" s="165">
        <v>9246</v>
      </c>
    </row>
    <row r="282" spans="1:5" x14ac:dyDescent="0.25">
      <c r="A282" s="216" t="s">
        <v>539</v>
      </c>
      <c r="B282" s="218">
        <v>1</v>
      </c>
      <c r="C282" s="220" t="s">
        <v>540</v>
      </c>
      <c r="D282" s="220" t="s">
        <v>523</v>
      </c>
      <c r="E282" s="165">
        <v>8988</v>
      </c>
    </row>
    <row r="283" spans="1:5" x14ac:dyDescent="0.25">
      <c r="A283" s="216" t="s">
        <v>10963</v>
      </c>
      <c r="B283" s="218" t="s">
        <v>48</v>
      </c>
      <c r="C283" s="220" t="s">
        <v>634</v>
      </c>
      <c r="D283" s="220" t="s">
        <v>264</v>
      </c>
      <c r="E283" s="165">
        <v>8945</v>
      </c>
    </row>
    <row r="284" spans="1:5" x14ac:dyDescent="0.25">
      <c r="A284" s="216" t="s">
        <v>588</v>
      </c>
      <c r="B284" s="218">
        <v>1</v>
      </c>
      <c r="C284" s="220" t="s">
        <v>121</v>
      </c>
      <c r="D284" s="220" t="s">
        <v>56</v>
      </c>
      <c r="E284" s="165">
        <v>8928</v>
      </c>
    </row>
    <row r="285" spans="1:5" x14ac:dyDescent="0.25">
      <c r="A285" s="216" t="s">
        <v>546</v>
      </c>
      <c r="B285" s="218" t="s">
        <v>48</v>
      </c>
      <c r="C285" s="220" t="s">
        <v>547</v>
      </c>
      <c r="D285" s="220" t="s">
        <v>75</v>
      </c>
      <c r="E285" s="165">
        <v>8861</v>
      </c>
    </row>
    <row r="286" spans="1:5" x14ac:dyDescent="0.25">
      <c r="A286" s="216" t="s">
        <v>592</v>
      </c>
      <c r="B286" s="218" t="s">
        <v>48</v>
      </c>
      <c r="C286" s="220" t="s">
        <v>593</v>
      </c>
      <c r="D286" s="220" t="s">
        <v>206</v>
      </c>
      <c r="E286" s="165">
        <v>8856</v>
      </c>
    </row>
    <row r="287" spans="1:5" x14ac:dyDescent="0.25">
      <c r="A287" s="216" t="s">
        <v>548</v>
      </c>
      <c r="B287" s="218" t="s">
        <v>48</v>
      </c>
      <c r="C287" s="220" t="s">
        <v>549</v>
      </c>
      <c r="D287" s="220" t="s">
        <v>59</v>
      </c>
      <c r="E287" s="165">
        <v>8823</v>
      </c>
    </row>
    <row r="288" spans="1:5" x14ac:dyDescent="0.25">
      <c r="A288" s="216" t="s">
        <v>551</v>
      </c>
      <c r="B288" s="218">
        <v>1</v>
      </c>
      <c r="C288" s="220" t="s">
        <v>261</v>
      </c>
      <c r="D288" s="220" t="s">
        <v>56</v>
      </c>
      <c r="E288" s="165">
        <v>8809</v>
      </c>
    </row>
    <row r="289" spans="1:5" x14ac:dyDescent="0.25">
      <c r="A289" s="216" t="s">
        <v>504</v>
      </c>
      <c r="B289" s="218">
        <v>1</v>
      </c>
      <c r="C289" s="220" t="s">
        <v>505</v>
      </c>
      <c r="D289" s="220" t="s">
        <v>130</v>
      </c>
      <c r="E289" s="165">
        <v>8806</v>
      </c>
    </row>
    <row r="290" spans="1:5" x14ac:dyDescent="0.25">
      <c r="A290" s="216" t="s">
        <v>834</v>
      </c>
      <c r="B290" s="218" t="s">
        <v>48</v>
      </c>
      <c r="C290" s="220" t="s">
        <v>257</v>
      </c>
      <c r="D290" s="220" t="s">
        <v>108</v>
      </c>
      <c r="E290" s="165">
        <v>8800</v>
      </c>
    </row>
    <row r="291" spans="1:5" x14ac:dyDescent="0.25">
      <c r="A291" s="216" t="s">
        <v>455</v>
      </c>
      <c r="B291" s="218" t="s">
        <v>48</v>
      </c>
      <c r="C291" s="220" t="s">
        <v>456</v>
      </c>
      <c r="D291" s="220" t="s">
        <v>63</v>
      </c>
      <c r="E291" s="165">
        <v>8758</v>
      </c>
    </row>
    <row r="292" spans="1:5" x14ac:dyDescent="0.25">
      <c r="A292" s="216" t="s">
        <v>635</v>
      </c>
      <c r="B292" s="218">
        <v>1</v>
      </c>
      <c r="C292" s="220" t="s">
        <v>636</v>
      </c>
      <c r="D292" s="220" t="s">
        <v>272</v>
      </c>
      <c r="E292" s="165">
        <v>8751</v>
      </c>
    </row>
    <row r="293" spans="1:5" x14ac:dyDescent="0.25">
      <c r="A293" s="216" t="s">
        <v>564</v>
      </c>
      <c r="B293" s="218">
        <v>1</v>
      </c>
      <c r="C293" s="220" t="s">
        <v>565</v>
      </c>
      <c r="D293" s="220" t="s">
        <v>139</v>
      </c>
      <c r="E293" s="165">
        <v>8750</v>
      </c>
    </row>
    <row r="294" spans="1:5" x14ac:dyDescent="0.25">
      <c r="A294" s="216" t="s">
        <v>1597</v>
      </c>
      <c r="B294" s="218" t="s">
        <v>48</v>
      </c>
      <c r="C294" s="220" t="s">
        <v>857</v>
      </c>
      <c r="D294" s="220" t="s">
        <v>378</v>
      </c>
      <c r="E294" s="165">
        <v>8747</v>
      </c>
    </row>
    <row r="295" spans="1:5" x14ac:dyDescent="0.25">
      <c r="A295" s="216" t="s">
        <v>591</v>
      </c>
      <c r="B295" s="218" t="s">
        <v>48</v>
      </c>
      <c r="C295" s="220" t="s">
        <v>257</v>
      </c>
      <c r="D295" s="220" t="s">
        <v>108</v>
      </c>
      <c r="E295" s="165">
        <v>8694</v>
      </c>
    </row>
    <row r="296" spans="1:5" x14ac:dyDescent="0.25">
      <c r="A296" s="216" t="s">
        <v>561</v>
      </c>
      <c r="B296" s="218" t="s">
        <v>48</v>
      </c>
      <c r="C296" s="220" t="s">
        <v>562</v>
      </c>
      <c r="D296" s="220" t="s">
        <v>59</v>
      </c>
      <c r="E296" s="165">
        <v>8683</v>
      </c>
    </row>
    <row r="297" spans="1:5" x14ac:dyDescent="0.25">
      <c r="A297" s="216" t="s">
        <v>559</v>
      </c>
      <c r="B297" s="218">
        <v>1</v>
      </c>
      <c r="C297" s="220" t="s">
        <v>560</v>
      </c>
      <c r="D297" s="220" t="s">
        <v>56</v>
      </c>
      <c r="E297" s="165">
        <v>8673</v>
      </c>
    </row>
    <row r="298" spans="1:5" x14ac:dyDescent="0.25">
      <c r="A298" s="216" t="s">
        <v>583</v>
      </c>
      <c r="B298" s="218" t="s">
        <v>48</v>
      </c>
      <c r="C298" s="220" t="s">
        <v>584</v>
      </c>
      <c r="D298" s="220" t="s">
        <v>585</v>
      </c>
      <c r="E298" s="165">
        <v>8663</v>
      </c>
    </row>
    <row r="299" spans="1:5" x14ac:dyDescent="0.25">
      <c r="A299" s="216" t="s">
        <v>769</v>
      </c>
      <c r="B299" s="218" t="s">
        <v>48</v>
      </c>
      <c r="C299" s="220" t="s">
        <v>86</v>
      </c>
      <c r="D299" s="220" t="s">
        <v>78</v>
      </c>
      <c r="E299" s="165">
        <v>8611</v>
      </c>
    </row>
    <row r="300" spans="1:5" x14ac:dyDescent="0.25">
      <c r="A300" s="216" t="s">
        <v>515</v>
      </c>
      <c r="B300" s="218">
        <v>1</v>
      </c>
      <c r="C300" s="220" t="s">
        <v>516</v>
      </c>
      <c r="D300" s="220" t="s">
        <v>517</v>
      </c>
      <c r="E300" s="165">
        <v>8591</v>
      </c>
    </row>
    <row r="301" spans="1:5" x14ac:dyDescent="0.25">
      <c r="A301" s="216" t="s">
        <v>633</v>
      </c>
      <c r="B301" s="218" t="s">
        <v>48</v>
      </c>
      <c r="C301" s="220" t="s">
        <v>86</v>
      </c>
      <c r="D301" s="220" t="s">
        <v>78</v>
      </c>
      <c r="E301" s="165">
        <v>8560</v>
      </c>
    </row>
    <row r="302" spans="1:5" x14ac:dyDescent="0.25">
      <c r="A302" s="216" t="s">
        <v>787</v>
      </c>
      <c r="B302" s="218" t="s">
        <v>48</v>
      </c>
      <c r="C302" s="220" t="s">
        <v>788</v>
      </c>
      <c r="D302" s="220" t="s">
        <v>69</v>
      </c>
      <c r="E302" s="165">
        <v>8500</v>
      </c>
    </row>
    <row r="303" spans="1:5" x14ac:dyDescent="0.25">
      <c r="A303" s="216" t="s">
        <v>690</v>
      </c>
      <c r="B303" s="218">
        <v>1</v>
      </c>
      <c r="C303" s="220" t="s">
        <v>691</v>
      </c>
      <c r="D303" s="220" t="s">
        <v>139</v>
      </c>
      <c r="E303" s="165">
        <v>8480</v>
      </c>
    </row>
    <row r="304" spans="1:5" x14ac:dyDescent="0.25">
      <c r="A304" s="216" t="s">
        <v>600</v>
      </c>
      <c r="B304" s="218" t="s">
        <v>48</v>
      </c>
      <c r="C304" s="220" t="s">
        <v>141</v>
      </c>
      <c r="D304" s="220" t="s">
        <v>142</v>
      </c>
      <c r="E304" s="165">
        <v>8446</v>
      </c>
    </row>
    <row r="305" spans="1:5" x14ac:dyDescent="0.25">
      <c r="A305" s="216" t="s">
        <v>349</v>
      </c>
      <c r="B305" s="218" t="s">
        <v>48</v>
      </c>
      <c r="C305" s="220" t="s">
        <v>350</v>
      </c>
      <c r="D305" s="220" t="s">
        <v>69</v>
      </c>
      <c r="E305" s="165">
        <v>8342</v>
      </c>
    </row>
    <row r="306" spans="1:5" x14ac:dyDescent="0.25">
      <c r="A306" s="216" t="s">
        <v>606</v>
      </c>
      <c r="B306" s="218" t="s">
        <v>48</v>
      </c>
      <c r="C306" s="220" t="s">
        <v>607</v>
      </c>
      <c r="D306" s="220" t="s">
        <v>69</v>
      </c>
      <c r="E306" s="165">
        <v>8335</v>
      </c>
    </row>
    <row r="307" spans="1:5" x14ac:dyDescent="0.25">
      <c r="A307" s="216" t="s">
        <v>610</v>
      </c>
      <c r="B307" s="218">
        <v>1</v>
      </c>
      <c r="C307" s="220" t="s">
        <v>611</v>
      </c>
      <c r="D307" s="220" t="s">
        <v>63</v>
      </c>
      <c r="E307" s="165">
        <v>8301</v>
      </c>
    </row>
    <row r="308" spans="1:5" x14ac:dyDescent="0.25">
      <c r="A308" s="216" t="s">
        <v>573</v>
      </c>
      <c r="B308" s="218">
        <v>1</v>
      </c>
      <c r="C308" s="220" t="s">
        <v>574</v>
      </c>
      <c r="D308" s="220" t="s">
        <v>575</v>
      </c>
      <c r="E308" s="165">
        <v>8282</v>
      </c>
    </row>
    <row r="309" spans="1:5" x14ac:dyDescent="0.25">
      <c r="A309" s="216" t="s">
        <v>675</v>
      </c>
      <c r="B309" s="218" t="s">
        <v>48</v>
      </c>
      <c r="C309" s="220" t="s">
        <v>154</v>
      </c>
      <c r="D309" s="220" t="s">
        <v>56</v>
      </c>
      <c r="E309" s="165">
        <v>8230</v>
      </c>
    </row>
    <row r="310" spans="1:5" x14ac:dyDescent="0.25">
      <c r="A310" s="216" t="s">
        <v>10964</v>
      </c>
      <c r="B310" s="218" t="s">
        <v>48</v>
      </c>
      <c r="C310" s="220" t="s">
        <v>92</v>
      </c>
      <c r="D310" s="220" t="s">
        <v>93</v>
      </c>
      <c r="E310" s="165">
        <v>8141</v>
      </c>
    </row>
    <row r="311" spans="1:5" x14ac:dyDescent="0.25">
      <c r="A311" s="216" t="s">
        <v>601</v>
      </c>
      <c r="B311" s="218" t="s">
        <v>48</v>
      </c>
      <c r="C311" s="220" t="s">
        <v>602</v>
      </c>
      <c r="D311" s="220" t="s">
        <v>108</v>
      </c>
      <c r="E311" s="165">
        <v>8120</v>
      </c>
    </row>
    <row r="312" spans="1:5" x14ac:dyDescent="0.25">
      <c r="A312" s="216" t="s">
        <v>616</v>
      </c>
      <c r="B312" s="218">
        <v>1</v>
      </c>
      <c r="C312" s="220" t="s">
        <v>617</v>
      </c>
      <c r="D312" s="220" t="s">
        <v>272</v>
      </c>
      <c r="E312" s="165">
        <v>8095</v>
      </c>
    </row>
    <row r="313" spans="1:5" x14ac:dyDescent="0.25">
      <c r="A313" s="216" t="s">
        <v>614</v>
      </c>
      <c r="B313" s="218">
        <v>1</v>
      </c>
      <c r="C313" s="220" t="s">
        <v>615</v>
      </c>
      <c r="D313" s="220" t="s">
        <v>63</v>
      </c>
      <c r="E313" s="165">
        <v>8029</v>
      </c>
    </row>
    <row r="314" spans="1:5" x14ac:dyDescent="0.25">
      <c r="A314" s="216" t="s">
        <v>621</v>
      </c>
      <c r="B314" s="218" t="s">
        <v>48</v>
      </c>
      <c r="C314" s="220" t="s">
        <v>622</v>
      </c>
      <c r="D314" s="220" t="s">
        <v>124</v>
      </c>
      <c r="E314" s="165">
        <v>8000</v>
      </c>
    </row>
    <row r="315" spans="1:5" x14ac:dyDescent="0.25">
      <c r="A315" s="216" t="s">
        <v>459</v>
      </c>
      <c r="B315" s="218" t="s">
        <v>48</v>
      </c>
      <c r="C315" s="220" t="s">
        <v>150</v>
      </c>
      <c r="D315" s="220" t="s">
        <v>105</v>
      </c>
      <c r="E315" s="165">
        <v>8000</v>
      </c>
    </row>
    <row r="316" spans="1:5" x14ac:dyDescent="0.25">
      <c r="A316" s="216" t="s">
        <v>10757</v>
      </c>
      <c r="B316" s="218" t="s">
        <v>48</v>
      </c>
      <c r="C316" s="220" t="s">
        <v>138</v>
      </c>
      <c r="D316" s="220" t="s">
        <v>139</v>
      </c>
      <c r="E316" s="165">
        <v>8000</v>
      </c>
    </row>
    <row r="317" spans="1:5" x14ac:dyDescent="0.25">
      <c r="A317" s="216" t="s">
        <v>10828</v>
      </c>
      <c r="B317" s="218" t="s">
        <v>48</v>
      </c>
      <c r="C317" s="220" t="s">
        <v>1614</v>
      </c>
      <c r="D317" s="220" t="s">
        <v>93</v>
      </c>
      <c r="E317" s="165">
        <v>8000</v>
      </c>
    </row>
    <row r="318" spans="1:5" x14ac:dyDescent="0.25">
      <c r="A318" s="216" t="s">
        <v>603</v>
      </c>
      <c r="B318" s="218" t="s">
        <v>48</v>
      </c>
      <c r="C318" s="220" t="s">
        <v>421</v>
      </c>
      <c r="D318" s="220" t="s">
        <v>201</v>
      </c>
      <c r="E318" s="165">
        <v>7842</v>
      </c>
    </row>
    <row r="319" spans="1:5" x14ac:dyDescent="0.25">
      <c r="A319" s="216" t="s">
        <v>589</v>
      </c>
      <c r="B319" s="218" t="s">
        <v>48</v>
      </c>
      <c r="C319" s="220" t="s">
        <v>390</v>
      </c>
      <c r="D319" s="220" t="s">
        <v>75</v>
      </c>
      <c r="E319" s="165">
        <v>7820</v>
      </c>
    </row>
    <row r="320" spans="1:5" x14ac:dyDescent="0.25">
      <c r="A320" s="216" t="s">
        <v>586</v>
      </c>
      <c r="B320" s="218" t="s">
        <v>48</v>
      </c>
      <c r="C320" s="220" t="s">
        <v>587</v>
      </c>
      <c r="D320" s="220" t="s">
        <v>50</v>
      </c>
      <c r="E320" s="165">
        <v>7799</v>
      </c>
    </row>
    <row r="321" spans="1:5" x14ac:dyDescent="0.25">
      <c r="A321" s="216" t="s">
        <v>644</v>
      </c>
      <c r="B321" s="218" t="s">
        <v>48</v>
      </c>
      <c r="C321" s="220" t="s">
        <v>645</v>
      </c>
      <c r="D321" s="220" t="s">
        <v>172</v>
      </c>
      <c r="E321" s="165">
        <v>7763</v>
      </c>
    </row>
    <row r="322" spans="1:5" x14ac:dyDescent="0.25">
      <c r="A322" s="216" t="s">
        <v>608</v>
      </c>
      <c r="B322" s="218" t="s">
        <v>48</v>
      </c>
      <c r="C322" s="220" t="s">
        <v>609</v>
      </c>
      <c r="D322" s="220" t="s">
        <v>277</v>
      </c>
      <c r="E322" s="165">
        <v>7735</v>
      </c>
    </row>
    <row r="323" spans="1:5" x14ac:dyDescent="0.25">
      <c r="A323" s="216" t="s">
        <v>604</v>
      </c>
      <c r="B323" s="218" t="s">
        <v>48</v>
      </c>
      <c r="C323" s="220" t="s">
        <v>605</v>
      </c>
      <c r="D323" s="220" t="s">
        <v>585</v>
      </c>
      <c r="E323" s="165">
        <v>7727</v>
      </c>
    </row>
    <row r="324" spans="1:5" x14ac:dyDescent="0.25">
      <c r="A324" s="216" t="s">
        <v>637</v>
      </c>
      <c r="B324" s="218" t="s">
        <v>48</v>
      </c>
      <c r="C324" s="220" t="s">
        <v>638</v>
      </c>
      <c r="D324" s="220" t="s">
        <v>87</v>
      </c>
      <c r="E324" s="165">
        <v>7671</v>
      </c>
    </row>
    <row r="325" spans="1:5" x14ac:dyDescent="0.25">
      <c r="A325" s="216" t="s">
        <v>678</v>
      </c>
      <c r="B325" s="218" t="s">
        <v>48</v>
      </c>
      <c r="C325" s="220" t="s">
        <v>679</v>
      </c>
      <c r="D325" s="220" t="s">
        <v>206</v>
      </c>
      <c r="E325" s="165">
        <v>7659</v>
      </c>
    </row>
    <row r="326" spans="1:5" x14ac:dyDescent="0.25">
      <c r="A326" s="216" t="s">
        <v>762</v>
      </c>
      <c r="B326" s="218" t="s">
        <v>48</v>
      </c>
      <c r="C326" s="220" t="s">
        <v>283</v>
      </c>
      <c r="D326" s="220" t="s">
        <v>59</v>
      </c>
      <c r="E326" s="165">
        <v>7631</v>
      </c>
    </row>
    <row r="327" spans="1:5" x14ac:dyDescent="0.25">
      <c r="A327" s="216" t="s">
        <v>658</v>
      </c>
      <c r="B327" s="218" t="s">
        <v>48</v>
      </c>
      <c r="C327" s="220" t="s">
        <v>92</v>
      </c>
      <c r="D327" s="220" t="s">
        <v>93</v>
      </c>
      <c r="E327" s="165">
        <v>7600</v>
      </c>
    </row>
    <row r="328" spans="1:5" x14ac:dyDescent="0.25">
      <c r="A328" s="216" t="s">
        <v>563</v>
      </c>
      <c r="B328" s="218" t="s">
        <v>48</v>
      </c>
      <c r="C328" s="220" t="s">
        <v>285</v>
      </c>
      <c r="D328" s="220" t="s">
        <v>59</v>
      </c>
      <c r="E328" s="165">
        <v>7592</v>
      </c>
    </row>
    <row r="329" spans="1:5" x14ac:dyDescent="0.25">
      <c r="A329" s="216" t="s">
        <v>646</v>
      </c>
      <c r="B329" s="218" t="s">
        <v>48</v>
      </c>
      <c r="C329" s="220" t="s">
        <v>647</v>
      </c>
      <c r="D329" s="220" t="s">
        <v>236</v>
      </c>
      <c r="E329" s="165">
        <v>7500</v>
      </c>
    </row>
    <row r="330" spans="1:5" x14ac:dyDescent="0.25">
      <c r="A330" s="216" t="s">
        <v>596</v>
      </c>
      <c r="B330" s="218" t="s">
        <v>48</v>
      </c>
      <c r="C330" s="220" t="s">
        <v>597</v>
      </c>
      <c r="D330" s="220" t="s">
        <v>56</v>
      </c>
      <c r="E330" s="165">
        <v>7459</v>
      </c>
    </row>
    <row r="331" spans="1:5" x14ac:dyDescent="0.25">
      <c r="A331" s="216" t="s">
        <v>618</v>
      </c>
      <c r="B331" s="218">
        <v>1</v>
      </c>
      <c r="C331" s="220" t="s">
        <v>619</v>
      </c>
      <c r="D331" s="220" t="s">
        <v>188</v>
      </c>
      <c r="E331" s="165">
        <v>7440</v>
      </c>
    </row>
    <row r="332" spans="1:5" x14ac:dyDescent="0.25">
      <c r="A332" s="216" t="s">
        <v>708</v>
      </c>
      <c r="B332" s="218" t="s">
        <v>48</v>
      </c>
      <c r="C332" s="220" t="s">
        <v>709</v>
      </c>
      <c r="D332" s="220" t="s">
        <v>710</v>
      </c>
      <c r="E332" s="165">
        <v>7437</v>
      </c>
    </row>
    <row r="333" spans="1:5" x14ac:dyDescent="0.25">
      <c r="A333" s="216" t="s">
        <v>10686</v>
      </c>
      <c r="B333" s="218">
        <v>1</v>
      </c>
      <c r="C333" s="220" t="s">
        <v>689</v>
      </c>
      <c r="D333" s="220" t="s">
        <v>124</v>
      </c>
      <c r="E333" s="165">
        <v>7431</v>
      </c>
    </row>
    <row r="334" spans="1:5" x14ac:dyDescent="0.25">
      <c r="A334" s="216" t="s">
        <v>651</v>
      </c>
      <c r="B334" s="218">
        <v>1</v>
      </c>
      <c r="C334" s="220" t="s">
        <v>652</v>
      </c>
      <c r="D334" s="220" t="s">
        <v>188</v>
      </c>
      <c r="E334" s="165">
        <v>7429</v>
      </c>
    </row>
    <row r="335" spans="1:5" x14ac:dyDescent="0.25">
      <c r="A335" s="216" t="s">
        <v>655</v>
      </c>
      <c r="B335" s="218" t="s">
        <v>48</v>
      </c>
      <c r="C335" s="220" t="s">
        <v>102</v>
      </c>
      <c r="D335" s="220" t="s">
        <v>93</v>
      </c>
      <c r="E335" s="165">
        <v>7403</v>
      </c>
    </row>
    <row r="336" spans="1:5" x14ac:dyDescent="0.25">
      <c r="A336" s="216" t="s">
        <v>623</v>
      </c>
      <c r="B336" s="218" t="s">
        <v>48</v>
      </c>
      <c r="C336" s="220" t="s">
        <v>624</v>
      </c>
      <c r="D336" s="220" t="s">
        <v>188</v>
      </c>
      <c r="E336" s="165">
        <v>7402</v>
      </c>
    </row>
    <row r="337" spans="1:5" x14ac:dyDescent="0.25">
      <c r="A337" s="216" t="s">
        <v>590</v>
      </c>
      <c r="B337" s="218" t="s">
        <v>48</v>
      </c>
      <c r="C337" s="220" t="s">
        <v>10942</v>
      </c>
      <c r="D337" s="220" t="s">
        <v>93</v>
      </c>
      <c r="E337" s="165">
        <v>7361</v>
      </c>
    </row>
    <row r="338" spans="1:5" x14ac:dyDescent="0.25">
      <c r="A338" s="216" t="s">
        <v>620</v>
      </c>
      <c r="B338" s="218" t="s">
        <v>48</v>
      </c>
      <c r="C338" s="220" t="s">
        <v>283</v>
      </c>
      <c r="D338" s="220" t="s">
        <v>59</v>
      </c>
      <c r="E338" s="165">
        <v>7300</v>
      </c>
    </row>
    <row r="339" spans="1:5" x14ac:dyDescent="0.25">
      <c r="A339" s="216" t="s">
        <v>741</v>
      </c>
      <c r="B339" s="218" t="s">
        <v>48</v>
      </c>
      <c r="C339" s="220" t="s">
        <v>251</v>
      </c>
      <c r="D339" s="220" t="s">
        <v>98</v>
      </c>
      <c r="E339" s="165">
        <v>7275</v>
      </c>
    </row>
    <row r="340" spans="1:5" x14ac:dyDescent="0.25">
      <c r="A340" s="216" t="s">
        <v>662</v>
      </c>
      <c r="B340" s="218" t="s">
        <v>48</v>
      </c>
      <c r="C340" s="220" t="s">
        <v>663</v>
      </c>
      <c r="D340" s="220" t="s">
        <v>118</v>
      </c>
      <c r="E340" s="165">
        <v>7258</v>
      </c>
    </row>
    <row r="341" spans="1:5" x14ac:dyDescent="0.25">
      <c r="A341" s="216" t="s">
        <v>553</v>
      </c>
      <c r="B341" s="218">
        <v>1</v>
      </c>
      <c r="C341" s="220" t="s">
        <v>554</v>
      </c>
      <c r="D341" s="220" t="s">
        <v>50</v>
      </c>
      <c r="E341" s="165">
        <v>7215</v>
      </c>
    </row>
    <row r="342" spans="1:5" x14ac:dyDescent="0.25">
      <c r="A342" s="216" t="s">
        <v>866</v>
      </c>
      <c r="B342" s="218" t="s">
        <v>48</v>
      </c>
      <c r="C342" s="220" t="s">
        <v>68</v>
      </c>
      <c r="D342" s="220" t="s">
        <v>63</v>
      </c>
      <c r="E342" s="165">
        <v>7200</v>
      </c>
    </row>
    <row r="343" spans="1:5" x14ac:dyDescent="0.25">
      <c r="A343" s="216" t="s">
        <v>726</v>
      </c>
      <c r="B343" s="218" t="s">
        <v>48</v>
      </c>
      <c r="C343" s="220" t="s">
        <v>727</v>
      </c>
      <c r="D343" s="220" t="s">
        <v>66</v>
      </c>
      <c r="E343" s="165">
        <v>7182</v>
      </c>
    </row>
    <row r="344" spans="1:5" x14ac:dyDescent="0.25">
      <c r="A344" s="216" t="s">
        <v>744</v>
      </c>
      <c r="B344" s="218" t="s">
        <v>48</v>
      </c>
      <c r="C344" s="220" t="s">
        <v>92</v>
      </c>
      <c r="D344" s="220" t="s">
        <v>93</v>
      </c>
      <c r="E344" s="165">
        <v>7174</v>
      </c>
    </row>
    <row r="345" spans="1:5" x14ac:dyDescent="0.25">
      <c r="A345" s="216" t="s">
        <v>686</v>
      </c>
      <c r="B345" s="218">
        <v>1</v>
      </c>
      <c r="C345" s="220" t="s">
        <v>687</v>
      </c>
      <c r="D345" s="220" t="s">
        <v>63</v>
      </c>
      <c r="E345" s="165">
        <v>7143</v>
      </c>
    </row>
    <row r="346" spans="1:5" x14ac:dyDescent="0.25">
      <c r="A346" s="216" t="s">
        <v>576</v>
      </c>
      <c r="B346" s="218" t="s">
        <v>48</v>
      </c>
      <c r="C346" s="220" t="s">
        <v>577</v>
      </c>
      <c r="D346" s="220" t="s">
        <v>72</v>
      </c>
      <c r="E346" s="165">
        <v>7113</v>
      </c>
    </row>
    <row r="347" spans="1:5" x14ac:dyDescent="0.25">
      <c r="A347" s="216" t="s">
        <v>649</v>
      </c>
      <c r="B347" s="218">
        <v>1</v>
      </c>
      <c r="C347" s="220" t="s">
        <v>650</v>
      </c>
      <c r="D347" s="220" t="s">
        <v>272</v>
      </c>
      <c r="E347" s="165">
        <v>7081</v>
      </c>
    </row>
    <row r="348" spans="1:5" x14ac:dyDescent="0.25">
      <c r="A348" s="216" t="s">
        <v>711</v>
      </c>
      <c r="B348" s="218" t="s">
        <v>48</v>
      </c>
      <c r="C348" s="220" t="s">
        <v>396</v>
      </c>
      <c r="D348" s="220" t="s">
        <v>188</v>
      </c>
      <c r="E348" s="165">
        <v>7062</v>
      </c>
    </row>
    <row r="349" spans="1:5" x14ac:dyDescent="0.25">
      <c r="A349" s="216" t="s">
        <v>10965</v>
      </c>
      <c r="B349" s="218">
        <v>1</v>
      </c>
      <c r="C349" s="220" t="s">
        <v>939</v>
      </c>
      <c r="D349" s="220" t="s">
        <v>82</v>
      </c>
      <c r="E349" s="165">
        <v>7052</v>
      </c>
    </row>
    <row r="350" spans="1:5" x14ac:dyDescent="0.25">
      <c r="A350" s="216" t="s">
        <v>567</v>
      </c>
      <c r="B350" s="218">
        <v>1</v>
      </c>
      <c r="C350" s="220" t="s">
        <v>568</v>
      </c>
      <c r="D350" s="220" t="s">
        <v>50</v>
      </c>
      <c r="E350" s="165">
        <v>7030</v>
      </c>
    </row>
    <row r="351" spans="1:5" x14ac:dyDescent="0.25">
      <c r="A351" s="216" t="s">
        <v>489</v>
      </c>
      <c r="B351" s="218" t="s">
        <v>48</v>
      </c>
      <c r="C351" s="220" t="s">
        <v>490</v>
      </c>
      <c r="D351" s="220" t="s">
        <v>66</v>
      </c>
      <c r="E351" s="165">
        <v>7000</v>
      </c>
    </row>
    <row r="352" spans="1:5" x14ac:dyDescent="0.25">
      <c r="A352" s="216" t="s">
        <v>653</v>
      </c>
      <c r="B352" s="218" t="s">
        <v>48</v>
      </c>
      <c r="C352" s="220" t="s">
        <v>654</v>
      </c>
      <c r="D352" s="220" t="s">
        <v>78</v>
      </c>
      <c r="E352" s="165">
        <v>7000</v>
      </c>
    </row>
    <row r="353" spans="1:5" x14ac:dyDescent="0.25">
      <c r="A353" s="216" t="s">
        <v>630</v>
      </c>
      <c r="B353" s="218">
        <v>1</v>
      </c>
      <c r="C353" s="220" t="s">
        <v>631</v>
      </c>
      <c r="D353" s="220" t="s">
        <v>127</v>
      </c>
      <c r="E353" s="165">
        <v>6981</v>
      </c>
    </row>
    <row r="354" spans="1:5" x14ac:dyDescent="0.25">
      <c r="A354" s="216" t="s">
        <v>676</v>
      </c>
      <c r="B354" s="218" t="s">
        <v>48</v>
      </c>
      <c r="C354" s="220" t="s">
        <v>68</v>
      </c>
      <c r="D354" s="220" t="s">
        <v>63</v>
      </c>
      <c r="E354" s="165">
        <v>6920</v>
      </c>
    </row>
    <row r="355" spans="1:5" x14ac:dyDescent="0.25">
      <c r="A355" s="216" t="s">
        <v>722</v>
      </c>
      <c r="B355" s="218" t="s">
        <v>48</v>
      </c>
      <c r="C355" s="220" t="s">
        <v>723</v>
      </c>
      <c r="D355" s="220" t="s">
        <v>710</v>
      </c>
      <c r="E355" s="165">
        <v>6902</v>
      </c>
    </row>
    <row r="356" spans="1:5" x14ac:dyDescent="0.25">
      <c r="A356" s="216" t="s">
        <v>639</v>
      </c>
      <c r="B356" s="218" t="s">
        <v>48</v>
      </c>
      <c r="C356" s="220" t="s">
        <v>640</v>
      </c>
      <c r="D356" s="220" t="s">
        <v>69</v>
      </c>
      <c r="E356" s="165">
        <v>6900</v>
      </c>
    </row>
    <row r="357" spans="1:5" x14ac:dyDescent="0.25">
      <c r="A357" s="216" t="s">
        <v>717</v>
      </c>
      <c r="B357" s="218" t="s">
        <v>48</v>
      </c>
      <c r="C357" s="220" t="s">
        <v>90</v>
      </c>
      <c r="D357" s="220" t="s">
        <v>441</v>
      </c>
      <c r="E357" s="165">
        <v>6870</v>
      </c>
    </row>
    <row r="358" spans="1:5" x14ac:dyDescent="0.25">
      <c r="A358" s="216" t="s">
        <v>695</v>
      </c>
      <c r="B358" s="218" t="s">
        <v>48</v>
      </c>
      <c r="C358" s="220" t="s">
        <v>318</v>
      </c>
      <c r="D358" s="220" t="s">
        <v>172</v>
      </c>
      <c r="E358" s="165">
        <v>6770</v>
      </c>
    </row>
    <row r="359" spans="1:5" x14ac:dyDescent="0.25">
      <c r="A359" s="216" t="s">
        <v>707</v>
      </c>
      <c r="B359" s="218">
        <v>1</v>
      </c>
      <c r="C359" s="220" t="s">
        <v>65</v>
      </c>
      <c r="D359" s="220" t="s">
        <v>66</v>
      </c>
      <c r="E359" s="165">
        <v>6737</v>
      </c>
    </row>
    <row r="360" spans="1:5" x14ac:dyDescent="0.25">
      <c r="A360" s="216" t="s">
        <v>648</v>
      </c>
      <c r="B360" s="218">
        <v>1</v>
      </c>
      <c r="C360" s="220" t="s">
        <v>102</v>
      </c>
      <c r="D360" s="220" t="s">
        <v>93</v>
      </c>
      <c r="E360" s="165">
        <v>6724</v>
      </c>
    </row>
    <row r="361" spans="1:5" x14ac:dyDescent="0.25">
      <c r="A361" s="216" t="s">
        <v>632</v>
      </c>
      <c r="B361" s="218" t="s">
        <v>48</v>
      </c>
      <c r="C361" s="220" t="s">
        <v>605</v>
      </c>
      <c r="D361" s="220" t="s">
        <v>585</v>
      </c>
      <c r="E361" s="165">
        <v>6704</v>
      </c>
    </row>
    <row r="362" spans="1:5" x14ac:dyDescent="0.25">
      <c r="A362" s="216" t="s">
        <v>671</v>
      </c>
      <c r="B362" s="218">
        <v>1</v>
      </c>
      <c r="C362" s="220" t="s">
        <v>121</v>
      </c>
      <c r="D362" s="220" t="s">
        <v>56</v>
      </c>
      <c r="E362" s="165">
        <v>6669</v>
      </c>
    </row>
    <row r="363" spans="1:5" x14ac:dyDescent="0.25">
      <c r="A363" s="216" t="s">
        <v>664</v>
      </c>
      <c r="B363" s="218" t="s">
        <v>48</v>
      </c>
      <c r="C363" s="220" t="s">
        <v>665</v>
      </c>
      <c r="D363" s="220" t="s">
        <v>188</v>
      </c>
      <c r="E363" s="165">
        <v>6664</v>
      </c>
    </row>
    <row r="364" spans="1:5" x14ac:dyDescent="0.25">
      <c r="A364" s="216" t="s">
        <v>712</v>
      </c>
      <c r="B364" s="218">
        <v>1</v>
      </c>
      <c r="C364" s="220" t="s">
        <v>713</v>
      </c>
      <c r="D364" s="220" t="s">
        <v>142</v>
      </c>
      <c r="E364" s="165">
        <v>6659</v>
      </c>
    </row>
    <row r="365" spans="1:5" x14ac:dyDescent="0.25">
      <c r="A365" s="216" t="s">
        <v>683</v>
      </c>
      <c r="B365" s="218" t="s">
        <v>48</v>
      </c>
      <c r="C365" s="220" t="s">
        <v>684</v>
      </c>
      <c r="D365" s="220" t="s">
        <v>272</v>
      </c>
      <c r="E365" s="165">
        <v>6623</v>
      </c>
    </row>
    <row r="366" spans="1:5" x14ac:dyDescent="0.25">
      <c r="A366" s="216" t="s">
        <v>692</v>
      </c>
      <c r="B366" s="218">
        <v>1</v>
      </c>
      <c r="C366" s="220" t="s">
        <v>179</v>
      </c>
      <c r="D366" s="220" t="s">
        <v>66</v>
      </c>
      <c r="E366" s="165">
        <v>6610</v>
      </c>
    </row>
    <row r="367" spans="1:5" x14ac:dyDescent="0.25">
      <c r="A367" s="216" t="s">
        <v>714</v>
      </c>
      <c r="B367" s="218">
        <v>1</v>
      </c>
      <c r="C367" s="220" t="s">
        <v>715</v>
      </c>
      <c r="D367" s="220" t="s">
        <v>188</v>
      </c>
      <c r="E367" s="165">
        <v>6598</v>
      </c>
    </row>
    <row r="368" spans="1:5" x14ac:dyDescent="0.25">
      <c r="A368" s="216" t="s">
        <v>706</v>
      </c>
      <c r="B368" s="218" t="s">
        <v>48</v>
      </c>
      <c r="C368" s="220" t="s">
        <v>257</v>
      </c>
      <c r="D368" s="220" t="s">
        <v>108</v>
      </c>
      <c r="E368" s="165">
        <v>6594</v>
      </c>
    </row>
    <row r="369" spans="1:5" x14ac:dyDescent="0.25">
      <c r="A369" s="216" t="s">
        <v>1464</v>
      </c>
      <c r="B369" s="218">
        <v>1</v>
      </c>
      <c r="C369" s="220" t="s">
        <v>289</v>
      </c>
      <c r="D369" s="220" t="s">
        <v>69</v>
      </c>
      <c r="E369" s="165">
        <v>6564</v>
      </c>
    </row>
    <row r="370" spans="1:5" x14ac:dyDescent="0.25">
      <c r="A370" s="216" t="s">
        <v>948</v>
      </c>
      <c r="B370" s="218" t="s">
        <v>48</v>
      </c>
      <c r="C370" s="220" t="s">
        <v>1323</v>
      </c>
      <c r="D370" s="220" t="s">
        <v>75</v>
      </c>
      <c r="E370" s="165">
        <v>6501</v>
      </c>
    </row>
    <row r="371" spans="1:5" x14ac:dyDescent="0.25">
      <c r="A371" s="216" t="s">
        <v>410</v>
      </c>
      <c r="B371" s="218" t="s">
        <v>48</v>
      </c>
      <c r="C371" s="220" t="s">
        <v>411</v>
      </c>
      <c r="D371" s="220" t="s">
        <v>56</v>
      </c>
      <c r="E371" s="165">
        <v>6500</v>
      </c>
    </row>
    <row r="372" spans="1:5" x14ac:dyDescent="0.25">
      <c r="A372" s="216" t="s">
        <v>820</v>
      </c>
      <c r="B372" s="218" t="s">
        <v>48</v>
      </c>
      <c r="C372" s="220" t="s">
        <v>483</v>
      </c>
      <c r="D372" s="220" t="s">
        <v>63</v>
      </c>
      <c r="E372" s="165">
        <v>6500</v>
      </c>
    </row>
    <row r="373" spans="1:5" x14ac:dyDescent="0.25">
      <c r="A373" s="216" t="s">
        <v>512</v>
      </c>
      <c r="B373" s="218" t="s">
        <v>48</v>
      </c>
      <c r="C373" s="220" t="s">
        <v>513</v>
      </c>
      <c r="D373" s="220" t="s">
        <v>75</v>
      </c>
      <c r="E373" s="165">
        <v>6491</v>
      </c>
    </row>
    <row r="374" spans="1:5" x14ac:dyDescent="0.25">
      <c r="A374" s="216" t="s">
        <v>1202</v>
      </c>
      <c r="B374" s="218">
        <v>1</v>
      </c>
      <c r="C374" s="220" t="s">
        <v>1203</v>
      </c>
      <c r="D374" s="220" t="s">
        <v>50</v>
      </c>
      <c r="E374" s="165">
        <v>6488</v>
      </c>
    </row>
    <row r="375" spans="1:5" x14ac:dyDescent="0.25">
      <c r="A375" s="216" t="s">
        <v>826</v>
      </c>
      <c r="B375" s="218" t="s">
        <v>48</v>
      </c>
      <c r="C375" s="220" t="s">
        <v>827</v>
      </c>
      <c r="D375" s="220" t="s">
        <v>59</v>
      </c>
      <c r="E375" s="165">
        <v>6422</v>
      </c>
    </row>
    <row r="376" spans="1:5" x14ac:dyDescent="0.25">
      <c r="A376" s="216" t="s">
        <v>641</v>
      </c>
      <c r="B376" s="218">
        <v>1</v>
      </c>
      <c r="C376" s="220" t="s">
        <v>347</v>
      </c>
      <c r="D376" s="220" t="s">
        <v>348</v>
      </c>
      <c r="E376" s="165">
        <v>6404</v>
      </c>
    </row>
    <row r="377" spans="1:5" x14ac:dyDescent="0.25">
      <c r="A377" s="216" t="s">
        <v>660</v>
      </c>
      <c r="B377" s="218" t="s">
        <v>48</v>
      </c>
      <c r="C377" s="220" t="s">
        <v>238</v>
      </c>
      <c r="D377" s="220" t="s">
        <v>93</v>
      </c>
      <c r="E377" s="165">
        <v>6367</v>
      </c>
    </row>
    <row r="378" spans="1:5" x14ac:dyDescent="0.25">
      <c r="A378" s="216" t="s">
        <v>552</v>
      </c>
      <c r="B378" s="218">
        <v>1</v>
      </c>
      <c r="C378" s="220" t="s">
        <v>468</v>
      </c>
      <c r="D378" s="220" t="s">
        <v>69</v>
      </c>
      <c r="E378" s="165">
        <v>6359</v>
      </c>
    </row>
    <row r="379" spans="1:5" x14ac:dyDescent="0.25">
      <c r="A379" s="216" t="s">
        <v>661</v>
      </c>
      <c r="B379" s="218">
        <v>1</v>
      </c>
      <c r="C379" s="220" t="s">
        <v>249</v>
      </c>
      <c r="D379" s="220" t="s">
        <v>142</v>
      </c>
      <c r="E379" s="165">
        <v>6349</v>
      </c>
    </row>
    <row r="380" spans="1:5" x14ac:dyDescent="0.25">
      <c r="A380" s="216" t="s">
        <v>667</v>
      </c>
      <c r="B380" s="218">
        <v>1</v>
      </c>
      <c r="C380" s="220" t="s">
        <v>668</v>
      </c>
      <c r="D380" s="220" t="s">
        <v>50</v>
      </c>
      <c r="E380" s="165">
        <v>6336</v>
      </c>
    </row>
    <row r="381" spans="1:5" x14ac:dyDescent="0.25">
      <c r="A381" s="216" t="s">
        <v>698</v>
      </c>
      <c r="B381" s="218">
        <v>1</v>
      </c>
      <c r="C381" s="220" t="s">
        <v>522</v>
      </c>
      <c r="D381" s="220" t="s">
        <v>523</v>
      </c>
      <c r="E381" s="165">
        <v>6325</v>
      </c>
    </row>
    <row r="382" spans="1:5" x14ac:dyDescent="0.25">
      <c r="A382" s="216" t="s">
        <v>659</v>
      </c>
      <c r="B382" s="218" t="s">
        <v>48</v>
      </c>
      <c r="C382" s="220" t="s">
        <v>144</v>
      </c>
      <c r="D382" s="220" t="s">
        <v>59</v>
      </c>
      <c r="E382" s="165">
        <v>6285</v>
      </c>
    </row>
    <row r="383" spans="1:5" x14ac:dyDescent="0.25">
      <c r="A383" s="216" t="s">
        <v>818</v>
      </c>
      <c r="B383" s="218" t="s">
        <v>48</v>
      </c>
      <c r="C383" s="220" t="s">
        <v>138</v>
      </c>
      <c r="D383" s="220" t="s">
        <v>139</v>
      </c>
      <c r="E383" s="165">
        <v>6282</v>
      </c>
    </row>
    <row r="384" spans="1:5" x14ac:dyDescent="0.25">
      <c r="A384" s="216" t="s">
        <v>830</v>
      </c>
      <c r="B384" s="218" t="s">
        <v>48</v>
      </c>
      <c r="C384" s="220" t="s">
        <v>831</v>
      </c>
      <c r="D384" s="220" t="s">
        <v>378</v>
      </c>
      <c r="E384" s="165">
        <v>6269</v>
      </c>
    </row>
    <row r="385" spans="1:5" x14ac:dyDescent="0.25">
      <c r="A385" s="216" t="s">
        <v>1332</v>
      </c>
      <c r="B385" s="218" t="s">
        <v>48</v>
      </c>
      <c r="C385" s="220" t="s">
        <v>1333</v>
      </c>
      <c r="D385" s="220" t="s">
        <v>56</v>
      </c>
      <c r="E385" s="165">
        <v>6250</v>
      </c>
    </row>
    <row r="386" spans="1:5" x14ac:dyDescent="0.25">
      <c r="A386" s="216" t="s">
        <v>776</v>
      </c>
      <c r="B386" s="218" t="s">
        <v>48</v>
      </c>
      <c r="C386" s="220" t="s">
        <v>777</v>
      </c>
      <c r="D386" s="220" t="s">
        <v>56</v>
      </c>
      <c r="E386" s="165">
        <v>6250</v>
      </c>
    </row>
    <row r="387" spans="1:5" x14ac:dyDescent="0.25">
      <c r="A387" s="216" t="s">
        <v>10728</v>
      </c>
      <c r="B387" s="218" t="s">
        <v>48</v>
      </c>
      <c r="C387" s="220" t="s">
        <v>10122</v>
      </c>
      <c r="D387" s="220" t="s">
        <v>50</v>
      </c>
      <c r="E387" s="165">
        <v>6250</v>
      </c>
    </row>
    <row r="388" spans="1:5" x14ac:dyDescent="0.25">
      <c r="A388" s="216" t="s">
        <v>781</v>
      </c>
      <c r="B388" s="218" t="s">
        <v>48</v>
      </c>
      <c r="C388" s="220" t="s">
        <v>782</v>
      </c>
      <c r="D388" s="220" t="s">
        <v>93</v>
      </c>
      <c r="E388" s="165">
        <v>6240</v>
      </c>
    </row>
    <row r="389" spans="1:5" x14ac:dyDescent="0.25">
      <c r="A389" s="216" t="s">
        <v>755</v>
      </c>
      <c r="B389" s="218" t="s">
        <v>48</v>
      </c>
      <c r="C389" s="220" t="s">
        <v>756</v>
      </c>
      <c r="D389" s="220" t="s">
        <v>66</v>
      </c>
      <c r="E389" s="165">
        <v>6236</v>
      </c>
    </row>
    <row r="390" spans="1:5" x14ac:dyDescent="0.25">
      <c r="A390" s="216" t="s">
        <v>6646</v>
      </c>
      <c r="B390" s="218" t="s">
        <v>48</v>
      </c>
      <c r="C390" s="220" t="s">
        <v>1429</v>
      </c>
      <c r="D390" s="220" t="s">
        <v>264</v>
      </c>
      <c r="E390" s="165">
        <v>6218</v>
      </c>
    </row>
    <row r="391" spans="1:5" x14ac:dyDescent="0.25">
      <c r="A391" s="216" t="s">
        <v>693</v>
      </c>
      <c r="B391" s="218">
        <v>1</v>
      </c>
      <c r="C391" s="220" t="s">
        <v>694</v>
      </c>
      <c r="D391" s="220" t="s">
        <v>192</v>
      </c>
      <c r="E391" s="165">
        <v>6205</v>
      </c>
    </row>
    <row r="392" spans="1:5" x14ac:dyDescent="0.25">
      <c r="A392" s="216" t="s">
        <v>1055</v>
      </c>
      <c r="B392" s="218" t="s">
        <v>48</v>
      </c>
      <c r="C392" s="220" t="s">
        <v>679</v>
      </c>
      <c r="D392" s="220" t="s">
        <v>206</v>
      </c>
      <c r="E392" s="165">
        <v>6203</v>
      </c>
    </row>
    <row r="393" spans="1:5" x14ac:dyDescent="0.25">
      <c r="A393" s="216" t="s">
        <v>703</v>
      </c>
      <c r="B393" s="218" t="s">
        <v>48</v>
      </c>
      <c r="C393" s="220" t="s">
        <v>704</v>
      </c>
      <c r="D393" s="220" t="s">
        <v>93</v>
      </c>
      <c r="E393" s="165">
        <v>6137</v>
      </c>
    </row>
    <row r="394" spans="1:5" x14ac:dyDescent="0.25">
      <c r="A394" s="216" t="s">
        <v>10966</v>
      </c>
      <c r="B394" s="218">
        <v>1</v>
      </c>
      <c r="C394" s="220" t="s">
        <v>634</v>
      </c>
      <c r="D394" s="220" t="s">
        <v>264</v>
      </c>
      <c r="E394" s="165">
        <v>6110</v>
      </c>
    </row>
    <row r="395" spans="1:5" x14ac:dyDescent="0.25">
      <c r="A395" s="216" t="s">
        <v>656</v>
      </c>
      <c r="B395" s="218" t="s">
        <v>48</v>
      </c>
      <c r="C395" s="220" t="s">
        <v>657</v>
      </c>
      <c r="D395" s="220" t="s">
        <v>264</v>
      </c>
      <c r="E395" s="165">
        <v>6103</v>
      </c>
    </row>
    <row r="396" spans="1:5" x14ac:dyDescent="0.25">
      <c r="A396" s="216" t="s">
        <v>786</v>
      </c>
      <c r="B396" s="218" t="s">
        <v>48</v>
      </c>
      <c r="C396" s="220" t="s">
        <v>89</v>
      </c>
      <c r="D396" s="220" t="s">
        <v>90</v>
      </c>
      <c r="E396" s="165">
        <v>6100</v>
      </c>
    </row>
    <row r="397" spans="1:5" x14ac:dyDescent="0.25">
      <c r="A397" s="216" t="s">
        <v>813</v>
      </c>
      <c r="B397" s="218" t="s">
        <v>48</v>
      </c>
      <c r="C397" s="220" t="s">
        <v>814</v>
      </c>
      <c r="D397" s="220" t="s">
        <v>66</v>
      </c>
      <c r="E397" s="165">
        <v>6090</v>
      </c>
    </row>
    <row r="398" spans="1:5" x14ac:dyDescent="0.25">
      <c r="A398" s="216" t="s">
        <v>772</v>
      </c>
      <c r="B398" s="218" t="s">
        <v>48</v>
      </c>
      <c r="C398" s="220" t="s">
        <v>773</v>
      </c>
      <c r="D398" s="220" t="s">
        <v>774</v>
      </c>
      <c r="E398" s="165">
        <v>6036</v>
      </c>
    </row>
    <row r="399" spans="1:5" x14ac:dyDescent="0.25">
      <c r="A399" s="216" t="s">
        <v>718</v>
      </c>
      <c r="B399" s="218" t="s">
        <v>48</v>
      </c>
      <c r="C399" s="220" t="s">
        <v>719</v>
      </c>
      <c r="D399" s="220" t="s">
        <v>142</v>
      </c>
      <c r="E399" s="165">
        <v>6006</v>
      </c>
    </row>
    <row r="400" spans="1:5" x14ac:dyDescent="0.25">
      <c r="A400" s="216" t="s">
        <v>759</v>
      </c>
      <c r="B400" s="218" t="s">
        <v>48</v>
      </c>
      <c r="C400" s="220" t="s">
        <v>516</v>
      </c>
      <c r="D400" s="220" t="s">
        <v>517</v>
      </c>
      <c r="E400" s="165">
        <v>6000</v>
      </c>
    </row>
    <row r="401" spans="1:5" x14ac:dyDescent="0.25">
      <c r="A401" s="216" t="s">
        <v>1033</v>
      </c>
      <c r="B401" s="218" t="s">
        <v>48</v>
      </c>
      <c r="C401" s="220" t="s">
        <v>1034</v>
      </c>
      <c r="D401" s="220" t="s">
        <v>139</v>
      </c>
      <c r="E401" s="165">
        <v>6000</v>
      </c>
    </row>
    <row r="402" spans="1:5" x14ac:dyDescent="0.25">
      <c r="A402" s="216" t="s">
        <v>958</v>
      </c>
      <c r="B402" s="218" t="s">
        <v>48</v>
      </c>
      <c r="C402" s="220" t="s">
        <v>634</v>
      </c>
      <c r="D402" s="220" t="s">
        <v>98</v>
      </c>
      <c r="E402" s="165">
        <v>6000</v>
      </c>
    </row>
    <row r="403" spans="1:5" x14ac:dyDescent="0.25">
      <c r="A403" s="216" t="s">
        <v>757</v>
      </c>
      <c r="B403" s="218" t="s">
        <v>48</v>
      </c>
      <c r="C403" s="220" t="s">
        <v>758</v>
      </c>
      <c r="D403" s="220" t="s">
        <v>56</v>
      </c>
      <c r="E403" s="165">
        <v>6000</v>
      </c>
    </row>
    <row r="404" spans="1:5" x14ac:dyDescent="0.25">
      <c r="A404" s="216" t="s">
        <v>745</v>
      </c>
      <c r="B404" s="218">
        <v>1</v>
      </c>
      <c r="C404" s="220" t="s">
        <v>746</v>
      </c>
      <c r="D404" s="220" t="s">
        <v>63</v>
      </c>
      <c r="E404" s="165">
        <v>5978</v>
      </c>
    </row>
    <row r="405" spans="1:5" x14ac:dyDescent="0.25">
      <c r="A405" s="216" t="s">
        <v>4922</v>
      </c>
      <c r="B405" s="218" t="s">
        <v>48</v>
      </c>
      <c r="C405" s="220" t="s">
        <v>424</v>
      </c>
      <c r="D405" s="220" t="s">
        <v>59</v>
      </c>
      <c r="E405" s="165">
        <v>5968</v>
      </c>
    </row>
    <row r="406" spans="1:5" x14ac:dyDescent="0.25">
      <c r="A406" s="216" t="s">
        <v>1019</v>
      </c>
      <c r="B406" s="218" t="s">
        <v>48</v>
      </c>
      <c r="C406" s="220" t="s">
        <v>1020</v>
      </c>
      <c r="D406" s="220" t="s">
        <v>63</v>
      </c>
      <c r="E406" s="165">
        <v>5960</v>
      </c>
    </row>
    <row r="407" spans="1:5" x14ac:dyDescent="0.25">
      <c r="A407" s="216" t="s">
        <v>682</v>
      </c>
      <c r="B407" s="218" t="s">
        <v>48</v>
      </c>
      <c r="C407" s="220" t="s">
        <v>257</v>
      </c>
      <c r="D407" s="220" t="s">
        <v>108</v>
      </c>
      <c r="E407" s="165">
        <v>5944</v>
      </c>
    </row>
    <row r="408" spans="1:5" x14ac:dyDescent="0.25">
      <c r="A408" s="216" t="s">
        <v>750</v>
      </c>
      <c r="B408" s="218">
        <v>1</v>
      </c>
      <c r="C408" s="220" t="s">
        <v>751</v>
      </c>
      <c r="D408" s="220" t="s">
        <v>188</v>
      </c>
      <c r="E408" s="165">
        <v>5929</v>
      </c>
    </row>
    <row r="409" spans="1:5" x14ac:dyDescent="0.25">
      <c r="A409" s="216" t="s">
        <v>892</v>
      </c>
      <c r="B409" s="218" t="s">
        <v>48</v>
      </c>
      <c r="C409" s="220" t="s">
        <v>283</v>
      </c>
      <c r="D409" s="220" t="s">
        <v>59</v>
      </c>
      <c r="E409" s="165">
        <v>5834</v>
      </c>
    </row>
    <row r="410" spans="1:5" x14ac:dyDescent="0.25">
      <c r="A410" s="216" t="s">
        <v>763</v>
      </c>
      <c r="B410" s="218">
        <v>1</v>
      </c>
      <c r="C410" s="220" t="s">
        <v>764</v>
      </c>
      <c r="D410" s="220" t="s">
        <v>66</v>
      </c>
      <c r="E410" s="165">
        <v>5822</v>
      </c>
    </row>
    <row r="411" spans="1:5" x14ac:dyDescent="0.25">
      <c r="A411" s="216" t="s">
        <v>767</v>
      </c>
      <c r="B411" s="218">
        <v>1</v>
      </c>
      <c r="C411" s="220" t="s">
        <v>768</v>
      </c>
      <c r="D411" s="220" t="s">
        <v>264</v>
      </c>
      <c r="E411" s="165">
        <v>5820</v>
      </c>
    </row>
    <row r="412" spans="1:5" x14ac:dyDescent="0.25">
      <c r="A412" s="216" t="s">
        <v>800</v>
      </c>
      <c r="B412" s="218">
        <v>1</v>
      </c>
      <c r="C412" s="220" t="s">
        <v>801</v>
      </c>
      <c r="D412" s="220" t="s">
        <v>802</v>
      </c>
      <c r="E412" s="165">
        <v>5818</v>
      </c>
    </row>
    <row r="413" spans="1:5" x14ac:dyDescent="0.25">
      <c r="A413" s="216" t="s">
        <v>775</v>
      </c>
      <c r="B413" s="218" t="s">
        <v>48</v>
      </c>
      <c r="C413" s="220" t="s">
        <v>428</v>
      </c>
      <c r="D413" s="220" t="s">
        <v>394</v>
      </c>
      <c r="E413" s="165">
        <v>5812</v>
      </c>
    </row>
    <row r="414" spans="1:5" x14ac:dyDescent="0.25">
      <c r="A414" s="216" t="s">
        <v>1067</v>
      </c>
      <c r="B414" s="218" t="s">
        <v>48</v>
      </c>
      <c r="C414" s="220" t="s">
        <v>1068</v>
      </c>
      <c r="D414" s="220" t="s">
        <v>172</v>
      </c>
      <c r="E414" s="165">
        <v>5806</v>
      </c>
    </row>
    <row r="415" spans="1:5" x14ac:dyDescent="0.25">
      <c r="A415" s="216" t="s">
        <v>724</v>
      </c>
      <c r="B415" s="218">
        <v>1</v>
      </c>
      <c r="C415" s="220" t="s">
        <v>725</v>
      </c>
      <c r="D415" s="220" t="s">
        <v>188</v>
      </c>
      <c r="E415" s="165">
        <v>5803</v>
      </c>
    </row>
    <row r="416" spans="1:5" x14ac:dyDescent="0.25">
      <c r="A416" s="216" t="s">
        <v>1319</v>
      </c>
      <c r="B416" s="218" t="s">
        <v>48</v>
      </c>
      <c r="C416" s="220" t="s">
        <v>274</v>
      </c>
      <c r="D416" s="220" t="s">
        <v>188</v>
      </c>
      <c r="E416" s="165">
        <v>5760</v>
      </c>
    </row>
    <row r="417" spans="1:5" x14ac:dyDescent="0.25">
      <c r="A417" s="216" t="s">
        <v>673</v>
      </c>
      <c r="B417" s="218">
        <v>1</v>
      </c>
      <c r="C417" s="220" t="s">
        <v>674</v>
      </c>
      <c r="D417" s="220" t="s">
        <v>72</v>
      </c>
      <c r="E417" s="165">
        <v>5749</v>
      </c>
    </row>
    <row r="418" spans="1:5" x14ac:dyDescent="0.25">
      <c r="A418" s="216" t="s">
        <v>850</v>
      </c>
      <c r="B418" s="218">
        <v>1</v>
      </c>
      <c r="C418" s="220" t="s">
        <v>138</v>
      </c>
      <c r="D418" s="220" t="s">
        <v>139</v>
      </c>
      <c r="E418" s="165">
        <v>5736</v>
      </c>
    </row>
    <row r="419" spans="1:5" x14ac:dyDescent="0.25">
      <c r="A419" s="216" t="s">
        <v>685</v>
      </c>
      <c r="B419" s="218">
        <v>1</v>
      </c>
      <c r="C419" s="220" t="s">
        <v>161</v>
      </c>
      <c r="D419" s="220" t="s">
        <v>118</v>
      </c>
      <c r="E419" s="165">
        <v>5686</v>
      </c>
    </row>
    <row r="420" spans="1:5" x14ac:dyDescent="0.25">
      <c r="A420" s="216" t="s">
        <v>821</v>
      </c>
      <c r="B420" s="218">
        <v>1</v>
      </c>
      <c r="C420" s="220" t="s">
        <v>822</v>
      </c>
      <c r="D420" s="220" t="s">
        <v>192</v>
      </c>
      <c r="E420" s="165">
        <v>5632</v>
      </c>
    </row>
    <row r="421" spans="1:5" x14ac:dyDescent="0.25">
      <c r="A421" s="216" t="s">
        <v>10778</v>
      </c>
      <c r="B421" s="218" t="s">
        <v>48</v>
      </c>
      <c r="C421" s="220" t="s">
        <v>739</v>
      </c>
      <c r="D421" s="220" t="s">
        <v>53</v>
      </c>
      <c r="E421" s="165">
        <v>5624</v>
      </c>
    </row>
    <row r="422" spans="1:5" x14ac:dyDescent="0.25">
      <c r="A422" s="216" t="s">
        <v>780</v>
      </c>
      <c r="B422" s="218">
        <v>1</v>
      </c>
      <c r="C422" s="220" t="s">
        <v>289</v>
      </c>
      <c r="D422" s="220" t="s">
        <v>69</v>
      </c>
      <c r="E422" s="165">
        <v>5613</v>
      </c>
    </row>
    <row r="423" spans="1:5" x14ac:dyDescent="0.25">
      <c r="A423" s="216" t="s">
        <v>856</v>
      </c>
      <c r="B423" s="218" t="s">
        <v>48</v>
      </c>
      <c r="C423" s="220" t="s">
        <v>857</v>
      </c>
      <c r="D423" s="220" t="s">
        <v>378</v>
      </c>
      <c r="E423" s="165">
        <v>5601</v>
      </c>
    </row>
    <row r="424" spans="1:5" x14ac:dyDescent="0.25">
      <c r="A424" s="216" t="s">
        <v>832</v>
      </c>
      <c r="B424" s="218">
        <v>1</v>
      </c>
      <c r="C424" s="220" t="s">
        <v>833</v>
      </c>
      <c r="D424" s="220" t="s">
        <v>272</v>
      </c>
      <c r="E424" s="165">
        <v>5571</v>
      </c>
    </row>
    <row r="425" spans="1:5" x14ac:dyDescent="0.25">
      <c r="A425" s="216" t="s">
        <v>765</v>
      </c>
      <c r="B425" s="218">
        <v>1</v>
      </c>
      <c r="C425" s="220" t="s">
        <v>766</v>
      </c>
      <c r="D425" s="220" t="s">
        <v>108</v>
      </c>
      <c r="E425" s="165">
        <v>5550</v>
      </c>
    </row>
    <row r="426" spans="1:5" x14ac:dyDescent="0.25">
      <c r="A426" s="216" t="s">
        <v>840</v>
      </c>
      <c r="B426" s="218">
        <v>1</v>
      </c>
      <c r="C426" s="220" t="s">
        <v>841</v>
      </c>
      <c r="D426" s="220" t="s">
        <v>56</v>
      </c>
      <c r="E426" s="165">
        <v>5503</v>
      </c>
    </row>
    <row r="427" spans="1:5" x14ac:dyDescent="0.25">
      <c r="A427" s="216" t="s">
        <v>531</v>
      </c>
      <c r="B427" s="218" t="s">
        <v>48</v>
      </c>
      <c r="C427" s="220" t="s">
        <v>532</v>
      </c>
      <c r="D427" s="220" t="s">
        <v>63</v>
      </c>
      <c r="E427" s="165">
        <v>5500</v>
      </c>
    </row>
    <row r="428" spans="1:5" x14ac:dyDescent="0.25">
      <c r="A428" s="216" t="s">
        <v>991</v>
      </c>
      <c r="B428" s="218" t="s">
        <v>48</v>
      </c>
      <c r="C428" s="220" t="s">
        <v>761</v>
      </c>
      <c r="D428" s="220" t="s">
        <v>188</v>
      </c>
      <c r="E428" s="165">
        <v>5500</v>
      </c>
    </row>
    <row r="429" spans="1:5" x14ac:dyDescent="0.25">
      <c r="A429" s="216" t="s">
        <v>10967</v>
      </c>
      <c r="B429" s="218">
        <v>1</v>
      </c>
      <c r="C429" s="220" t="s">
        <v>300</v>
      </c>
      <c r="D429" s="220" t="s">
        <v>69</v>
      </c>
      <c r="E429" s="165">
        <v>5471</v>
      </c>
    </row>
    <row r="430" spans="1:5" x14ac:dyDescent="0.25">
      <c r="A430" s="216" t="s">
        <v>863</v>
      </c>
      <c r="B430" s="218">
        <v>1</v>
      </c>
      <c r="C430" s="220" t="s">
        <v>864</v>
      </c>
      <c r="D430" s="220" t="s">
        <v>63</v>
      </c>
      <c r="E430" s="165">
        <v>5448</v>
      </c>
    </row>
    <row r="431" spans="1:5" x14ac:dyDescent="0.25">
      <c r="A431" s="216" t="s">
        <v>457</v>
      </c>
      <c r="B431" s="218" t="s">
        <v>48</v>
      </c>
      <c r="C431" s="220" t="s">
        <v>458</v>
      </c>
      <c r="D431" s="220" t="s">
        <v>166</v>
      </c>
      <c r="E431" s="165">
        <v>5447</v>
      </c>
    </row>
    <row r="432" spans="1:5" x14ac:dyDescent="0.25">
      <c r="A432" s="216" t="s">
        <v>1350</v>
      </c>
      <c r="B432" s="218" t="s">
        <v>48</v>
      </c>
      <c r="C432" s="220" t="s">
        <v>157</v>
      </c>
      <c r="D432" s="220" t="s">
        <v>56</v>
      </c>
      <c r="E432" s="165">
        <v>5419</v>
      </c>
    </row>
    <row r="433" spans="1:6" x14ac:dyDescent="0.25">
      <c r="A433" s="216" t="s">
        <v>828</v>
      </c>
      <c r="B433" s="218" t="s">
        <v>48</v>
      </c>
      <c r="C433" s="220" t="s">
        <v>829</v>
      </c>
      <c r="D433" s="220" t="s">
        <v>710</v>
      </c>
      <c r="E433" s="165">
        <v>5406</v>
      </c>
    </row>
    <row r="434" spans="1:6" x14ac:dyDescent="0.25">
      <c r="A434" s="216" t="s">
        <v>1016</v>
      </c>
      <c r="B434" s="218" t="s">
        <v>48</v>
      </c>
      <c r="C434" s="220" t="s">
        <v>1017</v>
      </c>
      <c r="D434" s="220" t="s">
        <v>337</v>
      </c>
      <c r="E434" s="165">
        <v>5402</v>
      </c>
    </row>
    <row r="435" spans="1:6" x14ac:dyDescent="0.25">
      <c r="A435" s="216" t="s">
        <v>803</v>
      </c>
      <c r="B435" s="218">
        <v>1</v>
      </c>
      <c r="C435" s="220" t="s">
        <v>181</v>
      </c>
      <c r="D435" s="220" t="s">
        <v>78</v>
      </c>
      <c r="E435" s="165">
        <v>5395</v>
      </c>
    </row>
    <row r="436" spans="1:6" x14ac:dyDescent="0.25">
      <c r="A436" s="216" t="s">
        <v>699</v>
      </c>
      <c r="B436" s="218">
        <v>1</v>
      </c>
      <c r="C436" s="220" t="s">
        <v>611</v>
      </c>
      <c r="D436" s="220" t="s">
        <v>63</v>
      </c>
      <c r="E436" s="165">
        <v>5393</v>
      </c>
    </row>
    <row r="437" spans="1:6" x14ac:dyDescent="0.25">
      <c r="A437" s="216" t="s">
        <v>824</v>
      </c>
      <c r="B437" s="218" t="s">
        <v>48</v>
      </c>
      <c r="C437" s="220" t="s">
        <v>825</v>
      </c>
      <c r="D437" s="220" t="s">
        <v>90</v>
      </c>
      <c r="E437" s="165">
        <v>5329</v>
      </c>
    </row>
    <row r="438" spans="1:6" x14ac:dyDescent="0.25">
      <c r="A438" s="216" t="s">
        <v>942</v>
      </c>
      <c r="B438" s="218" t="s">
        <v>48</v>
      </c>
      <c r="C438" s="220" t="s">
        <v>943</v>
      </c>
      <c r="D438" s="220" t="s">
        <v>56</v>
      </c>
      <c r="E438" s="165">
        <v>5313</v>
      </c>
    </row>
    <row r="439" spans="1:6" x14ac:dyDescent="0.25">
      <c r="A439" s="216" t="s">
        <v>783</v>
      </c>
      <c r="B439" s="218">
        <v>1</v>
      </c>
      <c r="C439" s="220" t="s">
        <v>784</v>
      </c>
      <c r="D439" s="220" t="s">
        <v>56</v>
      </c>
      <c r="E439" s="165">
        <v>5296</v>
      </c>
    </row>
    <row r="440" spans="1:6" x14ac:dyDescent="0.25">
      <c r="A440" s="216" t="s">
        <v>842</v>
      </c>
      <c r="B440" s="218" t="s">
        <v>48</v>
      </c>
      <c r="C440" s="220" t="s">
        <v>843</v>
      </c>
      <c r="D440" s="220" t="s">
        <v>172</v>
      </c>
      <c r="E440" s="165">
        <v>5270</v>
      </c>
    </row>
    <row r="441" spans="1:6" x14ac:dyDescent="0.25">
      <c r="A441" s="216" t="s">
        <v>869</v>
      </c>
      <c r="B441" s="218" t="s">
        <v>48</v>
      </c>
      <c r="C441" s="220" t="s">
        <v>870</v>
      </c>
      <c r="D441" s="220" t="s">
        <v>142</v>
      </c>
      <c r="E441" s="165">
        <v>5256</v>
      </c>
    </row>
    <row r="442" spans="1:6" x14ac:dyDescent="0.25">
      <c r="A442" s="216" t="s">
        <v>1043</v>
      </c>
      <c r="B442" s="218" t="s">
        <v>48</v>
      </c>
      <c r="C442" s="220" t="s">
        <v>169</v>
      </c>
      <c r="D442" s="220" t="s">
        <v>56</v>
      </c>
      <c r="E442" s="165">
        <v>5250</v>
      </c>
    </row>
    <row r="443" spans="1:6" x14ac:dyDescent="0.25">
      <c r="A443" s="216" t="s">
        <v>848</v>
      </c>
      <c r="B443" s="218">
        <v>1</v>
      </c>
      <c r="C443" s="220" t="s">
        <v>323</v>
      </c>
      <c r="D443" s="220" t="s">
        <v>277</v>
      </c>
      <c r="E443" s="165">
        <v>5206</v>
      </c>
      <c r="F443" s="112"/>
    </row>
    <row r="444" spans="1:6" x14ac:dyDescent="0.25">
      <c r="A444" s="216" t="s">
        <v>804</v>
      </c>
      <c r="B444" s="218">
        <v>1</v>
      </c>
      <c r="C444" s="220" t="s">
        <v>805</v>
      </c>
      <c r="D444" s="220" t="s">
        <v>78</v>
      </c>
      <c r="E444" s="165">
        <v>5205</v>
      </c>
    </row>
    <row r="445" spans="1:6" x14ac:dyDescent="0.25">
      <c r="A445" s="216" t="s">
        <v>688</v>
      </c>
      <c r="B445" s="218" t="s">
        <v>48</v>
      </c>
      <c r="C445" s="220" t="s">
        <v>689</v>
      </c>
      <c r="D445" s="220" t="s">
        <v>124</v>
      </c>
      <c r="E445" s="165">
        <v>5200</v>
      </c>
    </row>
    <row r="446" spans="1:6" x14ac:dyDescent="0.25">
      <c r="A446" s="216" t="s">
        <v>1233</v>
      </c>
      <c r="B446" s="218" t="s">
        <v>48</v>
      </c>
      <c r="C446" s="220" t="s">
        <v>768</v>
      </c>
      <c r="D446" s="220" t="s">
        <v>264</v>
      </c>
      <c r="E446" s="165">
        <v>5197</v>
      </c>
    </row>
    <row r="447" spans="1:6" x14ac:dyDescent="0.25">
      <c r="A447" s="216" t="s">
        <v>10968</v>
      </c>
      <c r="B447" s="218">
        <v>1</v>
      </c>
      <c r="C447" s="220" t="s">
        <v>6179</v>
      </c>
      <c r="D447" s="220" t="s">
        <v>50</v>
      </c>
      <c r="E447" s="165">
        <v>5196</v>
      </c>
    </row>
    <row r="448" spans="1:6" x14ac:dyDescent="0.25">
      <c r="A448" s="216" t="s">
        <v>844</v>
      </c>
      <c r="B448" s="218">
        <v>1</v>
      </c>
      <c r="C448" s="220" t="s">
        <v>845</v>
      </c>
      <c r="D448" s="220" t="s">
        <v>66</v>
      </c>
      <c r="E448" s="165">
        <v>5165</v>
      </c>
    </row>
    <row r="449" spans="1:6" x14ac:dyDescent="0.25">
      <c r="A449" s="216" t="s">
        <v>736</v>
      </c>
      <c r="B449" s="218">
        <v>1</v>
      </c>
      <c r="C449" s="220" t="s">
        <v>737</v>
      </c>
      <c r="D449" s="220" t="s">
        <v>118</v>
      </c>
      <c r="E449" s="165">
        <v>5162</v>
      </c>
    </row>
    <row r="450" spans="1:6" x14ac:dyDescent="0.25">
      <c r="A450" s="216" t="s">
        <v>982</v>
      </c>
      <c r="B450" s="218" t="s">
        <v>48</v>
      </c>
      <c r="C450" s="220" t="s">
        <v>138</v>
      </c>
      <c r="D450" s="220" t="s">
        <v>139</v>
      </c>
      <c r="E450" s="165">
        <v>5162</v>
      </c>
    </row>
    <row r="451" spans="1:6" x14ac:dyDescent="0.25">
      <c r="A451" s="216" t="s">
        <v>872</v>
      </c>
      <c r="B451" s="218" t="s">
        <v>48</v>
      </c>
      <c r="C451" s="220" t="s">
        <v>65</v>
      </c>
      <c r="D451" s="220" t="s">
        <v>66</v>
      </c>
      <c r="E451" s="165">
        <v>5154</v>
      </c>
      <c r="F451" s="112"/>
    </row>
    <row r="452" spans="1:6" x14ac:dyDescent="0.25">
      <c r="A452" s="216" t="s">
        <v>1081</v>
      </c>
      <c r="B452" s="218" t="s">
        <v>48</v>
      </c>
      <c r="C452" s="220" t="s">
        <v>988</v>
      </c>
      <c r="D452" s="220" t="s">
        <v>69</v>
      </c>
      <c r="E452" s="165">
        <v>5146</v>
      </c>
    </row>
    <row r="453" spans="1:6" x14ac:dyDescent="0.25">
      <c r="A453" s="216" t="s">
        <v>789</v>
      </c>
      <c r="B453" s="218">
        <v>1</v>
      </c>
      <c r="C453" s="220" t="s">
        <v>790</v>
      </c>
      <c r="D453" s="220" t="s">
        <v>66</v>
      </c>
      <c r="E453" s="165">
        <v>5134</v>
      </c>
    </row>
    <row r="454" spans="1:6" x14ac:dyDescent="0.25">
      <c r="A454" s="216" t="s">
        <v>936</v>
      </c>
      <c r="B454" s="218" t="s">
        <v>48</v>
      </c>
      <c r="C454" s="220" t="s">
        <v>289</v>
      </c>
      <c r="D454" s="220" t="s">
        <v>69</v>
      </c>
      <c r="E454" s="165">
        <v>5130</v>
      </c>
    </row>
    <row r="455" spans="1:6" x14ac:dyDescent="0.25">
      <c r="A455" s="216" t="s">
        <v>10689</v>
      </c>
      <c r="B455" s="218" t="s">
        <v>48</v>
      </c>
      <c r="C455" s="220" t="s">
        <v>570</v>
      </c>
      <c r="D455" s="220" t="s">
        <v>53</v>
      </c>
      <c r="E455" s="165">
        <v>5127</v>
      </c>
    </row>
    <row r="456" spans="1:6" x14ac:dyDescent="0.25">
      <c r="A456" s="216" t="s">
        <v>909</v>
      </c>
      <c r="B456" s="218" t="s">
        <v>48</v>
      </c>
      <c r="C456" s="220" t="s">
        <v>910</v>
      </c>
      <c r="D456" s="220" t="s">
        <v>206</v>
      </c>
      <c r="E456" s="165">
        <v>5115</v>
      </c>
    </row>
    <row r="457" spans="1:6" x14ac:dyDescent="0.25">
      <c r="A457" s="216" t="s">
        <v>853</v>
      </c>
      <c r="B457" s="218">
        <v>1</v>
      </c>
      <c r="C457" s="220" t="s">
        <v>245</v>
      </c>
      <c r="D457" s="220" t="s">
        <v>69</v>
      </c>
      <c r="E457" s="165">
        <v>5110</v>
      </c>
    </row>
    <row r="458" spans="1:6" x14ac:dyDescent="0.25">
      <c r="A458" s="216" t="s">
        <v>700</v>
      </c>
      <c r="B458" s="218">
        <v>1</v>
      </c>
      <c r="C458" s="220" t="s">
        <v>701</v>
      </c>
      <c r="D458" s="220" t="s">
        <v>50</v>
      </c>
      <c r="E458" s="165">
        <v>5106</v>
      </c>
    </row>
    <row r="459" spans="1:6" x14ac:dyDescent="0.25">
      <c r="A459" s="216" t="s">
        <v>895</v>
      </c>
      <c r="B459" s="218">
        <v>1</v>
      </c>
      <c r="C459" s="220" t="s">
        <v>896</v>
      </c>
      <c r="D459" s="220" t="s">
        <v>66</v>
      </c>
      <c r="E459" s="165">
        <v>5101</v>
      </c>
    </row>
    <row r="460" spans="1:6" x14ac:dyDescent="0.25">
      <c r="A460" s="216" t="s">
        <v>734</v>
      </c>
      <c r="B460" s="218">
        <v>1</v>
      </c>
      <c r="C460" s="220" t="s">
        <v>735</v>
      </c>
      <c r="D460" s="220" t="s">
        <v>63</v>
      </c>
      <c r="E460" s="165">
        <v>5095</v>
      </c>
    </row>
    <row r="461" spans="1:6" x14ac:dyDescent="0.25">
      <c r="A461" s="216" t="s">
        <v>969</v>
      </c>
      <c r="B461" s="218" t="s">
        <v>48</v>
      </c>
      <c r="C461" s="220" t="s">
        <v>970</v>
      </c>
      <c r="D461" s="220" t="s">
        <v>90</v>
      </c>
      <c r="E461" s="165">
        <v>5085</v>
      </c>
    </row>
    <row r="462" spans="1:6" x14ac:dyDescent="0.25">
      <c r="A462" s="216" t="s">
        <v>669</v>
      </c>
      <c r="B462" s="218">
        <v>1</v>
      </c>
      <c r="C462" s="220" t="s">
        <v>670</v>
      </c>
      <c r="D462" s="220" t="s">
        <v>142</v>
      </c>
      <c r="E462" s="165">
        <v>5079</v>
      </c>
    </row>
    <row r="463" spans="1:6" x14ac:dyDescent="0.25">
      <c r="A463" s="216" t="s">
        <v>770</v>
      </c>
      <c r="B463" s="218">
        <v>1</v>
      </c>
      <c r="C463" s="220" t="s">
        <v>771</v>
      </c>
      <c r="D463" s="220" t="s">
        <v>98</v>
      </c>
      <c r="E463" s="165">
        <v>5052</v>
      </c>
    </row>
    <row r="464" spans="1:6" x14ac:dyDescent="0.25">
      <c r="A464" s="216" t="s">
        <v>876</v>
      </c>
      <c r="B464" s="218" t="s">
        <v>48</v>
      </c>
      <c r="C464" s="220" t="s">
        <v>877</v>
      </c>
      <c r="D464" s="220" t="s">
        <v>277</v>
      </c>
      <c r="E464" s="165">
        <v>5050</v>
      </c>
    </row>
    <row r="465" spans="1:5" x14ac:dyDescent="0.25">
      <c r="A465" s="216" t="s">
        <v>742</v>
      </c>
      <c r="B465" s="218" t="s">
        <v>48</v>
      </c>
      <c r="C465" s="220" t="s">
        <v>743</v>
      </c>
      <c r="D465" s="220" t="s">
        <v>277</v>
      </c>
      <c r="E465" s="165">
        <v>5036</v>
      </c>
    </row>
    <row r="466" spans="1:5" x14ac:dyDescent="0.25">
      <c r="A466" s="216" t="s">
        <v>880</v>
      </c>
      <c r="B466" s="218">
        <v>1</v>
      </c>
      <c r="C466" s="220" t="s">
        <v>881</v>
      </c>
      <c r="D466" s="220" t="s">
        <v>177</v>
      </c>
      <c r="E466" s="165">
        <v>5021</v>
      </c>
    </row>
    <row r="467" spans="1:5" x14ac:dyDescent="0.25">
      <c r="A467" s="216" t="s">
        <v>702</v>
      </c>
      <c r="B467" s="218">
        <v>1</v>
      </c>
      <c r="C467" s="220" t="s">
        <v>169</v>
      </c>
      <c r="D467" s="220" t="s">
        <v>56</v>
      </c>
      <c r="E467" s="165">
        <v>5004</v>
      </c>
    </row>
    <row r="468" spans="1:5" x14ac:dyDescent="0.25">
      <c r="A468" s="216" t="s">
        <v>906</v>
      </c>
      <c r="B468" s="218">
        <v>1</v>
      </c>
      <c r="C468" s="220" t="s">
        <v>907</v>
      </c>
      <c r="D468" s="220" t="s">
        <v>188</v>
      </c>
      <c r="E468" s="165">
        <v>5002</v>
      </c>
    </row>
    <row r="469" spans="1:5" x14ac:dyDescent="0.25">
      <c r="A469" s="216" t="s">
        <v>835</v>
      </c>
      <c r="B469" s="218" t="s">
        <v>48</v>
      </c>
      <c r="C469" s="220" t="s">
        <v>634</v>
      </c>
      <c r="D469" s="220" t="s">
        <v>264</v>
      </c>
      <c r="E469" s="165">
        <v>5000</v>
      </c>
    </row>
    <row r="470" spans="1:5" x14ac:dyDescent="0.25">
      <c r="A470" s="216" t="s">
        <v>897</v>
      </c>
      <c r="B470" s="218" t="s">
        <v>48</v>
      </c>
      <c r="C470" s="220" t="s">
        <v>898</v>
      </c>
      <c r="D470" s="220" t="s">
        <v>69</v>
      </c>
      <c r="E470" s="165">
        <v>5000</v>
      </c>
    </row>
    <row r="471" spans="1:5" x14ac:dyDescent="0.25">
      <c r="A471" s="216" t="s">
        <v>10969</v>
      </c>
      <c r="B471" s="218" t="s">
        <v>48</v>
      </c>
      <c r="C471" s="220" t="s">
        <v>141</v>
      </c>
      <c r="D471" s="220" t="s">
        <v>142</v>
      </c>
      <c r="E471" s="165">
        <v>5000</v>
      </c>
    </row>
    <row r="472" spans="1:5" x14ac:dyDescent="0.25">
      <c r="A472" s="216" t="s">
        <v>951</v>
      </c>
      <c r="B472" s="218" t="s">
        <v>48</v>
      </c>
      <c r="C472" s="220" t="s">
        <v>952</v>
      </c>
      <c r="D472" s="220" t="s">
        <v>56</v>
      </c>
      <c r="E472" s="165">
        <v>5000</v>
      </c>
    </row>
    <row r="473" spans="1:5" x14ac:dyDescent="0.25">
      <c r="A473" s="216" t="s">
        <v>10970</v>
      </c>
      <c r="B473" s="218" t="s">
        <v>48</v>
      </c>
      <c r="C473" s="220" t="s">
        <v>2133</v>
      </c>
      <c r="D473" s="220" t="s">
        <v>75</v>
      </c>
      <c r="E473" s="165">
        <v>4995</v>
      </c>
    </row>
    <row r="474" spans="1:5" x14ac:dyDescent="0.25">
      <c r="A474" s="216" t="s">
        <v>861</v>
      </c>
      <c r="B474" s="218">
        <v>1</v>
      </c>
      <c r="C474" s="220" t="s">
        <v>862</v>
      </c>
      <c r="D474" s="220" t="s">
        <v>56</v>
      </c>
      <c r="E474" s="165">
        <v>4957</v>
      </c>
    </row>
    <row r="475" spans="1:5" x14ac:dyDescent="0.25">
      <c r="A475" s="216" t="s">
        <v>10856</v>
      </c>
      <c r="B475" s="218">
        <v>1</v>
      </c>
      <c r="C475" s="220" t="s">
        <v>4078</v>
      </c>
      <c r="D475" s="220" t="s">
        <v>50</v>
      </c>
      <c r="E475" s="165">
        <v>4956</v>
      </c>
    </row>
    <row r="476" spans="1:5" x14ac:dyDescent="0.25">
      <c r="A476" s="216" t="s">
        <v>888</v>
      </c>
      <c r="B476" s="218">
        <v>1</v>
      </c>
      <c r="C476" s="220" t="s">
        <v>889</v>
      </c>
      <c r="D476" s="220" t="s">
        <v>188</v>
      </c>
      <c r="E476" s="165">
        <v>4940</v>
      </c>
    </row>
    <row r="477" spans="1:5" x14ac:dyDescent="0.25">
      <c r="A477" s="216" t="s">
        <v>10971</v>
      </c>
      <c r="B477" s="218">
        <v>1</v>
      </c>
      <c r="C477" s="220" t="s">
        <v>86</v>
      </c>
      <c r="D477" s="220" t="s">
        <v>78</v>
      </c>
      <c r="E477" s="165">
        <v>4933</v>
      </c>
    </row>
    <row r="478" spans="1:5" x14ac:dyDescent="0.25">
      <c r="A478" s="216" t="s">
        <v>1385</v>
      </c>
      <c r="B478" s="218" t="s">
        <v>48</v>
      </c>
      <c r="C478" s="220" t="s">
        <v>1386</v>
      </c>
      <c r="D478" s="220" t="s">
        <v>206</v>
      </c>
      <c r="E478" s="165">
        <v>4916</v>
      </c>
    </row>
    <row r="479" spans="1:5" x14ac:dyDescent="0.25">
      <c r="A479" s="216" t="s">
        <v>819</v>
      </c>
      <c r="B479" s="218" t="s">
        <v>48</v>
      </c>
      <c r="C479" s="220" t="s">
        <v>249</v>
      </c>
      <c r="D479" s="220" t="s">
        <v>142</v>
      </c>
      <c r="E479" s="165">
        <v>4913</v>
      </c>
    </row>
    <row r="480" spans="1:5" x14ac:dyDescent="0.25">
      <c r="A480" s="216" t="s">
        <v>823</v>
      </c>
      <c r="B480" s="218">
        <v>1</v>
      </c>
      <c r="C480" s="220" t="s">
        <v>318</v>
      </c>
      <c r="D480" s="220" t="s">
        <v>172</v>
      </c>
      <c r="E480" s="165">
        <v>4869</v>
      </c>
    </row>
    <row r="481" spans="1:5" x14ac:dyDescent="0.25">
      <c r="A481" s="216" t="s">
        <v>921</v>
      </c>
      <c r="B481" s="218">
        <v>1</v>
      </c>
      <c r="C481" s="220" t="s">
        <v>922</v>
      </c>
      <c r="D481" s="220" t="s">
        <v>188</v>
      </c>
      <c r="E481" s="165">
        <v>4863</v>
      </c>
    </row>
    <row r="482" spans="1:5" x14ac:dyDescent="0.25">
      <c r="A482" s="216" t="s">
        <v>836</v>
      </c>
      <c r="B482" s="218" t="s">
        <v>48</v>
      </c>
      <c r="C482" s="220" t="s">
        <v>837</v>
      </c>
      <c r="D482" s="220" t="s">
        <v>201</v>
      </c>
      <c r="E482" s="165">
        <v>4840</v>
      </c>
    </row>
    <row r="483" spans="1:5" x14ac:dyDescent="0.25">
      <c r="A483" s="216" t="s">
        <v>793</v>
      </c>
      <c r="B483" s="218">
        <v>1</v>
      </c>
      <c r="C483" s="220" t="s">
        <v>577</v>
      </c>
      <c r="D483" s="220" t="s">
        <v>72</v>
      </c>
      <c r="E483" s="165">
        <v>4822</v>
      </c>
    </row>
    <row r="484" spans="1:5" x14ac:dyDescent="0.25">
      <c r="A484" s="216" t="s">
        <v>946</v>
      </c>
      <c r="B484" s="218">
        <v>1</v>
      </c>
      <c r="C484" s="220" t="s">
        <v>947</v>
      </c>
      <c r="D484" s="220" t="s">
        <v>56</v>
      </c>
      <c r="E484" s="165">
        <v>4816</v>
      </c>
    </row>
    <row r="485" spans="1:5" x14ac:dyDescent="0.25">
      <c r="A485" s="216" t="s">
        <v>945</v>
      </c>
      <c r="B485" s="218" t="s">
        <v>48</v>
      </c>
      <c r="C485" s="220" t="s">
        <v>289</v>
      </c>
      <c r="D485" s="220" t="s">
        <v>69</v>
      </c>
      <c r="E485" s="165">
        <v>4813</v>
      </c>
    </row>
    <row r="486" spans="1:5" x14ac:dyDescent="0.25">
      <c r="A486" s="216" t="s">
        <v>1445</v>
      </c>
      <c r="B486" s="218" t="s">
        <v>48</v>
      </c>
      <c r="C486" s="220" t="s">
        <v>1446</v>
      </c>
      <c r="D486" s="220" t="s">
        <v>90</v>
      </c>
      <c r="E486" s="165">
        <v>4800</v>
      </c>
    </row>
    <row r="487" spans="1:5" x14ac:dyDescent="0.25">
      <c r="A487" s="216" t="s">
        <v>865</v>
      </c>
      <c r="B487" s="218" t="s">
        <v>48</v>
      </c>
      <c r="C487" s="220" t="s">
        <v>538</v>
      </c>
      <c r="D487" s="220" t="s">
        <v>90</v>
      </c>
      <c r="E487" s="165">
        <v>4790</v>
      </c>
    </row>
    <row r="488" spans="1:5" x14ac:dyDescent="0.25">
      <c r="A488" s="216" t="s">
        <v>996</v>
      </c>
      <c r="B488" s="218" t="s">
        <v>48</v>
      </c>
      <c r="C488" s="220" t="s">
        <v>997</v>
      </c>
      <c r="D488" s="220" t="s">
        <v>139</v>
      </c>
      <c r="E488" s="165">
        <v>4782</v>
      </c>
    </row>
    <row r="489" spans="1:5" x14ac:dyDescent="0.25">
      <c r="A489" s="216" t="s">
        <v>747</v>
      </c>
      <c r="B489" s="218" t="s">
        <v>48</v>
      </c>
      <c r="C489" s="220" t="s">
        <v>748</v>
      </c>
      <c r="D489" s="220" t="s">
        <v>59</v>
      </c>
      <c r="E489" s="165">
        <v>4770</v>
      </c>
    </row>
    <row r="490" spans="1:5" x14ac:dyDescent="0.25">
      <c r="A490" s="216" t="s">
        <v>807</v>
      </c>
      <c r="B490" s="218">
        <v>1</v>
      </c>
      <c r="C490" s="220" t="s">
        <v>808</v>
      </c>
      <c r="D490" s="220" t="s">
        <v>802</v>
      </c>
      <c r="E490" s="165">
        <v>4758</v>
      </c>
    </row>
    <row r="491" spans="1:5" x14ac:dyDescent="0.25">
      <c r="A491" s="216" t="s">
        <v>10972</v>
      </c>
      <c r="B491" s="218">
        <v>1</v>
      </c>
      <c r="C491" s="220" t="s">
        <v>1243</v>
      </c>
      <c r="D491" s="220" t="s">
        <v>166</v>
      </c>
      <c r="E491" s="165">
        <v>4755</v>
      </c>
    </row>
    <row r="492" spans="1:5" x14ac:dyDescent="0.25">
      <c r="A492" s="216" t="s">
        <v>732</v>
      </c>
      <c r="B492" s="218" t="s">
        <v>48</v>
      </c>
      <c r="C492" s="220" t="s">
        <v>733</v>
      </c>
      <c r="D492" s="220" t="s">
        <v>82</v>
      </c>
      <c r="E492" s="165">
        <v>4738</v>
      </c>
    </row>
    <row r="493" spans="1:5" x14ac:dyDescent="0.25">
      <c r="A493" s="216" t="s">
        <v>901</v>
      </c>
      <c r="B493" s="218">
        <v>1</v>
      </c>
      <c r="C493" s="220" t="s">
        <v>263</v>
      </c>
      <c r="D493" s="220" t="s">
        <v>264</v>
      </c>
      <c r="E493" s="165">
        <v>4733</v>
      </c>
    </row>
    <row r="494" spans="1:5" x14ac:dyDescent="0.25">
      <c r="A494" s="216" t="s">
        <v>752</v>
      </c>
      <c r="B494" s="218">
        <v>1</v>
      </c>
      <c r="C494" s="220" t="s">
        <v>259</v>
      </c>
      <c r="D494" s="220" t="s">
        <v>50</v>
      </c>
      <c r="E494" s="165">
        <v>4725</v>
      </c>
    </row>
    <row r="495" spans="1:5" x14ac:dyDescent="0.25">
      <c r="A495" s="216" t="s">
        <v>954</v>
      </c>
      <c r="B495" s="218" t="s">
        <v>48</v>
      </c>
      <c r="C495" s="220" t="s">
        <v>90</v>
      </c>
      <c r="D495" s="220" t="s">
        <v>441</v>
      </c>
      <c r="E495" s="165">
        <v>4725</v>
      </c>
    </row>
    <row r="496" spans="1:5" x14ac:dyDescent="0.25">
      <c r="A496" s="216" t="s">
        <v>926</v>
      </c>
      <c r="B496" s="218">
        <v>1</v>
      </c>
      <c r="C496" s="220" t="s">
        <v>927</v>
      </c>
      <c r="D496" s="220" t="s">
        <v>63</v>
      </c>
      <c r="E496" s="165">
        <v>4715</v>
      </c>
    </row>
    <row r="497" spans="1:5" x14ac:dyDescent="0.25">
      <c r="A497" s="216" t="s">
        <v>924</v>
      </c>
      <c r="B497" s="218">
        <v>1</v>
      </c>
      <c r="C497" s="220" t="s">
        <v>925</v>
      </c>
      <c r="D497" s="220" t="s">
        <v>394</v>
      </c>
      <c r="E497" s="165">
        <v>4704</v>
      </c>
    </row>
    <row r="498" spans="1:5" x14ac:dyDescent="0.25">
      <c r="A498" s="216" t="s">
        <v>893</v>
      </c>
      <c r="B498" s="218" t="s">
        <v>48</v>
      </c>
      <c r="C498" s="220" t="s">
        <v>709</v>
      </c>
      <c r="D498" s="220" t="s">
        <v>710</v>
      </c>
      <c r="E498" s="165">
        <v>4690</v>
      </c>
    </row>
    <row r="499" spans="1:5" x14ac:dyDescent="0.25">
      <c r="A499" s="216" t="s">
        <v>887</v>
      </c>
      <c r="B499" s="218">
        <v>1</v>
      </c>
      <c r="C499" s="220" t="s">
        <v>77</v>
      </c>
      <c r="D499" s="220" t="s">
        <v>78</v>
      </c>
      <c r="E499" s="165">
        <v>4673</v>
      </c>
    </row>
    <row r="500" spans="1:5" x14ac:dyDescent="0.25">
      <c r="A500" s="216" t="s">
        <v>10617</v>
      </c>
      <c r="B500" s="218" t="s">
        <v>48</v>
      </c>
      <c r="C500" s="220" t="s">
        <v>1243</v>
      </c>
      <c r="D500" s="220" t="s">
        <v>166</v>
      </c>
      <c r="E500" s="165">
        <v>4671</v>
      </c>
    </row>
    <row r="501" spans="1:5" x14ac:dyDescent="0.25">
      <c r="A501" s="216" t="s">
        <v>933</v>
      </c>
      <c r="B501" s="218" t="s">
        <v>48</v>
      </c>
      <c r="C501" s="220" t="s">
        <v>281</v>
      </c>
      <c r="D501" s="220" t="s">
        <v>206</v>
      </c>
      <c r="E501" s="165">
        <v>4660</v>
      </c>
    </row>
    <row r="502" spans="1:5" x14ac:dyDescent="0.25">
      <c r="A502" s="216" t="s">
        <v>1061</v>
      </c>
      <c r="B502" s="218" t="s">
        <v>48</v>
      </c>
      <c r="C502" s="220" t="s">
        <v>516</v>
      </c>
      <c r="D502" s="220" t="s">
        <v>517</v>
      </c>
      <c r="E502" s="165">
        <v>4650</v>
      </c>
    </row>
    <row r="503" spans="1:5" x14ac:dyDescent="0.25">
      <c r="A503" s="216" t="s">
        <v>10973</v>
      </c>
      <c r="B503" s="218">
        <v>1</v>
      </c>
      <c r="C503" s="220" t="s">
        <v>615</v>
      </c>
      <c r="D503" s="220" t="s">
        <v>108</v>
      </c>
      <c r="E503" s="165">
        <v>4649</v>
      </c>
    </row>
    <row r="504" spans="1:5" x14ac:dyDescent="0.25">
      <c r="A504" s="216" t="s">
        <v>1041</v>
      </c>
      <c r="B504" s="218" t="s">
        <v>48</v>
      </c>
      <c r="C504" s="220" t="s">
        <v>1042</v>
      </c>
      <c r="D504" s="220" t="s">
        <v>69</v>
      </c>
      <c r="E504" s="165">
        <v>4649</v>
      </c>
    </row>
    <row r="505" spans="1:5" x14ac:dyDescent="0.25">
      <c r="A505" s="216" t="s">
        <v>871</v>
      </c>
      <c r="B505" s="218">
        <v>1</v>
      </c>
      <c r="C505" s="220" t="s">
        <v>805</v>
      </c>
      <c r="D505" s="220" t="s">
        <v>277</v>
      </c>
      <c r="E505" s="165">
        <v>4644</v>
      </c>
    </row>
    <row r="506" spans="1:5" x14ac:dyDescent="0.25">
      <c r="A506" s="216" t="s">
        <v>902</v>
      </c>
      <c r="B506" s="218">
        <v>1</v>
      </c>
      <c r="C506" s="220" t="s">
        <v>845</v>
      </c>
      <c r="D506" s="220" t="s">
        <v>66</v>
      </c>
      <c r="E506" s="165">
        <v>4642</v>
      </c>
    </row>
    <row r="507" spans="1:5" x14ac:dyDescent="0.25">
      <c r="A507" s="216" t="s">
        <v>816</v>
      </c>
      <c r="B507" s="218" t="s">
        <v>48</v>
      </c>
      <c r="C507" s="220" t="s">
        <v>817</v>
      </c>
      <c r="D507" s="220" t="s">
        <v>394</v>
      </c>
      <c r="E507" s="165">
        <v>4623</v>
      </c>
    </row>
    <row r="508" spans="1:5" x14ac:dyDescent="0.25">
      <c r="A508" s="216" t="s">
        <v>10721</v>
      </c>
      <c r="B508" s="218" t="s">
        <v>48</v>
      </c>
      <c r="C508" s="220" t="s">
        <v>483</v>
      </c>
      <c r="D508" s="220" t="s">
        <v>56</v>
      </c>
      <c r="E508" s="165">
        <v>4621</v>
      </c>
    </row>
    <row r="509" spans="1:5" x14ac:dyDescent="0.25">
      <c r="A509" s="216" t="s">
        <v>914</v>
      </c>
      <c r="B509" s="218">
        <v>1</v>
      </c>
      <c r="C509" s="220" t="s">
        <v>915</v>
      </c>
      <c r="D509" s="220" t="s">
        <v>66</v>
      </c>
      <c r="E509" s="165">
        <v>4620</v>
      </c>
    </row>
    <row r="510" spans="1:5" x14ac:dyDescent="0.25">
      <c r="A510" s="216" t="s">
        <v>846</v>
      </c>
      <c r="B510" s="218">
        <v>1</v>
      </c>
      <c r="C510" s="220" t="s">
        <v>121</v>
      </c>
      <c r="D510" s="220" t="s">
        <v>56</v>
      </c>
      <c r="E510" s="165">
        <v>4615</v>
      </c>
    </row>
    <row r="511" spans="1:5" x14ac:dyDescent="0.25">
      <c r="A511" s="216" t="s">
        <v>2858</v>
      </c>
      <c r="B511" s="218" t="s">
        <v>48</v>
      </c>
      <c r="C511" s="220" t="s">
        <v>65</v>
      </c>
      <c r="D511" s="220" t="s">
        <v>66</v>
      </c>
      <c r="E511" s="165">
        <v>4600</v>
      </c>
    </row>
    <row r="512" spans="1:5" x14ac:dyDescent="0.25">
      <c r="A512" s="216" t="s">
        <v>957</v>
      </c>
      <c r="B512" s="218" t="s">
        <v>48</v>
      </c>
      <c r="C512" s="220" t="s">
        <v>86</v>
      </c>
      <c r="D512" s="220" t="s">
        <v>78</v>
      </c>
      <c r="E512" s="165">
        <v>4600</v>
      </c>
    </row>
    <row r="513" spans="1:5" x14ac:dyDescent="0.25">
      <c r="A513" s="216" t="s">
        <v>738</v>
      </c>
      <c r="B513" s="218">
        <v>1</v>
      </c>
      <c r="C513" s="220" t="s">
        <v>739</v>
      </c>
      <c r="D513" s="220" t="s">
        <v>53</v>
      </c>
      <c r="E513" s="165">
        <v>4600</v>
      </c>
    </row>
    <row r="514" spans="1:5" x14ac:dyDescent="0.25">
      <c r="A514" s="216" t="s">
        <v>905</v>
      </c>
      <c r="B514" s="218">
        <v>1</v>
      </c>
      <c r="C514" s="220" t="s">
        <v>477</v>
      </c>
      <c r="D514" s="220" t="s">
        <v>56</v>
      </c>
      <c r="E514" s="165">
        <v>4592</v>
      </c>
    </row>
    <row r="515" spans="1:5" x14ac:dyDescent="0.25">
      <c r="A515" s="216" t="s">
        <v>890</v>
      </c>
      <c r="B515" s="218" t="s">
        <v>48</v>
      </c>
      <c r="C515" s="220" t="s">
        <v>891</v>
      </c>
      <c r="D515" s="220" t="s">
        <v>56</v>
      </c>
      <c r="E515" s="165">
        <v>4582</v>
      </c>
    </row>
    <row r="516" spans="1:5" x14ac:dyDescent="0.25">
      <c r="A516" s="216" t="s">
        <v>912</v>
      </c>
      <c r="B516" s="218">
        <v>1</v>
      </c>
      <c r="C516" s="220" t="s">
        <v>913</v>
      </c>
      <c r="D516" s="220" t="s">
        <v>201</v>
      </c>
      <c r="E516" s="165">
        <v>4571</v>
      </c>
    </row>
    <row r="517" spans="1:5" x14ac:dyDescent="0.25">
      <c r="A517" s="216" t="s">
        <v>985</v>
      </c>
      <c r="B517" s="218">
        <v>1</v>
      </c>
      <c r="C517" s="220" t="s">
        <v>986</v>
      </c>
      <c r="D517" s="220" t="s">
        <v>56</v>
      </c>
      <c r="E517" s="165">
        <v>4557</v>
      </c>
    </row>
    <row r="518" spans="1:5" x14ac:dyDescent="0.25">
      <c r="A518" s="216" t="s">
        <v>882</v>
      </c>
      <c r="B518" s="218" t="s">
        <v>48</v>
      </c>
      <c r="C518" s="220" t="s">
        <v>263</v>
      </c>
      <c r="D518" s="220" t="s">
        <v>264</v>
      </c>
      <c r="E518" s="165">
        <v>4550</v>
      </c>
    </row>
    <row r="519" spans="1:5" x14ac:dyDescent="0.25">
      <c r="A519" s="216" t="s">
        <v>1178</v>
      </c>
      <c r="B519" s="218">
        <v>1</v>
      </c>
      <c r="C519" s="220" t="s">
        <v>347</v>
      </c>
      <c r="D519" s="220" t="s">
        <v>348</v>
      </c>
      <c r="E519" s="165">
        <v>4549</v>
      </c>
    </row>
    <row r="520" spans="1:5" x14ac:dyDescent="0.25">
      <c r="A520" s="216" t="s">
        <v>10974</v>
      </c>
      <c r="B520" s="218">
        <v>1</v>
      </c>
      <c r="C520" s="220" t="s">
        <v>4584</v>
      </c>
      <c r="D520" s="220" t="s">
        <v>56</v>
      </c>
      <c r="E520" s="165">
        <v>4515</v>
      </c>
    </row>
    <row r="521" spans="1:5" x14ac:dyDescent="0.25">
      <c r="A521" s="216" t="s">
        <v>1244</v>
      </c>
      <c r="B521" s="218" t="s">
        <v>48</v>
      </c>
      <c r="C521" s="220" t="s">
        <v>511</v>
      </c>
      <c r="D521" s="220" t="s">
        <v>394</v>
      </c>
      <c r="E521" s="165">
        <v>4500</v>
      </c>
    </row>
    <row r="522" spans="1:5" x14ac:dyDescent="0.25">
      <c r="A522" s="216" t="s">
        <v>1069</v>
      </c>
      <c r="B522" s="218" t="s">
        <v>48</v>
      </c>
      <c r="C522" s="220" t="s">
        <v>545</v>
      </c>
      <c r="D522" s="220" t="s">
        <v>56</v>
      </c>
      <c r="E522" s="165">
        <v>4500</v>
      </c>
    </row>
    <row r="523" spans="1:5" x14ac:dyDescent="0.25">
      <c r="A523" s="216" t="s">
        <v>1007</v>
      </c>
      <c r="B523" s="218" t="s">
        <v>48</v>
      </c>
      <c r="C523" s="220" t="s">
        <v>1008</v>
      </c>
      <c r="D523" s="220" t="s">
        <v>78</v>
      </c>
      <c r="E523" s="165">
        <v>4494</v>
      </c>
    </row>
    <row r="524" spans="1:5" x14ac:dyDescent="0.25">
      <c r="A524" s="216" t="s">
        <v>950</v>
      </c>
      <c r="B524" s="218" t="s">
        <v>48</v>
      </c>
      <c r="C524" s="220" t="s">
        <v>932</v>
      </c>
      <c r="D524" s="220" t="s">
        <v>166</v>
      </c>
      <c r="E524" s="165">
        <v>4491</v>
      </c>
    </row>
    <row r="525" spans="1:5" x14ac:dyDescent="0.25">
      <c r="A525" s="216" t="s">
        <v>815</v>
      </c>
      <c r="B525" s="218" t="s">
        <v>48</v>
      </c>
      <c r="C525" s="220" t="s">
        <v>538</v>
      </c>
      <c r="D525" s="220" t="s">
        <v>90</v>
      </c>
      <c r="E525" s="165">
        <v>4486</v>
      </c>
    </row>
    <row r="526" spans="1:5" x14ac:dyDescent="0.25">
      <c r="A526" s="216" t="s">
        <v>796</v>
      </c>
      <c r="B526" s="218">
        <v>1</v>
      </c>
      <c r="C526" s="220" t="s">
        <v>797</v>
      </c>
      <c r="D526" s="220" t="s">
        <v>130</v>
      </c>
      <c r="E526" s="165">
        <v>4472</v>
      </c>
    </row>
    <row r="527" spans="1:5" x14ac:dyDescent="0.25">
      <c r="A527" s="216" t="s">
        <v>973</v>
      </c>
      <c r="B527" s="218" t="s">
        <v>48</v>
      </c>
      <c r="C527" s="220" t="s">
        <v>285</v>
      </c>
      <c r="D527" s="220" t="s">
        <v>59</v>
      </c>
      <c r="E527" s="165">
        <v>4470</v>
      </c>
    </row>
    <row r="528" spans="1:5" x14ac:dyDescent="0.25">
      <c r="A528" s="216" t="s">
        <v>672</v>
      </c>
      <c r="B528" s="218" t="s">
        <v>48</v>
      </c>
      <c r="C528" s="220" t="s">
        <v>238</v>
      </c>
      <c r="D528" s="220" t="s">
        <v>93</v>
      </c>
      <c r="E528" s="165">
        <v>4461</v>
      </c>
    </row>
    <row r="529" spans="1:5" x14ac:dyDescent="0.25">
      <c r="A529" s="216" t="s">
        <v>974</v>
      </c>
      <c r="B529" s="218">
        <v>1</v>
      </c>
      <c r="C529" s="220" t="s">
        <v>845</v>
      </c>
      <c r="D529" s="220" t="s">
        <v>66</v>
      </c>
      <c r="E529" s="165">
        <v>4451</v>
      </c>
    </row>
    <row r="530" spans="1:5" x14ac:dyDescent="0.25">
      <c r="A530" s="216" t="s">
        <v>883</v>
      </c>
      <c r="B530" s="218" t="s">
        <v>48</v>
      </c>
      <c r="C530" s="220" t="s">
        <v>238</v>
      </c>
      <c r="D530" s="220" t="s">
        <v>93</v>
      </c>
      <c r="E530" s="165">
        <v>4451</v>
      </c>
    </row>
    <row r="531" spans="1:5" x14ac:dyDescent="0.25">
      <c r="A531" s="216" t="s">
        <v>1057</v>
      </c>
      <c r="B531" s="218" t="s">
        <v>48</v>
      </c>
      <c r="C531" s="220" t="s">
        <v>323</v>
      </c>
      <c r="D531" s="220" t="s">
        <v>56</v>
      </c>
      <c r="E531" s="165">
        <v>4450</v>
      </c>
    </row>
    <row r="532" spans="1:5" x14ac:dyDescent="0.25">
      <c r="A532" s="216" t="s">
        <v>965</v>
      </c>
      <c r="B532" s="218" t="s">
        <v>48</v>
      </c>
      <c r="C532" s="220" t="s">
        <v>966</v>
      </c>
      <c r="D532" s="220" t="s">
        <v>59</v>
      </c>
      <c r="E532" s="165">
        <v>4442</v>
      </c>
    </row>
    <row r="533" spans="1:5" x14ac:dyDescent="0.25">
      <c r="A533" s="216" t="s">
        <v>987</v>
      </c>
      <c r="B533" s="218" t="s">
        <v>48</v>
      </c>
      <c r="C533" s="220" t="s">
        <v>988</v>
      </c>
      <c r="D533" s="220" t="s">
        <v>69</v>
      </c>
      <c r="E533" s="165">
        <v>4436</v>
      </c>
    </row>
    <row r="534" spans="1:5" x14ac:dyDescent="0.25">
      <c r="A534" s="216" t="s">
        <v>1122</v>
      </c>
      <c r="B534" s="218">
        <v>1</v>
      </c>
      <c r="C534" s="220" t="s">
        <v>1123</v>
      </c>
      <c r="D534" s="220" t="s">
        <v>139</v>
      </c>
      <c r="E534" s="165">
        <v>4412</v>
      </c>
    </row>
    <row r="535" spans="1:5" x14ac:dyDescent="0.25">
      <c r="A535" s="216" t="s">
        <v>918</v>
      </c>
      <c r="B535" s="218">
        <v>1</v>
      </c>
      <c r="C535" s="220" t="s">
        <v>919</v>
      </c>
      <c r="D535" s="220" t="s">
        <v>50</v>
      </c>
      <c r="E535" s="165">
        <v>4390</v>
      </c>
    </row>
    <row r="536" spans="1:5" x14ac:dyDescent="0.25">
      <c r="A536" s="216" t="s">
        <v>916</v>
      </c>
      <c r="B536" s="218">
        <v>1</v>
      </c>
      <c r="C536" s="220" t="s">
        <v>917</v>
      </c>
      <c r="D536" s="220" t="s">
        <v>192</v>
      </c>
      <c r="E536" s="165">
        <v>4346</v>
      </c>
    </row>
    <row r="537" spans="1:5" x14ac:dyDescent="0.25">
      <c r="A537" s="216" t="s">
        <v>858</v>
      </c>
      <c r="B537" s="218">
        <v>1</v>
      </c>
      <c r="C537" s="220" t="s">
        <v>799</v>
      </c>
      <c r="D537" s="220" t="s">
        <v>113</v>
      </c>
      <c r="E537" s="165">
        <v>4345</v>
      </c>
    </row>
    <row r="538" spans="1:5" x14ac:dyDescent="0.25">
      <c r="A538" s="216" t="s">
        <v>1053</v>
      </c>
      <c r="B538" s="218" t="s">
        <v>48</v>
      </c>
      <c r="C538" s="220" t="s">
        <v>1054</v>
      </c>
      <c r="D538" s="220" t="s">
        <v>108</v>
      </c>
      <c r="E538" s="165">
        <v>4342</v>
      </c>
    </row>
    <row r="539" spans="1:5" x14ac:dyDescent="0.25">
      <c r="A539" s="216" t="s">
        <v>859</v>
      </c>
      <c r="B539" s="218">
        <v>1</v>
      </c>
      <c r="C539" s="220" t="s">
        <v>860</v>
      </c>
      <c r="D539" s="220" t="s">
        <v>127</v>
      </c>
      <c r="E539" s="165">
        <v>4340</v>
      </c>
    </row>
    <row r="540" spans="1:5" x14ac:dyDescent="0.25">
      <c r="A540" s="216" t="s">
        <v>811</v>
      </c>
      <c r="B540" s="218">
        <v>1</v>
      </c>
      <c r="C540" s="220" t="s">
        <v>812</v>
      </c>
      <c r="D540" s="220" t="s">
        <v>166</v>
      </c>
      <c r="E540" s="165">
        <v>4336</v>
      </c>
    </row>
    <row r="541" spans="1:5" x14ac:dyDescent="0.25">
      <c r="A541" s="216" t="s">
        <v>899</v>
      </c>
      <c r="B541" s="218" t="s">
        <v>48</v>
      </c>
      <c r="C541" s="220" t="s">
        <v>900</v>
      </c>
      <c r="D541" s="220" t="s">
        <v>277</v>
      </c>
      <c r="E541" s="165">
        <v>4330</v>
      </c>
    </row>
    <row r="542" spans="1:5" x14ac:dyDescent="0.25">
      <c r="A542" s="216" t="s">
        <v>10847</v>
      </c>
      <c r="B542" s="218" t="s">
        <v>48</v>
      </c>
      <c r="C542" s="220" t="s">
        <v>1349</v>
      </c>
      <c r="D542" s="220" t="s">
        <v>56</v>
      </c>
      <c r="E542" s="165">
        <v>4306</v>
      </c>
    </row>
    <row r="543" spans="1:5" x14ac:dyDescent="0.25">
      <c r="A543" s="216" t="s">
        <v>680</v>
      </c>
      <c r="B543" s="218" t="s">
        <v>48</v>
      </c>
      <c r="C543" s="220" t="s">
        <v>681</v>
      </c>
      <c r="D543" s="220" t="s">
        <v>90</v>
      </c>
      <c r="E543" s="165">
        <v>4292</v>
      </c>
    </row>
    <row r="544" spans="1:5" x14ac:dyDescent="0.25">
      <c r="A544" s="216" t="s">
        <v>903</v>
      </c>
      <c r="B544" s="218">
        <v>1</v>
      </c>
      <c r="C544" s="220" t="s">
        <v>843</v>
      </c>
      <c r="D544" s="220" t="s">
        <v>172</v>
      </c>
      <c r="E544" s="165">
        <v>4287</v>
      </c>
    </row>
    <row r="545" spans="1:5" x14ac:dyDescent="0.25">
      <c r="A545" s="216" t="s">
        <v>1012</v>
      </c>
      <c r="B545" s="218" t="s">
        <v>48</v>
      </c>
      <c r="C545" s="220" t="s">
        <v>1013</v>
      </c>
      <c r="D545" s="220" t="s">
        <v>72</v>
      </c>
      <c r="E545" s="165">
        <v>4265</v>
      </c>
    </row>
    <row r="546" spans="1:5" x14ac:dyDescent="0.25">
      <c r="A546" s="216" t="s">
        <v>874</v>
      </c>
      <c r="B546" s="218" t="s">
        <v>48</v>
      </c>
      <c r="C546" s="220" t="s">
        <v>875</v>
      </c>
      <c r="D546" s="220" t="s">
        <v>59</v>
      </c>
      <c r="E546" s="165">
        <v>4256</v>
      </c>
    </row>
    <row r="547" spans="1:5" x14ac:dyDescent="0.25">
      <c r="A547" s="216" t="s">
        <v>1857</v>
      </c>
      <c r="B547" s="218" t="s">
        <v>48</v>
      </c>
      <c r="C547" s="220" t="s">
        <v>219</v>
      </c>
      <c r="D547" s="220" t="s">
        <v>56</v>
      </c>
      <c r="E547" s="165">
        <v>4230</v>
      </c>
    </row>
    <row r="548" spans="1:5" x14ac:dyDescent="0.25">
      <c r="A548" s="216" t="s">
        <v>998</v>
      </c>
      <c r="B548" s="218">
        <v>1</v>
      </c>
      <c r="C548" s="220" t="s">
        <v>999</v>
      </c>
      <c r="D548" s="220" t="s">
        <v>188</v>
      </c>
      <c r="E548" s="165">
        <v>4226</v>
      </c>
    </row>
    <row r="549" spans="1:5" x14ac:dyDescent="0.25">
      <c r="A549" s="216" t="s">
        <v>497</v>
      </c>
      <c r="B549" s="218" t="s">
        <v>48</v>
      </c>
      <c r="C549" s="220" t="s">
        <v>498</v>
      </c>
      <c r="D549" s="220" t="s">
        <v>75</v>
      </c>
      <c r="E549" s="165">
        <v>4223</v>
      </c>
    </row>
    <row r="550" spans="1:5" x14ac:dyDescent="0.25">
      <c r="A550" s="216" t="s">
        <v>851</v>
      </c>
      <c r="B550" s="218">
        <v>1</v>
      </c>
      <c r="C550" s="220" t="s">
        <v>852</v>
      </c>
      <c r="D550" s="220" t="s">
        <v>50</v>
      </c>
      <c r="E550" s="165">
        <v>4222</v>
      </c>
    </row>
    <row r="551" spans="1:5" x14ac:dyDescent="0.25">
      <c r="A551" s="216" t="s">
        <v>989</v>
      </c>
      <c r="B551" s="218" t="s">
        <v>48</v>
      </c>
      <c r="C551" s="220" t="s">
        <v>990</v>
      </c>
      <c r="D551" s="220" t="s">
        <v>63</v>
      </c>
      <c r="E551" s="165">
        <v>4214</v>
      </c>
    </row>
    <row r="552" spans="1:5" x14ac:dyDescent="0.25">
      <c r="A552" s="216" t="s">
        <v>960</v>
      </c>
      <c r="B552" s="218" t="s">
        <v>48</v>
      </c>
      <c r="C552" s="220" t="s">
        <v>624</v>
      </c>
      <c r="D552" s="220" t="s">
        <v>188</v>
      </c>
      <c r="E552" s="165">
        <v>4205</v>
      </c>
    </row>
    <row r="553" spans="1:5" x14ac:dyDescent="0.25">
      <c r="A553" s="216" t="s">
        <v>1088</v>
      </c>
      <c r="B553" s="218" t="s">
        <v>48</v>
      </c>
      <c r="C553" s="220" t="s">
        <v>1089</v>
      </c>
      <c r="D553" s="220" t="s">
        <v>56</v>
      </c>
      <c r="E553" s="165">
        <v>4204</v>
      </c>
    </row>
    <row r="554" spans="1:5" x14ac:dyDescent="0.25">
      <c r="A554" s="216" t="s">
        <v>1058</v>
      </c>
      <c r="B554" s="218" t="s">
        <v>48</v>
      </c>
      <c r="C554" s="220" t="s">
        <v>176</v>
      </c>
      <c r="D554" s="220" t="s">
        <v>177</v>
      </c>
      <c r="E554" s="165">
        <v>4200</v>
      </c>
    </row>
    <row r="555" spans="1:5" x14ac:dyDescent="0.25">
      <c r="A555" s="216" t="s">
        <v>1021</v>
      </c>
      <c r="B555" s="218">
        <v>1</v>
      </c>
      <c r="C555" s="220" t="s">
        <v>1022</v>
      </c>
      <c r="D555" s="220" t="s">
        <v>277</v>
      </c>
      <c r="E555" s="165">
        <v>4179</v>
      </c>
    </row>
    <row r="556" spans="1:5" x14ac:dyDescent="0.25">
      <c r="A556" s="216" t="s">
        <v>1452</v>
      </c>
      <c r="B556" s="218" t="s">
        <v>48</v>
      </c>
      <c r="C556" s="220" t="s">
        <v>470</v>
      </c>
      <c r="D556" s="220" t="s">
        <v>108</v>
      </c>
      <c r="E556" s="165">
        <v>4161</v>
      </c>
    </row>
    <row r="557" spans="1:5" x14ac:dyDescent="0.25">
      <c r="A557" s="216" t="s">
        <v>940</v>
      </c>
      <c r="B557" s="218" t="s">
        <v>48</v>
      </c>
      <c r="C557" s="220" t="s">
        <v>941</v>
      </c>
      <c r="D557" s="220" t="s">
        <v>517</v>
      </c>
      <c r="E557" s="165">
        <v>4150</v>
      </c>
    </row>
    <row r="558" spans="1:5" x14ac:dyDescent="0.25">
      <c r="A558" s="216" t="s">
        <v>971</v>
      </c>
      <c r="B558" s="218" t="s">
        <v>48</v>
      </c>
      <c r="C558" s="220" t="s">
        <v>972</v>
      </c>
      <c r="D558" s="220" t="s">
        <v>53</v>
      </c>
      <c r="E558" s="165">
        <v>4146</v>
      </c>
    </row>
    <row r="559" spans="1:5" x14ac:dyDescent="0.25">
      <c r="A559" s="216" t="s">
        <v>1014</v>
      </c>
      <c r="B559" s="218" t="s">
        <v>48</v>
      </c>
      <c r="C559" s="220" t="s">
        <v>1015</v>
      </c>
      <c r="D559" s="220" t="s">
        <v>75</v>
      </c>
      <c r="E559" s="165">
        <v>4146</v>
      </c>
    </row>
    <row r="560" spans="1:5" x14ac:dyDescent="0.25">
      <c r="A560" s="216" t="s">
        <v>953</v>
      </c>
      <c r="B560" s="218" t="s">
        <v>48</v>
      </c>
      <c r="C560" s="220" t="s">
        <v>257</v>
      </c>
      <c r="D560" s="220" t="s">
        <v>108</v>
      </c>
      <c r="E560" s="165">
        <v>4122</v>
      </c>
    </row>
    <row r="561" spans="1:5" x14ac:dyDescent="0.25">
      <c r="A561" s="216" t="s">
        <v>1193</v>
      </c>
      <c r="B561" s="218">
        <v>1</v>
      </c>
      <c r="C561" s="220" t="s">
        <v>1194</v>
      </c>
      <c r="D561" s="220" t="s">
        <v>139</v>
      </c>
      <c r="E561" s="165">
        <v>4121</v>
      </c>
    </row>
    <row r="562" spans="1:5" x14ac:dyDescent="0.25">
      <c r="A562" s="216" t="s">
        <v>928</v>
      </c>
      <c r="B562" s="218" t="s">
        <v>48</v>
      </c>
      <c r="C562" s="220" t="s">
        <v>89</v>
      </c>
      <c r="D562" s="220" t="s">
        <v>90</v>
      </c>
      <c r="E562" s="165">
        <v>4120</v>
      </c>
    </row>
    <row r="563" spans="1:5" x14ac:dyDescent="0.25">
      <c r="A563" s="216" t="s">
        <v>1304</v>
      </c>
      <c r="B563" s="218" t="s">
        <v>48</v>
      </c>
      <c r="C563" s="220" t="s">
        <v>1305</v>
      </c>
      <c r="D563" s="220" t="s">
        <v>206</v>
      </c>
      <c r="E563" s="165">
        <v>4100</v>
      </c>
    </row>
    <row r="564" spans="1:5" x14ac:dyDescent="0.25">
      <c r="A564" s="216" t="s">
        <v>1078</v>
      </c>
      <c r="B564" s="218" t="s">
        <v>48</v>
      </c>
      <c r="C564" s="220" t="s">
        <v>10975</v>
      </c>
      <c r="D564" s="220" t="s">
        <v>192</v>
      </c>
      <c r="E564" s="165">
        <v>4100</v>
      </c>
    </row>
    <row r="565" spans="1:5" x14ac:dyDescent="0.25">
      <c r="A565" s="216" t="s">
        <v>1181</v>
      </c>
      <c r="B565" s="218" t="s">
        <v>48</v>
      </c>
      <c r="C565" s="220" t="s">
        <v>10976</v>
      </c>
      <c r="D565" s="220" t="s">
        <v>108</v>
      </c>
      <c r="E565" s="165">
        <v>4090</v>
      </c>
    </row>
    <row r="566" spans="1:5" x14ac:dyDescent="0.25">
      <c r="A566" s="216" t="s">
        <v>1009</v>
      </c>
      <c r="B566" s="218" t="s">
        <v>48</v>
      </c>
      <c r="C566" s="220" t="s">
        <v>1010</v>
      </c>
      <c r="D566" s="220" t="s">
        <v>517</v>
      </c>
      <c r="E566" s="165">
        <v>4086</v>
      </c>
    </row>
    <row r="567" spans="1:5" x14ac:dyDescent="0.25">
      <c r="A567" s="216" t="s">
        <v>795</v>
      </c>
      <c r="B567" s="218">
        <v>1</v>
      </c>
      <c r="C567" s="220" t="s">
        <v>77</v>
      </c>
      <c r="D567" s="220" t="s">
        <v>78</v>
      </c>
      <c r="E567" s="165">
        <v>4084</v>
      </c>
    </row>
    <row r="568" spans="1:5" x14ac:dyDescent="0.25">
      <c r="A568" s="216" t="s">
        <v>1048</v>
      </c>
      <c r="B568" s="218" t="s">
        <v>48</v>
      </c>
      <c r="C568" s="220" t="s">
        <v>1049</v>
      </c>
      <c r="D568" s="220" t="s">
        <v>56</v>
      </c>
      <c r="E568" s="165">
        <v>4082</v>
      </c>
    </row>
    <row r="569" spans="1:5" x14ac:dyDescent="0.25">
      <c r="A569" s="216" t="s">
        <v>1074</v>
      </c>
      <c r="B569" s="218">
        <v>1</v>
      </c>
      <c r="C569" s="220" t="s">
        <v>1075</v>
      </c>
      <c r="D569" s="220" t="s">
        <v>63</v>
      </c>
      <c r="E569" s="165">
        <v>4057</v>
      </c>
    </row>
    <row r="570" spans="1:5" x14ac:dyDescent="0.25">
      <c r="A570" s="216" t="s">
        <v>1175</v>
      </c>
      <c r="B570" s="218" t="s">
        <v>48</v>
      </c>
      <c r="C570" s="220" t="s">
        <v>1176</v>
      </c>
      <c r="D570" s="220" t="s">
        <v>142</v>
      </c>
      <c r="E570" s="165">
        <v>4050</v>
      </c>
    </row>
    <row r="571" spans="1:5" x14ac:dyDescent="0.25">
      <c r="A571" s="216" t="s">
        <v>1128</v>
      </c>
      <c r="B571" s="218">
        <v>1</v>
      </c>
      <c r="C571" s="220" t="s">
        <v>522</v>
      </c>
      <c r="D571" s="220" t="s">
        <v>523</v>
      </c>
      <c r="E571" s="165">
        <v>4043</v>
      </c>
    </row>
    <row r="572" spans="1:5" x14ac:dyDescent="0.25">
      <c r="A572" s="216" t="s">
        <v>1003</v>
      </c>
      <c r="B572" s="218" t="s">
        <v>48</v>
      </c>
      <c r="C572" s="220" t="s">
        <v>1004</v>
      </c>
      <c r="D572" s="220" t="s">
        <v>56</v>
      </c>
      <c r="E572" s="165">
        <v>4027</v>
      </c>
    </row>
    <row r="573" spans="1:5" x14ac:dyDescent="0.25">
      <c r="A573" s="216" t="s">
        <v>1101</v>
      </c>
      <c r="B573" s="218" t="s">
        <v>48</v>
      </c>
      <c r="C573" s="220" t="s">
        <v>203</v>
      </c>
      <c r="D573" s="220" t="s">
        <v>166</v>
      </c>
      <c r="E573" s="165">
        <v>4017</v>
      </c>
    </row>
    <row r="574" spans="1:5" x14ac:dyDescent="0.25">
      <c r="A574" s="216" t="s">
        <v>978</v>
      </c>
      <c r="B574" s="218">
        <v>1</v>
      </c>
      <c r="C574" s="220" t="s">
        <v>516</v>
      </c>
      <c r="D574" s="220" t="s">
        <v>517</v>
      </c>
      <c r="E574" s="165">
        <v>4007</v>
      </c>
    </row>
    <row r="575" spans="1:5" x14ac:dyDescent="0.25">
      <c r="A575" s="216" t="s">
        <v>894</v>
      </c>
      <c r="B575" s="218" t="s">
        <v>48</v>
      </c>
      <c r="C575" s="220" t="s">
        <v>251</v>
      </c>
      <c r="D575" s="220" t="s">
        <v>98</v>
      </c>
      <c r="E575" s="165">
        <v>4000</v>
      </c>
    </row>
    <row r="576" spans="1:5" x14ac:dyDescent="0.25">
      <c r="A576" s="216" t="s">
        <v>1715</v>
      </c>
      <c r="B576" s="218" t="s">
        <v>48</v>
      </c>
      <c r="C576" s="220" t="s">
        <v>615</v>
      </c>
      <c r="D576" s="220" t="s">
        <v>63</v>
      </c>
      <c r="E576" s="165">
        <v>4000</v>
      </c>
    </row>
    <row r="577" spans="1:5" x14ac:dyDescent="0.25">
      <c r="A577" s="216" t="s">
        <v>1129</v>
      </c>
      <c r="B577" s="218" t="s">
        <v>48</v>
      </c>
      <c r="C577" s="220" t="s">
        <v>1130</v>
      </c>
      <c r="D577" s="220" t="s">
        <v>93</v>
      </c>
      <c r="E577" s="165">
        <v>4000</v>
      </c>
    </row>
    <row r="578" spans="1:5" x14ac:dyDescent="0.25">
      <c r="A578" s="216" t="s">
        <v>10775</v>
      </c>
      <c r="B578" s="218" t="s">
        <v>48</v>
      </c>
      <c r="C578" s="220" t="s">
        <v>306</v>
      </c>
      <c r="D578" s="220" t="s">
        <v>63</v>
      </c>
      <c r="E578" s="165">
        <v>4000</v>
      </c>
    </row>
    <row r="579" spans="1:5" x14ac:dyDescent="0.25">
      <c r="A579" s="216" t="s">
        <v>878</v>
      </c>
      <c r="B579" s="218">
        <v>1</v>
      </c>
      <c r="C579" s="220" t="s">
        <v>879</v>
      </c>
      <c r="D579" s="220" t="s">
        <v>337</v>
      </c>
      <c r="E579" s="165">
        <v>3994</v>
      </c>
    </row>
    <row r="580" spans="1:5" x14ac:dyDescent="0.25">
      <c r="A580" s="216" t="s">
        <v>720</v>
      </c>
      <c r="B580" s="218">
        <v>1</v>
      </c>
      <c r="C580" s="220" t="s">
        <v>721</v>
      </c>
      <c r="D580" s="220" t="s">
        <v>78</v>
      </c>
      <c r="E580" s="165">
        <v>3994</v>
      </c>
    </row>
    <row r="581" spans="1:5" x14ac:dyDescent="0.25">
      <c r="A581" s="216" t="s">
        <v>838</v>
      </c>
      <c r="B581" s="218" t="s">
        <v>48</v>
      </c>
      <c r="C581" s="220" t="s">
        <v>839</v>
      </c>
      <c r="D581" s="220" t="s">
        <v>53</v>
      </c>
      <c r="E581" s="165">
        <v>3974</v>
      </c>
    </row>
    <row r="582" spans="1:5" x14ac:dyDescent="0.25">
      <c r="A582" s="216" t="s">
        <v>1224</v>
      </c>
      <c r="B582" s="218">
        <v>1</v>
      </c>
      <c r="C582" s="220" t="s">
        <v>1225</v>
      </c>
      <c r="D582" s="220" t="s">
        <v>139</v>
      </c>
      <c r="E582" s="165">
        <v>3972</v>
      </c>
    </row>
    <row r="583" spans="1:5" x14ac:dyDescent="0.25">
      <c r="A583" s="216" t="s">
        <v>1279</v>
      </c>
      <c r="B583" s="218" t="s">
        <v>48</v>
      </c>
      <c r="C583" s="220" t="s">
        <v>86</v>
      </c>
      <c r="D583" s="220" t="s">
        <v>78</v>
      </c>
      <c r="E583" s="165">
        <v>3968</v>
      </c>
    </row>
    <row r="584" spans="1:5" x14ac:dyDescent="0.25">
      <c r="A584" s="216" t="s">
        <v>1112</v>
      </c>
      <c r="B584" s="218" t="s">
        <v>48</v>
      </c>
      <c r="C584" s="220" t="s">
        <v>1113</v>
      </c>
      <c r="D584" s="220" t="s">
        <v>50</v>
      </c>
      <c r="E584" s="165">
        <v>3962</v>
      </c>
    </row>
    <row r="585" spans="1:5" x14ac:dyDescent="0.25">
      <c r="A585" s="216" t="s">
        <v>983</v>
      </c>
      <c r="B585" s="218">
        <v>1</v>
      </c>
      <c r="C585" s="220" t="s">
        <v>984</v>
      </c>
      <c r="D585" s="220" t="s">
        <v>56</v>
      </c>
      <c r="E585" s="165">
        <v>3961</v>
      </c>
    </row>
    <row r="586" spans="1:5" x14ac:dyDescent="0.25">
      <c r="A586" s="216" t="s">
        <v>1133</v>
      </c>
      <c r="B586" s="218" t="s">
        <v>48</v>
      </c>
      <c r="C586" s="220" t="s">
        <v>477</v>
      </c>
      <c r="D586" s="220" t="s">
        <v>56</v>
      </c>
      <c r="E586" s="165">
        <v>3950</v>
      </c>
    </row>
    <row r="587" spans="1:5" x14ac:dyDescent="0.25">
      <c r="A587" s="216" t="s">
        <v>1151</v>
      </c>
      <c r="B587" s="218" t="s">
        <v>48</v>
      </c>
      <c r="C587" s="220" t="s">
        <v>1152</v>
      </c>
      <c r="D587" s="220" t="s">
        <v>69</v>
      </c>
      <c r="E587" s="165">
        <v>3943</v>
      </c>
    </row>
    <row r="588" spans="1:5" x14ac:dyDescent="0.25">
      <c r="A588" s="216" t="s">
        <v>1090</v>
      </c>
      <c r="B588" s="218">
        <v>1</v>
      </c>
      <c r="C588" s="220" t="s">
        <v>1091</v>
      </c>
      <c r="D588" s="220" t="s">
        <v>63</v>
      </c>
      <c r="E588" s="165">
        <v>3927</v>
      </c>
    </row>
    <row r="589" spans="1:5" x14ac:dyDescent="0.25">
      <c r="A589" s="216" t="s">
        <v>2408</v>
      </c>
      <c r="B589" s="218">
        <v>1</v>
      </c>
      <c r="C589" s="220" t="s">
        <v>86</v>
      </c>
      <c r="D589" s="220" t="s">
        <v>78</v>
      </c>
      <c r="E589" s="165">
        <v>3906</v>
      </c>
    </row>
    <row r="590" spans="1:5" x14ac:dyDescent="0.25">
      <c r="A590" s="216" t="s">
        <v>2707</v>
      </c>
      <c r="B590" s="218">
        <v>1</v>
      </c>
      <c r="C590" s="220" t="s">
        <v>112</v>
      </c>
      <c r="D590" s="220" t="s">
        <v>113</v>
      </c>
      <c r="E590" s="165">
        <v>3902</v>
      </c>
    </row>
    <row r="591" spans="1:5" x14ac:dyDescent="0.25">
      <c r="A591" s="216" t="s">
        <v>967</v>
      </c>
      <c r="B591" s="218">
        <v>1</v>
      </c>
      <c r="C591" s="220" t="s">
        <v>968</v>
      </c>
      <c r="D591" s="220" t="s">
        <v>56</v>
      </c>
      <c r="E591" s="165">
        <v>3887</v>
      </c>
    </row>
    <row r="592" spans="1:5" x14ac:dyDescent="0.25">
      <c r="A592" s="216" t="s">
        <v>885</v>
      </c>
      <c r="B592" s="218">
        <v>1</v>
      </c>
      <c r="C592" s="220" t="s">
        <v>886</v>
      </c>
      <c r="D592" s="220" t="s">
        <v>50</v>
      </c>
      <c r="E592" s="165">
        <v>3885</v>
      </c>
    </row>
    <row r="593" spans="1:5" x14ac:dyDescent="0.25">
      <c r="A593" s="216" t="s">
        <v>1515</v>
      </c>
      <c r="B593" s="218" t="s">
        <v>48</v>
      </c>
      <c r="C593" s="220" t="s">
        <v>1516</v>
      </c>
      <c r="D593" s="220" t="s">
        <v>56</v>
      </c>
      <c r="E593" s="165">
        <v>3883</v>
      </c>
    </row>
    <row r="594" spans="1:5" x14ac:dyDescent="0.25">
      <c r="A594" s="216" t="s">
        <v>934</v>
      </c>
      <c r="B594" s="218" t="s">
        <v>48</v>
      </c>
      <c r="C594" s="220" t="s">
        <v>935</v>
      </c>
      <c r="D594" s="220" t="s">
        <v>59</v>
      </c>
      <c r="E594" s="165">
        <v>3863</v>
      </c>
    </row>
    <row r="595" spans="1:5" x14ac:dyDescent="0.25">
      <c r="A595" s="216" t="s">
        <v>920</v>
      </c>
      <c r="B595" s="218">
        <v>1</v>
      </c>
      <c r="C595" s="220" t="s">
        <v>86</v>
      </c>
      <c r="D595" s="220" t="s">
        <v>87</v>
      </c>
      <c r="E595" s="165">
        <v>3860</v>
      </c>
    </row>
    <row r="596" spans="1:5" x14ac:dyDescent="0.25">
      <c r="A596" s="216" t="s">
        <v>1035</v>
      </c>
      <c r="B596" s="218" t="s">
        <v>48</v>
      </c>
      <c r="C596" s="220" t="s">
        <v>1036</v>
      </c>
      <c r="D596" s="220" t="s">
        <v>142</v>
      </c>
      <c r="E596" s="165">
        <v>3859</v>
      </c>
    </row>
    <row r="597" spans="1:5" x14ac:dyDescent="0.25">
      <c r="A597" s="216" t="s">
        <v>730</v>
      </c>
      <c r="B597" s="218">
        <v>1</v>
      </c>
      <c r="C597" s="220" t="s">
        <v>731</v>
      </c>
      <c r="D597" s="220" t="s">
        <v>63</v>
      </c>
      <c r="E597" s="165">
        <v>3857</v>
      </c>
    </row>
    <row r="598" spans="1:5" x14ac:dyDescent="0.25">
      <c r="A598" s="216" t="s">
        <v>1029</v>
      </c>
      <c r="B598" s="218">
        <v>1</v>
      </c>
      <c r="C598" s="220" t="s">
        <v>1030</v>
      </c>
      <c r="D598" s="220" t="s">
        <v>124</v>
      </c>
      <c r="E598" s="165">
        <v>3850</v>
      </c>
    </row>
    <row r="599" spans="1:5" x14ac:dyDescent="0.25">
      <c r="A599" s="216" t="s">
        <v>1059</v>
      </c>
      <c r="B599" s="218" t="s">
        <v>48</v>
      </c>
      <c r="C599" s="220" t="s">
        <v>1060</v>
      </c>
      <c r="D599" s="220" t="s">
        <v>98</v>
      </c>
      <c r="E599" s="165">
        <v>3850</v>
      </c>
    </row>
    <row r="600" spans="1:5" x14ac:dyDescent="0.25">
      <c r="A600" s="216" t="s">
        <v>1056</v>
      </c>
      <c r="B600" s="218">
        <v>1</v>
      </c>
      <c r="C600" s="220" t="s">
        <v>323</v>
      </c>
      <c r="D600" s="220" t="s">
        <v>277</v>
      </c>
      <c r="E600" s="165">
        <v>3845</v>
      </c>
    </row>
    <row r="601" spans="1:5" x14ac:dyDescent="0.25">
      <c r="A601" s="216" t="s">
        <v>1264</v>
      </c>
      <c r="B601" s="218">
        <v>1</v>
      </c>
      <c r="C601" s="220" t="s">
        <v>138</v>
      </c>
      <c r="D601" s="220" t="s">
        <v>139</v>
      </c>
      <c r="E601" s="165">
        <v>3830</v>
      </c>
    </row>
    <row r="602" spans="1:5" x14ac:dyDescent="0.25">
      <c r="A602" s="216" t="s">
        <v>10977</v>
      </c>
      <c r="B602" s="218">
        <v>1</v>
      </c>
      <c r="C602" s="220" t="s">
        <v>1113</v>
      </c>
      <c r="D602" s="220" t="s">
        <v>50</v>
      </c>
      <c r="E602" s="165">
        <v>3829</v>
      </c>
    </row>
    <row r="603" spans="1:5" x14ac:dyDescent="0.25">
      <c r="A603" s="216" t="s">
        <v>10978</v>
      </c>
      <c r="B603" s="218">
        <v>1</v>
      </c>
      <c r="C603" s="220" t="s">
        <v>4914</v>
      </c>
      <c r="D603" s="220" t="s">
        <v>72</v>
      </c>
      <c r="E603" s="165">
        <v>3829</v>
      </c>
    </row>
    <row r="604" spans="1:5" x14ac:dyDescent="0.25">
      <c r="A604" s="216" t="s">
        <v>1095</v>
      </c>
      <c r="B604" s="218">
        <v>1</v>
      </c>
      <c r="C604" s="220" t="s">
        <v>1096</v>
      </c>
      <c r="D604" s="220" t="s">
        <v>56</v>
      </c>
      <c r="E604" s="165">
        <v>3827</v>
      </c>
    </row>
    <row r="605" spans="1:5" x14ac:dyDescent="0.25">
      <c r="A605" s="216" t="s">
        <v>10579</v>
      </c>
      <c r="B605" s="218" t="s">
        <v>48</v>
      </c>
      <c r="C605" s="220" t="s">
        <v>452</v>
      </c>
      <c r="D605" s="220" t="s">
        <v>78</v>
      </c>
      <c r="E605" s="165">
        <v>3826</v>
      </c>
    </row>
    <row r="606" spans="1:5" x14ac:dyDescent="0.25">
      <c r="A606" s="216" t="s">
        <v>981</v>
      </c>
      <c r="B606" s="218" t="s">
        <v>48</v>
      </c>
      <c r="C606" s="220" t="s">
        <v>141</v>
      </c>
      <c r="D606" s="220" t="s">
        <v>142</v>
      </c>
      <c r="E606" s="165">
        <v>3812</v>
      </c>
    </row>
    <row r="607" spans="1:5" x14ac:dyDescent="0.25">
      <c r="A607" s="216" t="s">
        <v>10580</v>
      </c>
      <c r="B607" s="218" t="s">
        <v>48</v>
      </c>
      <c r="C607" s="220" t="s">
        <v>3168</v>
      </c>
      <c r="D607" s="220" t="s">
        <v>63</v>
      </c>
      <c r="E607" s="165">
        <v>3800</v>
      </c>
    </row>
    <row r="608" spans="1:5" x14ac:dyDescent="0.25">
      <c r="A608" s="216" t="s">
        <v>1085</v>
      </c>
      <c r="B608" s="218">
        <v>1</v>
      </c>
      <c r="C608" s="220" t="s">
        <v>634</v>
      </c>
      <c r="D608" s="220" t="s">
        <v>264</v>
      </c>
      <c r="E608" s="165">
        <v>3797</v>
      </c>
    </row>
    <row r="609" spans="1:5" x14ac:dyDescent="0.25">
      <c r="A609" s="216" t="s">
        <v>1278</v>
      </c>
      <c r="B609" s="218" t="s">
        <v>48</v>
      </c>
      <c r="C609" s="220" t="s">
        <v>257</v>
      </c>
      <c r="D609" s="220" t="s">
        <v>108</v>
      </c>
      <c r="E609" s="165">
        <v>3794</v>
      </c>
    </row>
    <row r="610" spans="1:5" x14ac:dyDescent="0.25">
      <c r="A610" s="216" t="s">
        <v>10840</v>
      </c>
      <c r="B610" s="218" t="s">
        <v>48</v>
      </c>
      <c r="C610" s="220" t="s">
        <v>1211</v>
      </c>
      <c r="D610" s="220" t="s">
        <v>53</v>
      </c>
      <c r="E610" s="165">
        <v>3791</v>
      </c>
    </row>
    <row r="611" spans="1:5" x14ac:dyDescent="0.25">
      <c r="A611" s="216" t="s">
        <v>1023</v>
      </c>
      <c r="B611" s="218">
        <v>1</v>
      </c>
      <c r="C611" s="220" t="s">
        <v>626</v>
      </c>
      <c r="D611" s="220" t="s">
        <v>56</v>
      </c>
      <c r="E611" s="165">
        <v>3788</v>
      </c>
    </row>
    <row r="612" spans="1:5" x14ac:dyDescent="0.25">
      <c r="A612" s="216" t="s">
        <v>955</v>
      </c>
      <c r="B612" s="218" t="s">
        <v>48</v>
      </c>
      <c r="C612" s="220" t="s">
        <v>956</v>
      </c>
      <c r="D612" s="220" t="s">
        <v>90</v>
      </c>
      <c r="E612" s="165">
        <v>3788</v>
      </c>
    </row>
    <row r="613" spans="1:5" x14ac:dyDescent="0.25">
      <c r="A613" s="216" t="s">
        <v>1329</v>
      </c>
      <c r="B613" s="218" t="s">
        <v>48</v>
      </c>
      <c r="C613" s="220" t="s">
        <v>640</v>
      </c>
      <c r="D613" s="220" t="s">
        <v>69</v>
      </c>
      <c r="E613" s="165">
        <v>3788</v>
      </c>
    </row>
    <row r="614" spans="1:5" x14ac:dyDescent="0.25">
      <c r="A614" s="216" t="s">
        <v>1005</v>
      </c>
      <c r="B614" s="218">
        <v>1</v>
      </c>
      <c r="C614" s="220" t="s">
        <v>1006</v>
      </c>
      <c r="D614" s="220" t="s">
        <v>277</v>
      </c>
      <c r="E614" s="165">
        <v>3781</v>
      </c>
    </row>
    <row r="615" spans="1:5" x14ac:dyDescent="0.25">
      <c r="A615" s="216" t="s">
        <v>1052</v>
      </c>
      <c r="B615" s="218">
        <v>1</v>
      </c>
      <c r="C615" s="220" t="s">
        <v>179</v>
      </c>
      <c r="D615" s="220" t="s">
        <v>66</v>
      </c>
      <c r="E615" s="165">
        <v>3765</v>
      </c>
    </row>
    <row r="616" spans="1:5" x14ac:dyDescent="0.25">
      <c r="A616" s="216" t="s">
        <v>904</v>
      </c>
      <c r="B616" s="218" t="s">
        <v>48</v>
      </c>
      <c r="C616" s="220" t="s">
        <v>287</v>
      </c>
      <c r="D616" s="220" t="s">
        <v>82</v>
      </c>
      <c r="E616" s="165">
        <v>3751</v>
      </c>
    </row>
    <row r="617" spans="1:5" x14ac:dyDescent="0.25">
      <c r="A617" s="216" t="s">
        <v>908</v>
      </c>
      <c r="B617" s="218">
        <v>1</v>
      </c>
      <c r="C617" s="220" t="s">
        <v>323</v>
      </c>
      <c r="D617" s="220" t="s">
        <v>277</v>
      </c>
      <c r="E617" s="165">
        <v>3749</v>
      </c>
    </row>
    <row r="618" spans="1:5" x14ac:dyDescent="0.25">
      <c r="A618" s="216" t="s">
        <v>1024</v>
      </c>
      <c r="B618" s="218" t="s">
        <v>48</v>
      </c>
      <c r="C618" s="220" t="s">
        <v>1025</v>
      </c>
      <c r="D618" s="220" t="s">
        <v>75</v>
      </c>
      <c r="E618" s="165">
        <v>3734</v>
      </c>
    </row>
    <row r="619" spans="1:5" x14ac:dyDescent="0.25">
      <c r="A619" s="216" t="s">
        <v>10979</v>
      </c>
      <c r="B619" s="218" t="s">
        <v>48</v>
      </c>
      <c r="C619" s="220" t="s">
        <v>10980</v>
      </c>
      <c r="D619" s="220" t="s">
        <v>166</v>
      </c>
      <c r="E619" s="165">
        <v>3733</v>
      </c>
    </row>
    <row r="620" spans="1:5" x14ac:dyDescent="0.25">
      <c r="A620" s="216" t="s">
        <v>1093</v>
      </c>
      <c r="B620" s="218">
        <v>1</v>
      </c>
      <c r="C620" s="220" t="s">
        <v>120</v>
      </c>
      <c r="D620" s="220" t="s">
        <v>63</v>
      </c>
      <c r="E620" s="165">
        <v>3722</v>
      </c>
    </row>
    <row r="621" spans="1:5" x14ac:dyDescent="0.25">
      <c r="A621" s="216" t="s">
        <v>1222</v>
      </c>
      <c r="B621" s="218" t="s">
        <v>48</v>
      </c>
      <c r="C621" s="220" t="s">
        <v>1223</v>
      </c>
      <c r="D621" s="220" t="s">
        <v>53</v>
      </c>
      <c r="E621" s="165">
        <v>3722</v>
      </c>
    </row>
    <row r="622" spans="1:5" x14ac:dyDescent="0.25">
      <c r="A622" s="216" t="s">
        <v>1082</v>
      </c>
      <c r="B622" s="218" t="s">
        <v>48</v>
      </c>
      <c r="C622" s="220" t="s">
        <v>689</v>
      </c>
      <c r="D622" s="220" t="s">
        <v>124</v>
      </c>
      <c r="E622" s="165">
        <v>3707</v>
      </c>
    </row>
    <row r="623" spans="1:5" x14ac:dyDescent="0.25">
      <c r="A623" s="216" t="s">
        <v>929</v>
      </c>
      <c r="B623" s="218" t="s">
        <v>48</v>
      </c>
      <c r="C623" s="220" t="s">
        <v>930</v>
      </c>
      <c r="D623" s="220" t="s">
        <v>139</v>
      </c>
      <c r="E623" s="165">
        <v>3706</v>
      </c>
    </row>
    <row r="624" spans="1:5" x14ac:dyDescent="0.25">
      <c r="A624" s="216" t="s">
        <v>2215</v>
      </c>
      <c r="B624" s="218">
        <v>1</v>
      </c>
      <c r="C624" s="220" t="s">
        <v>2216</v>
      </c>
      <c r="D624" s="220" t="s">
        <v>130</v>
      </c>
      <c r="E624" s="165">
        <v>3682</v>
      </c>
    </row>
    <row r="625" spans="1:5" x14ac:dyDescent="0.25">
      <c r="A625" s="216" t="s">
        <v>1039</v>
      </c>
      <c r="B625" s="218">
        <v>1</v>
      </c>
      <c r="C625" s="220" t="s">
        <v>1040</v>
      </c>
      <c r="D625" s="220" t="s">
        <v>50</v>
      </c>
      <c r="E625" s="165">
        <v>3670</v>
      </c>
    </row>
    <row r="626" spans="1:5" x14ac:dyDescent="0.25">
      <c r="A626" s="216" t="s">
        <v>1108</v>
      </c>
      <c r="B626" s="218" t="s">
        <v>48</v>
      </c>
      <c r="C626" s="220" t="s">
        <v>89</v>
      </c>
      <c r="D626" s="220" t="s">
        <v>90</v>
      </c>
      <c r="E626" s="165">
        <v>3665</v>
      </c>
    </row>
    <row r="627" spans="1:5" x14ac:dyDescent="0.25">
      <c r="A627" s="216" t="s">
        <v>1238</v>
      </c>
      <c r="B627" s="218" t="s">
        <v>48</v>
      </c>
      <c r="C627" s="220" t="s">
        <v>1239</v>
      </c>
      <c r="D627" s="220" t="s">
        <v>63</v>
      </c>
      <c r="E627" s="165">
        <v>3633</v>
      </c>
    </row>
    <row r="628" spans="1:5" x14ac:dyDescent="0.25">
      <c r="A628" s="216" t="s">
        <v>1132</v>
      </c>
      <c r="B628" s="218" t="s">
        <v>48</v>
      </c>
      <c r="C628" s="220" t="s">
        <v>65</v>
      </c>
      <c r="D628" s="220" t="s">
        <v>66</v>
      </c>
      <c r="E628" s="165">
        <v>3625</v>
      </c>
    </row>
    <row r="629" spans="1:5" x14ac:dyDescent="0.25">
      <c r="A629" s="216" t="s">
        <v>1080</v>
      </c>
      <c r="B629" s="218" t="s">
        <v>48</v>
      </c>
      <c r="C629" s="220" t="s">
        <v>877</v>
      </c>
      <c r="D629" s="220" t="s">
        <v>53</v>
      </c>
      <c r="E629" s="165">
        <v>3624</v>
      </c>
    </row>
    <row r="630" spans="1:5" x14ac:dyDescent="0.25">
      <c r="A630" s="216" t="s">
        <v>1114</v>
      </c>
      <c r="B630" s="218" t="s">
        <v>48</v>
      </c>
      <c r="C630" s="220" t="s">
        <v>1115</v>
      </c>
      <c r="D630" s="220" t="s">
        <v>93</v>
      </c>
      <c r="E630" s="165">
        <v>3614</v>
      </c>
    </row>
    <row r="631" spans="1:5" x14ac:dyDescent="0.25">
      <c r="A631" s="216" t="s">
        <v>1083</v>
      </c>
      <c r="B631" s="218">
        <v>1</v>
      </c>
      <c r="C631" s="220" t="s">
        <v>1084</v>
      </c>
      <c r="D631" s="220" t="s">
        <v>139</v>
      </c>
      <c r="E631" s="165">
        <v>3607</v>
      </c>
    </row>
    <row r="632" spans="1:5" x14ac:dyDescent="0.25">
      <c r="A632" s="216" t="s">
        <v>1216</v>
      </c>
      <c r="B632" s="218" t="s">
        <v>48</v>
      </c>
      <c r="C632" s="220" t="s">
        <v>1217</v>
      </c>
      <c r="D632" s="220" t="s">
        <v>108</v>
      </c>
      <c r="E632" s="165">
        <v>3600</v>
      </c>
    </row>
    <row r="633" spans="1:5" x14ac:dyDescent="0.25">
      <c r="A633" s="216" t="s">
        <v>1079</v>
      </c>
      <c r="B633" s="218">
        <v>1</v>
      </c>
      <c r="C633" s="220" t="s">
        <v>516</v>
      </c>
      <c r="D633" s="220" t="s">
        <v>517</v>
      </c>
      <c r="E633" s="165">
        <v>3598</v>
      </c>
    </row>
    <row r="634" spans="1:5" x14ac:dyDescent="0.25">
      <c r="A634" s="216" t="s">
        <v>1139</v>
      </c>
      <c r="B634" s="218" t="s">
        <v>48</v>
      </c>
      <c r="C634" s="220" t="s">
        <v>1140</v>
      </c>
      <c r="D634" s="220" t="s">
        <v>394</v>
      </c>
      <c r="E634" s="165">
        <v>3594</v>
      </c>
    </row>
    <row r="635" spans="1:5" x14ac:dyDescent="0.25">
      <c r="A635" s="216" t="s">
        <v>753</v>
      </c>
      <c r="B635" s="218">
        <v>1</v>
      </c>
      <c r="C635" s="220" t="s">
        <v>754</v>
      </c>
      <c r="D635" s="220" t="s">
        <v>166</v>
      </c>
      <c r="E635" s="165">
        <v>3581</v>
      </c>
    </row>
    <row r="636" spans="1:5" x14ac:dyDescent="0.25">
      <c r="A636" s="216" t="s">
        <v>911</v>
      </c>
      <c r="B636" s="218">
        <v>1</v>
      </c>
      <c r="C636" s="220" t="s">
        <v>665</v>
      </c>
      <c r="D636" s="220" t="s">
        <v>188</v>
      </c>
      <c r="E636" s="165">
        <v>3578</v>
      </c>
    </row>
    <row r="637" spans="1:5" x14ac:dyDescent="0.25">
      <c r="A637" s="216" t="s">
        <v>937</v>
      </c>
      <c r="B637" s="218" t="s">
        <v>48</v>
      </c>
      <c r="C637" s="220" t="s">
        <v>390</v>
      </c>
      <c r="D637" s="220" t="s">
        <v>75</v>
      </c>
      <c r="E637" s="165">
        <v>3564</v>
      </c>
    </row>
    <row r="638" spans="1:5" x14ac:dyDescent="0.25">
      <c r="A638" s="216" t="s">
        <v>1062</v>
      </c>
      <c r="B638" s="218">
        <v>1</v>
      </c>
      <c r="C638" s="220" t="s">
        <v>962</v>
      </c>
      <c r="D638" s="220" t="s">
        <v>50</v>
      </c>
      <c r="E638" s="165">
        <v>3562</v>
      </c>
    </row>
    <row r="639" spans="1:5" x14ac:dyDescent="0.25">
      <c r="A639" s="216" t="s">
        <v>1169</v>
      </c>
      <c r="B639" s="218">
        <v>1</v>
      </c>
      <c r="C639" s="220" t="s">
        <v>1050</v>
      </c>
      <c r="D639" s="220" t="s">
        <v>63</v>
      </c>
      <c r="E639" s="165">
        <v>3561</v>
      </c>
    </row>
    <row r="640" spans="1:5" x14ac:dyDescent="0.25">
      <c r="A640" s="216" t="s">
        <v>1313</v>
      </c>
      <c r="B640" s="218">
        <v>1</v>
      </c>
      <c r="C640" s="220" t="s">
        <v>1017</v>
      </c>
      <c r="D640" s="220" t="s">
        <v>337</v>
      </c>
      <c r="E640" s="165">
        <v>3551</v>
      </c>
    </row>
    <row r="641" spans="1:5" x14ac:dyDescent="0.25">
      <c r="A641" s="216" t="s">
        <v>1120</v>
      </c>
      <c r="B641" s="218">
        <v>1</v>
      </c>
      <c r="C641" s="220" t="s">
        <v>1121</v>
      </c>
      <c r="D641" s="220" t="s">
        <v>63</v>
      </c>
      <c r="E641" s="165">
        <v>3549</v>
      </c>
    </row>
    <row r="642" spans="1:5" x14ac:dyDescent="0.25">
      <c r="A642" s="216" t="s">
        <v>10981</v>
      </c>
      <c r="B642" s="218">
        <v>1</v>
      </c>
      <c r="C642" s="220" t="s">
        <v>10982</v>
      </c>
      <c r="D642" s="220" t="s">
        <v>50</v>
      </c>
      <c r="E642" s="165">
        <v>3547</v>
      </c>
    </row>
    <row r="643" spans="1:5" x14ac:dyDescent="0.25">
      <c r="A643" s="216" t="s">
        <v>1156</v>
      </c>
      <c r="B643" s="218" t="s">
        <v>48</v>
      </c>
      <c r="C643" s="220" t="s">
        <v>1157</v>
      </c>
      <c r="D643" s="220" t="s">
        <v>206</v>
      </c>
      <c r="E643" s="165">
        <v>3525</v>
      </c>
    </row>
    <row r="644" spans="1:5" x14ac:dyDescent="0.25">
      <c r="A644" s="216" t="s">
        <v>1184</v>
      </c>
      <c r="B644" s="218">
        <v>1</v>
      </c>
      <c r="C644" s="220" t="s">
        <v>68</v>
      </c>
      <c r="D644" s="220" t="s">
        <v>63</v>
      </c>
      <c r="E644" s="165">
        <v>3515</v>
      </c>
    </row>
    <row r="645" spans="1:5" x14ac:dyDescent="0.25">
      <c r="A645" s="216" t="s">
        <v>1198</v>
      </c>
      <c r="B645" s="218" t="s">
        <v>48</v>
      </c>
      <c r="C645" s="220" t="s">
        <v>1199</v>
      </c>
      <c r="D645" s="220" t="s">
        <v>1200</v>
      </c>
      <c r="E645" s="165">
        <v>3505</v>
      </c>
    </row>
    <row r="646" spans="1:5" x14ac:dyDescent="0.25">
      <c r="A646" s="216" t="s">
        <v>1201</v>
      </c>
      <c r="B646" s="218" t="s">
        <v>48</v>
      </c>
      <c r="C646" s="220" t="s">
        <v>777</v>
      </c>
      <c r="D646" s="220" t="s">
        <v>56</v>
      </c>
      <c r="E646" s="165">
        <v>3500</v>
      </c>
    </row>
    <row r="647" spans="1:5" x14ac:dyDescent="0.25">
      <c r="A647" s="216" t="s">
        <v>1161</v>
      </c>
      <c r="B647" s="218">
        <v>1</v>
      </c>
      <c r="C647" s="220" t="s">
        <v>1162</v>
      </c>
      <c r="D647" s="220" t="s">
        <v>188</v>
      </c>
      <c r="E647" s="165">
        <v>3499</v>
      </c>
    </row>
    <row r="648" spans="1:5" x14ac:dyDescent="0.25">
      <c r="A648" s="216" t="s">
        <v>1843</v>
      </c>
      <c r="B648" s="218">
        <v>1</v>
      </c>
      <c r="C648" s="220" t="s">
        <v>1844</v>
      </c>
      <c r="D648" s="220" t="s">
        <v>50</v>
      </c>
      <c r="E648" s="165">
        <v>3478</v>
      </c>
    </row>
    <row r="649" spans="1:5" x14ac:dyDescent="0.25">
      <c r="A649" s="216" t="s">
        <v>10983</v>
      </c>
      <c r="B649" s="218" t="s">
        <v>48</v>
      </c>
      <c r="C649" s="220" t="s">
        <v>1131</v>
      </c>
      <c r="D649" s="220" t="s">
        <v>78</v>
      </c>
      <c r="E649" s="165">
        <v>3476</v>
      </c>
    </row>
    <row r="650" spans="1:5" x14ac:dyDescent="0.25">
      <c r="A650" s="216" t="s">
        <v>992</v>
      </c>
      <c r="B650" s="218" t="s">
        <v>48</v>
      </c>
      <c r="C650" s="220" t="s">
        <v>473</v>
      </c>
      <c r="D650" s="220" t="s">
        <v>82</v>
      </c>
      <c r="E650" s="165">
        <v>3471</v>
      </c>
    </row>
    <row r="651" spans="1:5" x14ac:dyDescent="0.25">
      <c r="A651" s="216" t="s">
        <v>1037</v>
      </c>
      <c r="B651" s="218">
        <v>1</v>
      </c>
      <c r="C651" s="220" t="s">
        <v>1038</v>
      </c>
      <c r="D651" s="220" t="s">
        <v>87</v>
      </c>
      <c r="E651" s="165">
        <v>3467</v>
      </c>
    </row>
    <row r="652" spans="1:5" x14ac:dyDescent="0.25">
      <c r="A652" s="216" t="s">
        <v>1187</v>
      </c>
      <c r="B652" s="218">
        <v>1</v>
      </c>
      <c r="C652" s="220" t="s">
        <v>1188</v>
      </c>
      <c r="D652" s="220" t="s">
        <v>188</v>
      </c>
      <c r="E652" s="165">
        <v>3464</v>
      </c>
    </row>
    <row r="653" spans="1:5" x14ac:dyDescent="0.25">
      <c r="A653" s="216" t="s">
        <v>1205</v>
      </c>
      <c r="B653" s="218" t="s">
        <v>48</v>
      </c>
      <c r="C653" s="220" t="s">
        <v>1206</v>
      </c>
      <c r="D653" s="220" t="s">
        <v>139</v>
      </c>
      <c r="E653" s="165">
        <v>3450</v>
      </c>
    </row>
    <row r="654" spans="1:5" x14ac:dyDescent="0.25">
      <c r="A654" s="216" t="s">
        <v>1143</v>
      </c>
      <c r="B654" s="218" t="s">
        <v>48</v>
      </c>
      <c r="C654" s="220" t="s">
        <v>1144</v>
      </c>
      <c r="D654" s="220" t="s">
        <v>90</v>
      </c>
      <c r="E654" s="165">
        <v>3446</v>
      </c>
    </row>
    <row r="655" spans="1:5" x14ac:dyDescent="0.25">
      <c r="A655" s="216" t="s">
        <v>1303</v>
      </c>
      <c r="B655" s="218" t="s">
        <v>48</v>
      </c>
      <c r="C655" s="220" t="s">
        <v>426</v>
      </c>
      <c r="D655" s="220" t="s">
        <v>93</v>
      </c>
      <c r="E655" s="165">
        <v>3422</v>
      </c>
    </row>
    <row r="656" spans="1:5" x14ac:dyDescent="0.25">
      <c r="A656" s="216" t="s">
        <v>1026</v>
      </c>
      <c r="B656" s="218">
        <v>1</v>
      </c>
      <c r="C656" s="220" t="s">
        <v>1027</v>
      </c>
      <c r="D656" s="220" t="s">
        <v>277</v>
      </c>
      <c r="E656" s="165">
        <v>3416</v>
      </c>
    </row>
    <row r="657" spans="1:5" x14ac:dyDescent="0.25">
      <c r="A657" s="216" t="s">
        <v>1028</v>
      </c>
      <c r="B657" s="218">
        <v>1</v>
      </c>
      <c r="C657" s="220" t="s">
        <v>347</v>
      </c>
      <c r="D657" s="220" t="s">
        <v>348</v>
      </c>
      <c r="E657" s="165">
        <v>3408</v>
      </c>
    </row>
    <row r="658" spans="1:5" x14ac:dyDescent="0.25">
      <c r="A658" s="216" t="s">
        <v>1099</v>
      </c>
      <c r="B658" s="218">
        <v>1</v>
      </c>
      <c r="C658" s="220" t="s">
        <v>1100</v>
      </c>
      <c r="D658" s="220" t="s">
        <v>277</v>
      </c>
      <c r="E658" s="165">
        <v>3405</v>
      </c>
    </row>
    <row r="659" spans="1:5" x14ac:dyDescent="0.25">
      <c r="A659" s="216" t="s">
        <v>1284</v>
      </c>
      <c r="B659" s="218" t="s">
        <v>48</v>
      </c>
      <c r="C659" s="220" t="s">
        <v>1285</v>
      </c>
      <c r="D659" s="220" t="s">
        <v>59</v>
      </c>
      <c r="E659" s="165">
        <v>3400</v>
      </c>
    </row>
    <row r="660" spans="1:5" x14ac:dyDescent="0.25">
      <c r="A660" s="216" t="s">
        <v>1076</v>
      </c>
      <c r="B660" s="218">
        <v>1</v>
      </c>
      <c r="C660" s="220" t="s">
        <v>1077</v>
      </c>
      <c r="D660" s="220" t="s">
        <v>56</v>
      </c>
      <c r="E660" s="165">
        <v>3386</v>
      </c>
    </row>
    <row r="661" spans="1:5" x14ac:dyDescent="0.25">
      <c r="A661" s="216" t="s">
        <v>1102</v>
      </c>
      <c r="B661" s="218">
        <v>1</v>
      </c>
      <c r="C661" s="220" t="s">
        <v>1103</v>
      </c>
      <c r="D661" s="220" t="s">
        <v>277</v>
      </c>
      <c r="E661" s="165">
        <v>3385</v>
      </c>
    </row>
    <row r="662" spans="1:5" x14ac:dyDescent="0.25">
      <c r="A662" s="216" t="s">
        <v>1378</v>
      </c>
      <c r="B662" s="218" t="s">
        <v>48</v>
      </c>
      <c r="C662" s="220" t="s">
        <v>102</v>
      </c>
      <c r="D662" s="220" t="s">
        <v>93</v>
      </c>
      <c r="E662" s="165">
        <v>3383</v>
      </c>
    </row>
    <row r="663" spans="1:5" x14ac:dyDescent="0.25">
      <c r="A663" s="216" t="s">
        <v>1046</v>
      </c>
      <c r="B663" s="218" t="s">
        <v>48</v>
      </c>
      <c r="C663" s="220" t="s">
        <v>1047</v>
      </c>
      <c r="D663" s="220" t="s">
        <v>53</v>
      </c>
      <c r="E663" s="165">
        <v>3378</v>
      </c>
    </row>
    <row r="664" spans="1:5" x14ac:dyDescent="0.25">
      <c r="A664" s="216" t="s">
        <v>1195</v>
      </c>
      <c r="B664" s="218" t="s">
        <v>48</v>
      </c>
      <c r="C664" s="220" t="s">
        <v>161</v>
      </c>
      <c r="D664" s="220" t="s">
        <v>90</v>
      </c>
      <c r="E664" s="165">
        <v>3369</v>
      </c>
    </row>
    <row r="665" spans="1:5" x14ac:dyDescent="0.25">
      <c r="A665" s="216" t="s">
        <v>1276</v>
      </c>
      <c r="B665" s="218" t="s">
        <v>48</v>
      </c>
      <c r="C665" s="220" t="s">
        <v>1277</v>
      </c>
      <c r="D665" s="220" t="s">
        <v>53</v>
      </c>
      <c r="E665" s="165">
        <v>3366</v>
      </c>
    </row>
    <row r="666" spans="1:5" x14ac:dyDescent="0.25">
      <c r="A666" s="216" t="s">
        <v>1219</v>
      </c>
      <c r="B666" s="218">
        <v>1</v>
      </c>
      <c r="C666" s="220" t="s">
        <v>1220</v>
      </c>
      <c r="D666" s="220" t="s">
        <v>63</v>
      </c>
      <c r="E666" s="165">
        <v>3362</v>
      </c>
    </row>
    <row r="667" spans="1:5" x14ac:dyDescent="0.25">
      <c r="A667" s="216" t="s">
        <v>10984</v>
      </c>
      <c r="B667" s="218">
        <v>1</v>
      </c>
      <c r="C667" s="220" t="s">
        <v>10985</v>
      </c>
      <c r="D667" s="220" t="s">
        <v>56</v>
      </c>
      <c r="E667" s="165">
        <v>3344</v>
      </c>
    </row>
    <row r="668" spans="1:5" x14ac:dyDescent="0.25">
      <c r="A668" s="216" t="s">
        <v>2675</v>
      </c>
      <c r="B668" s="218" t="s">
        <v>48</v>
      </c>
      <c r="C668" s="220" t="s">
        <v>2676</v>
      </c>
      <c r="D668" s="220" t="s">
        <v>59</v>
      </c>
      <c r="E668" s="165">
        <v>3343</v>
      </c>
    </row>
    <row r="669" spans="1:5" x14ac:dyDescent="0.25">
      <c r="A669" s="216" t="s">
        <v>1387</v>
      </c>
      <c r="B669" s="218" t="s">
        <v>48</v>
      </c>
      <c r="C669" s="220" t="s">
        <v>283</v>
      </c>
      <c r="D669" s="220" t="s">
        <v>59</v>
      </c>
      <c r="E669" s="165">
        <v>3340</v>
      </c>
    </row>
    <row r="670" spans="1:5" x14ac:dyDescent="0.25">
      <c r="A670" s="216" t="s">
        <v>1106</v>
      </c>
      <c r="B670" s="218">
        <v>1</v>
      </c>
      <c r="C670" s="220" t="s">
        <v>1107</v>
      </c>
      <c r="D670" s="220" t="s">
        <v>192</v>
      </c>
      <c r="E670" s="165">
        <v>3322</v>
      </c>
    </row>
    <row r="671" spans="1:5" x14ac:dyDescent="0.25">
      <c r="A671" s="216" t="s">
        <v>791</v>
      </c>
      <c r="B671" s="218" t="s">
        <v>48</v>
      </c>
      <c r="C671" s="220" t="s">
        <v>792</v>
      </c>
      <c r="D671" s="220" t="s">
        <v>523</v>
      </c>
      <c r="E671" s="165">
        <v>3313</v>
      </c>
    </row>
    <row r="672" spans="1:5" x14ac:dyDescent="0.25">
      <c r="A672" s="216" t="s">
        <v>1940</v>
      </c>
      <c r="B672" s="218" t="s">
        <v>48</v>
      </c>
      <c r="C672" s="220" t="s">
        <v>1941</v>
      </c>
      <c r="D672" s="220" t="s">
        <v>206</v>
      </c>
      <c r="E672" s="165">
        <v>3305</v>
      </c>
    </row>
    <row r="673" spans="1:5" x14ac:dyDescent="0.25">
      <c r="A673" s="216" t="s">
        <v>1044</v>
      </c>
      <c r="B673" s="218">
        <v>1</v>
      </c>
      <c r="C673" s="220" t="s">
        <v>1045</v>
      </c>
      <c r="D673" s="220" t="s">
        <v>139</v>
      </c>
      <c r="E673" s="165">
        <v>3302</v>
      </c>
    </row>
    <row r="674" spans="1:5" x14ac:dyDescent="0.25">
      <c r="A674" s="216" t="s">
        <v>1150</v>
      </c>
      <c r="B674" s="218">
        <v>1</v>
      </c>
      <c r="C674" s="220" t="s">
        <v>86</v>
      </c>
      <c r="D674" s="220" t="s">
        <v>78</v>
      </c>
      <c r="E674" s="165">
        <v>3297</v>
      </c>
    </row>
    <row r="675" spans="1:5" x14ac:dyDescent="0.25">
      <c r="A675" s="216" t="s">
        <v>1413</v>
      </c>
      <c r="B675" s="218">
        <v>1</v>
      </c>
      <c r="C675" s="220" t="s">
        <v>1414</v>
      </c>
      <c r="D675" s="220" t="s">
        <v>139</v>
      </c>
      <c r="E675" s="165">
        <v>3297</v>
      </c>
    </row>
    <row r="676" spans="1:5" x14ac:dyDescent="0.25">
      <c r="A676" s="216" t="s">
        <v>1265</v>
      </c>
      <c r="B676" s="218" t="s">
        <v>48</v>
      </c>
      <c r="C676" s="220" t="s">
        <v>1266</v>
      </c>
      <c r="D676" s="220" t="s">
        <v>166</v>
      </c>
      <c r="E676" s="165">
        <v>3297</v>
      </c>
    </row>
    <row r="677" spans="1:5" x14ac:dyDescent="0.25">
      <c r="A677" s="216" t="s">
        <v>677</v>
      </c>
      <c r="B677" s="218" t="s">
        <v>48</v>
      </c>
      <c r="C677" s="220" t="s">
        <v>505</v>
      </c>
      <c r="D677" s="220" t="s">
        <v>130</v>
      </c>
      <c r="E677" s="165">
        <v>3293</v>
      </c>
    </row>
    <row r="678" spans="1:5" x14ac:dyDescent="0.25">
      <c r="A678" s="216" t="s">
        <v>1466</v>
      </c>
      <c r="B678" s="218" t="s">
        <v>48</v>
      </c>
      <c r="C678" s="220" t="s">
        <v>77</v>
      </c>
      <c r="D678" s="220" t="s">
        <v>78</v>
      </c>
      <c r="E678" s="165">
        <v>3289</v>
      </c>
    </row>
    <row r="679" spans="1:5" x14ac:dyDescent="0.25">
      <c r="A679" s="216" t="s">
        <v>10986</v>
      </c>
      <c r="B679" s="218">
        <v>1</v>
      </c>
      <c r="C679" s="220" t="s">
        <v>1938</v>
      </c>
      <c r="D679" s="220" t="s">
        <v>78</v>
      </c>
      <c r="E679" s="165">
        <v>3282</v>
      </c>
    </row>
    <row r="680" spans="1:5" x14ac:dyDescent="0.25">
      <c r="A680" s="216" t="s">
        <v>1226</v>
      </c>
      <c r="B680" s="218" t="s">
        <v>48</v>
      </c>
      <c r="C680" s="220" t="s">
        <v>481</v>
      </c>
      <c r="D680" s="220" t="s">
        <v>142</v>
      </c>
      <c r="E680" s="165">
        <v>3272</v>
      </c>
    </row>
    <row r="681" spans="1:5" x14ac:dyDescent="0.25">
      <c r="A681" s="216" t="s">
        <v>1104</v>
      </c>
      <c r="B681" s="218">
        <v>1</v>
      </c>
      <c r="C681" s="220" t="s">
        <v>1105</v>
      </c>
      <c r="D681" s="220" t="s">
        <v>523</v>
      </c>
      <c r="E681" s="165">
        <v>3271</v>
      </c>
    </row>
    <row r="682" spans="1:5" x14ac:dyDescent="0.25">
      <c r="A682" s="216" t="s">
        <v>1432</v>
      </c>
      <c r="B682" s="218">
        <v>1</v>
      </c>
      <c r="C682" s="220" t="s">
        <v>138</v>
      </c>
      <c r="D682" s="220" t="s">
        <v>139</v>
      </c>
      <c r="E682" s="165">
        <v>3253</v>
      </c>
    </row>
    <row r="683" spans="1:5" x14ac:dyDescent="0.25">
      <c r="A683" s="216" t="s">
        <v>1185</v>
      </c>
      <c r="B683" s="218">
        <v>1</v>
      </c>
      <c r="C683" s="220" t="s">
        <v>1186</v>
      </c>
      <c r="D683" s="220" t="s">
        <v>66</v>
      </c>
      <c r="E683" s="165">
        <v>3251</v>
      </c>
    </row>
    <row r="684" spans="1:5" x14ac:dyDescent="0.25">
      <c r="A684" s="216" t="s">
        <v>10987</v>
      </c>
      <c r="B684" s="218" t="s">
        <v>48</v>
      </c>
      <c r="C684" s="220" t="s">
        <v>1125</v>
      </c>
      <c r="D684" s="220" t="s">
        <v>264</v>
      </c>
      <c r="E684" s="165">
        <v>3250</v>
      </c>
    </row>
    <row r="685" spans="1:5" x14ac:dyDescent="0.25">
      <c r="A685" s="216" t="s">
        <v>1499</v>
      </c>
      <c r="B685" s="218" t="s">
        <v>48</v>
      </c>
      <c r="C685" s="220" t="s">
        <v>1500</v>
      </c>
      <c r="D685" s="220" t="s">
        <v>56</v>
      </c>
      <c r="E685" s="165">
        <v>3247</v>
      </c>
    </row>
    <row r="686" spans="1:5" x14ac:dyDescent="0.25">
      <c r="A686" s="216" t="s">
        <v>1363</v>
      </c>
      <c r="B686" s="218" t="s">
        <v>48</v>
      </c>
      <c r="C686" s="220" t="s">
        <v>547</v>
      </c>
      <c r="D686" s="220" t="s">
        <v>53</v>
      </c>
      <c r="E686" s="165">
        <v>3227</v>
      </c>
    </row>
    <row r="687" spans="1:5" x14ac:dyDescent="0.25">
      <c r="A687" s="216" t="s">
        <v>1165</v>
      </c>
      <c r="B687" s="218" t="s">
        <v>48</v>
      </c>
      <c r="C687" s="220" t="s">
        <v>1166</v>
      </c>
      <c r="D687" s="220" t="s">
        <v>108</v>
      </c>
      <c r="E687" s="165">
        <v>3221</v>
      </c>
    </row>
    <row r="688" spans="1:5" x14ac:dyDescent="0.25">
      <c r="A688" s="216" t="s">
        <v>1011</v>
      </c>
      <c r="B688" s="218" t="s">
        <v>48</v>
      </c>
      <c r="C688" s="220" t="s">
        <v>4016</v>
      </c>
      <c r="D688" s="220" t="s">
        <v>192</v>
      </c>
      <c r="E688" s="165">
        <v>3218</v>
      </c>
    </row>
    <row r="689" spans="1:5" x14ac:dyDescent="0.25">
      <c r="A689" s="216" t="s">
        <v>1148</v>
      </c>
      <c r="B689" s="218">
        <v>1</v>
      </c>
      <c r="C689" s="220" t="s">
        <v>1149</v>
      </c>
      <c r="D689" s="220" t="s">
        <v>50</v>
      </c>
      <c r="E689" s="165">
        <v>3212</v>
      </c>
    </row>
    <row r="690" spans="1:5" x14ac:dyDescent="0.25">
      <c r="A690" s="216" t="s">
        <v>1172</v>
      </c>
      <c r="B690" s="218">
        <v>1</v>
      </c>
      <c r="C690" s="220" t="s">
        <v>154</v>
      </c>
      <c r="D690" s="220" t="s">
        <v>56</v>
      </c>
      <c r="E690" s="165">
        <v>3211</v>
      </c>
    </row>
    <row r="691" spans="1:5" x14ac:dyDescent="0.25">
      <c r="A691" s="216" t="s">
        <v>1092</v>
      </c>
      <c r="B691" s="218">
        <v>1</v>
      </c>
      <c r="C691" s="220" t="s">
        <v>994</v>
      </c>
      <c r="D691" s="220" t="s">
        <v>277</v>
      </c>
      <c r="E691" s="165">
        <v>3201</v>
      </c>
    </row>
    <row r="692" spans="1:5" x14ac:dyDescent="0.25">
      <c r="A692" s="216" t="s">
        <v>1213</v>
      </c>
      <c r="B692" s="218" t="s">
        <v>48</v>
      </c>
      <c r="C692" s="220" t="s">
        <v>1214</v>
      </c>
      <c r="D692" s="220" t="s">
        <v>75</v>
      </c>
      <c r="E692" s="165">
        <v>3200</v>
      </c>
    </row>
    <row r="693" spans="1:5" x14ac:dyDescent="0.25">
      <c r="A693" s="216" t="s">
        <v>1267</v>
      </c>
      <c r="B693" s="218" t="s">
        <v>48</v>
      </c>
      <c r="C693" s="220" t="s">
        <v>1268</v>
      </c>
      <c r="D693" s="220" t="s">
        <v>63</v>
      </c>
      <c r="E693" s="165">
        <v>3200</v>
      </c>
    </row>
    <row r="694" spans="1:5" x14ac:dyDescent="0.25">
      <c r="A694" s="216" t="s">
        <v>1449</v>
      </c>
      <c r="B694" s="218">
        <v>1</v>
      </c>
      <c r="C694" s="220" t="s">
        <v>1450</v>
      </c>
      <c r="D694" s="220" t="s">
        <v>139</v>
      </c>
      <c r="E694" s="165">
        <v>3198</v>
      </c>
    </row>
    <row r="695" spans="1:5" x14ac:dyDescent="0.25">
      <c r="A695" s="216" t="s">
        <v>10870</v>
      </c>
      <c r="B695" s="218">
        <v>1</v>
      </c>
      <c r="C695" s="220" t="s">
        <v>5165</v>
      </c>
      <c r="D695" s="220" t="s">
        <v>66</v>
      </c>
      <c r="E695" s="165">
        <v>3195</v>
      </c>
    </row>
    <row r="696" spans="1:5" x14ac:dyDescent="0.25">
      <c r="A696" s="216" t="s">
        <v>1065</v>
      </c>
      <c r="B696" s="218">
        <v>1</v>
      </c>
      <c r="C696" s="220" t="s">
        <v>1066</v>
      </c>
      <c r="D696" s="220" t="s">
        <v>93</v>
      </c>
      <c r="E696" s="165">
        <v>3187</v>
      </c>
    </row>
    <row r="697" spans="1:5" x14ac:dyDescent="0.25">
      <c r="A697" s="216" t="s">
        <v>1002</v>
      </c>
      <c r="B697" s="218">
        <v>1</v>
      </c>
      <c r="C697" s="220" t="s">
        <v>393</v>
      </c>
      <c r="D697" s="220" t="s">
        <v>50</v>
      </c>
      <c r="E697" s="165">
        <v>3186</v>
      </c>
    </row>
    <row r="698" spans="1:5" x14ac:dyDescent="0.25">
      <c r="A698" s="216" t="s">
        <v>1182</v>
      </c>
      <c r="B698" s="218">
        <v>1</v>
      </c>
      <c r="C698" s="220" t="s">
        <v>1183</v>
      </c>
      <c r="D698" s="220" t="s">
        <v>56</v>
      </c>
      <c r="E698" s="165">
        <v>3174</v>
      </c>
    </row>
    <row r="699" spans="1:5" x14ac:dyDescent="0.25">
      <c r="A699" s="216" t="s">
        <v>1251</v>
      </c>
      <c r="B699" s="218">
        <v>1</v>
      </c>
      <c r="C699" s="220" t="s">
        <v>270</v>
      </c>
      <c r="D699" s="220" t="s">
        <v>177</v>
      </c>
      <c r="E699" s="165">
        <v>3167</v>
      </c>
    </row>
    <row r="700" spans="1:5" x14ac:dyDescent="0.25">
      <c r="A700" s="216" t="s">
        <v>1146</v>
      </c>
      <c r="B700" s="218">
        <v>1</v>
      </c>
      <c r="C700" s="220" t="s">
        <v>1147</v>
      </c>
      <c r="D700" s="220" t="s">
        <v>66</v>
      </c>
      <c r="E700" s="165">
        <v>3151</v>
      </c>
    </row>
    <row r="701" spans="1:5" x14ac:dyDescent="0.25">
      <c r="A701" s="216" t="s">
        <v>1159</v>
      </c>
      <c r="B701" s="218">
        <v>1</v>
      </c>
      <c r="C701" s="220" t="s">
        <v>1160</v>
      </c>
      <c r="D701" s="220" t="s">
        <v>628</v>
      </c>
      <c r="E701" s="165">
        <v>3150</v>
      </c>
    </row>
    <row r="702" spans="1:5" x14ac:dyDescent="0.25">
      <c r="A702" s="216" t="s">
        <v>1000</v>
      </c>
      <c r="B702" s="218">
        <v>1</v>
      </c>
      <c r="C702" s="220" t="s">
        <v>1001</v>
      </c>
      <c r="D702" s="220" t="s">
        <v>188</v>
      </c>
      <c r="E702" s="165">
        <v>3137</v>
      </c>
    </row>
    <row r="703" spans="1:5" x14ac:dyDescent="0.25">
      <c r="A703" s="216" t="s">
        <v>1296</v>
      </c>
      <c r="B703" s="218">
        <v>1</v>
      </c>
      <c r="C703" s="220" t="s">
        <v>68</v>
      </c>
      <c r="D703" s="220" t="s">
        <v>63</v>
      </c>
      <c r="E703" s="165">
        <v>3115</v>
      </c>
    </row>
    <row r="704" spans="1:5" x14ac:dyDescent="0.25">
      <c r="A704" s="216" t="s">
        <v>1221</v>
      </c>
      <c r="B704" s="218">
        <v>1</v>
      </c>
      <c r="C704" s="220" t="s">
        <v>634</v>
      </c>
      <c r="D704" s="220" t="s">
        <v>264</v>
      </c>
      <c r="E704" s="165">
        <v>3112</v>
      </c>
    </row>
    <row r="705" spans="1:5" x14ac:dyDescent="0.25">
      <c r="A705" s="216" t="s">
        <v>1153</v>
      </c>
      <c r="B705" s="218">
        <v>1</v>
      </c>
      <c r="C705" s="220" t="s">
        <v>1154</v>
      </c>
      <c r="D705" s="220" t="s">
        <v>523</v>
      </c>
      <c r="E705" s="165">
        <v>3104</v>
      </c>
    </row>
    <row r="706" spans="1:5" x14ac:dyDescent="0.25">
      <c r="A706" s="216" t="s">
        <v>1342</v>
      </c>
      <c r="B706" s="218" t="s">
        <v>48</v>
      </c>
      <c r="C706" s="220" t="s">
        <v>144</v>
      </c>
      <c r="D706" s="220" t="s">
        <v>59</v>
      </c>
      <c r="E706" s="165">
        <v>3100</v>
      </c>
    </row>
    <row r="707" spans="1:5" x14ac:dyDescent="0.25">
      <c r="A707" s="216" t="s">
        <v>1134</v>
      </c>
      <c r="B707" s="218" t="s">
        <v>48</v>
      </c>
      <c r="C707" s="220" t="s">
        <v>65</v>
      </c>
      <c r="D707" s="220" t="s">
        <v>66</v>
      </c>
      <c r="E707" s="165">
        <v>3100</v>
      </c>
    </row>
    <row r="708" spans="1:5" x14ac:dyDescent="0.25">
      <c r="A708" s="216" t="s">
        <v>1479</v>
      </c>
      <c r="B708" s="218">
        <v>1</v>
      </c>
      <c r="C708" s="220" t="s">
        <v>138</v>
      </c>
      <c r="D708" s="220" t="s">
        <v>139</v>
      </c>
      <c r="E708" s="165">
        <v>3098</v>
      </c>
    </row>
    <row r="709" spans="1:5" x14ac:dyDescent="0.25">
      <c r="A709" s="216" t="s">
        <v>1236</v>
      </c>
      <c r="B709" s="218">
        <v>1</v>
      </c>
      <c r="C709" s="220" t="s">
        <v>1237</v>
      </c>
      <c r="D709" s="220" t="s">
        <v>192</v>
      </c>
      <c r="E709" s="165">
        <v>3093</v>
      </c>
    </row>
    <row r="710" spans="1:5" x14ac:dyDescent="0.25">
      <c r="A710" s="216" t="s">
        <v>1231</v>
      </c>
      <c r="B710" s="218">
        <v>1</v>
      </c>
      <c r="C710" s="220" t="s">
        <v>1232</v>
      </c>
      <c r="D710" s="220" t="s">
        <v>66</v>
      </c>
      <c r="E710" s="165">
        <v>3090</v>
      </c>
    </row>
    <row r="711" spans="1:5" x14ac:dyDescent="0.25">
      <c r="A711" s="216" t="s">
        <v>1314</v>
      </c>
      <c r="B711" s="218">
        <v>1</v>
      </c>
      <c r="C711" s="220" t="s">
        <v>1315</v>
      </c>
      <c r="D711" s="220" t="s">
        <v>139</v>
      </c>
      <c r="E711" s="165">
        <v>3083</v>
      </c>
    </row>
    <row r="712" spans="1:5" x14ac:dyDescent="0.25">
      <c r="A712" s="216" t="s">
        <v>1451</v>
      </c>
      <c r="B712" s="218" t="s">
        <v>48</v>
      </c>
      <c r="C712" s="220" t="s">
        <v>121</v>
      </c>
      <c r="D712" s="220" t="s">
        <v>56</v>
      </c>
      <c r="E712" s="165">
        <v>3068</v>
      </c>
    </row>
    <row r="713" spans="1:5" x14ac:dyDescent="0.25">
      <c r="A713" s="216" t="s">
        <v>1444</v>
      </c>
      <c r="B713" s="218" t="s">
        <v>48</v>
      </c>
      <c r="C713" s="220" t="s">
        <v>257</v>
      </c>
      <c r="D713" s="220" t="s">
        <v>108</v>
      </c>
      <c r="E713" s="165">
        <v>3064</v>
      </c>
    </row>
    <row r="714" spans="1:5" x14ac:dyDescent="0.25">
      <c r="A714" s="216" t="s">
        <v>1218</v>
      </c>
      <c r="B714" s="218">
        <v>1</v>
      </c>
      <c r="C714" s="220" t="s">
        <v>219</v>
      </c>
      <c r="D714" s="220" t="s">
        <v>56</v>
      </c>
      <c r="E714" s="165">
        <v>3062</v>
      </c>
    </row>
    <row r="715" spans="1:5" x14ac:dyDescent="0.25">
      <c r="A715" s="216" t="s">
        <v>1330</v>
      </c>
      <c r="B715" s="218" t="s">
        <v>48</v>
      </c>
      <c r="C715" s="220" t="s">
        <v>1331</v>
      </c>
      <c r="D715" s="220" t="s">
        <v>348</v>
      </c>
      <c r="E715" s="165">
        <v>3057</v>
      </c>
    </row>
    <row r="716" spans="1:5" x14ac:dyDescent="0.25">
      <c r="A716" s="216" t="s">
        <v>1440</v>
      </c>
      <c r="B716" s="218" t="s">
        <v>48</v>
      </c>
      <c r="C716" s="220" t="s">
        <v>681</v>
      </c>
      <c r="D716" s="220" t="s">
        <v>90</v>
      </c>
      <c r="E716" s="165">
        <v>3045</v>
      </c>
    </row>
    <row r="717" spans="1:5" x14ac:dyDescent="0.25">
      <c r="A717" s="216" t="s">
        <v>1212</v>
      </c>
      <c r="B717" s="218" t="s">
        <v>48</v>
      </c>
      <c r="C717" s="220" t="s">
        <v>1160</v>
      </c>
      <c r="D717" s="220" t="s">
        <v>628</v>
      </c>
      <c r="E717" s="165">
        <v>3035</v>
      </c>
    </row>
    <row r="718" spans="1:5" x14ac:dyDescent="0.25">
      <c r="A718" s="216" t="s">
        <v>1192</v>
      </c>
      <c r="B718" s="218" t="s">
        <v>48</v>
      </c>
      <c r="C718" s="220" t="s">
        <v>1001</v>
      </c>
      <c r="D718" s="220" t="s">
        <v>188</v>
      </c>
      <c r="E718" s="165">
        <v>3034</v>
      </c>
    </row>
    <row r="719" spans="1:5" x14ac:dyDescent="0.25">
      <c r="A719" s="216" t="s">
        <v>1248</v>
      </c>
      <c r="B719" s="218">
        <v>1</v>
      </c>
      <c r="C719" s="220" t="s">
        <v>540</v>
      </c>
      <c r="D719" s="220" t="s">
        <v>66</v>
      </c>
      <c r="E719" s="165">
        <v>3030</v>
      </c>
    </row>
    <row r="720" spans="1:5" x14ac:dyDescent="0.25">
      <c r="A720" s="216" t="s">
        <v>1299</v>
      </c>
      <c r="B720" s="218" t="s">
        <v>48</v>
      </c>
      <c r="C720" s="220" t="s">
        <v>1300</v>
      </c>
      <c r="D720" s="220" t="s">
        <v>139</v>
      </c>
      <c r="E720" s="165">
        <v>3030</v>
      </c>
    </row>
    <row r="721" spans="1:5" x14ac:dyDescent="0.25">
      <c r="A721" s="216" t="s">
        <v>1158</v>
      </c>
      <c r="B721" s="218" t="s">
        <v>48</v>
      </c>
      <c r="C721" s="220" t="s">
        <v>390</v>
      </c>
      <c r="D721" s="220" t="s">
        <v>75</v>
      </c>
      <c r="E721" s="165">
        <v>3027</v>
      </c>
    </row>
    <row r="722" spans="1:5" x14ac:dyDescent="0.25">
      <c r="A722" s="216" t="s">
        <v>10654</v>
      </c>
      <c r="B722" s="218" t="s">
        <v>48</v>
      </c>
      <c r="C722" s="220" t="s">
        <v>679</v>
      </c>
      <c r="D722" s="220" t="s">
        <v>206</v>
      </c>
      <c r="E722" s="165">
        <v>3024</v>
      </c>
    </row>
    <row r="723" spans="1:5" x14ac:dyDescent="0.25">
      <c r="A723" s="216" t="s">
        <v>995</v>
      </c>
      <c r="B723" s="218" t="s">
        <v>48</v>
      </c>
      <c r="C723" s="220" t="s">
        <v>230</v>
      </c>
      <c r="D723" s="220" t="s">
        <v>90</v>
      </c>
      <c r="E723" s="165">
        <v>3019</v>
      </c>
    </row>
    <row r="724" spans="1:5" x14ac:dyDescent="0.25">
      <c r="A724" s="216" t="s">
        <v>1179</v>
      </c>
      <c r="B724" s="218">
        <v>1</v>
      </c>
      <c r="C724" s="220" t="s">
        <v>1180</v>
      </c>
      <c r="D724" s="220" t="s">
        <v>523</v>
      </c>
      <c r="E724" s="165">
        <v>3019</v>
      </c>
    </row>
    <row r="725" spans="1:5" x14ac:dyDescent="0.25">
      <c r="A725" s="216" t="s">
        <v>1110</v>
      </c>
      <c r="B725" s="218">
        <v>1</v>
      </c>
      <c r="C725" s="220" t="s">
        <v>1111</v>
      </c>
      <c r="D725" s="220" t="s">
        <v>118</v>
      </c>
      <c r="E725" s="165">
        <v>3012</v>
      </c>
    </row>
    <row r="726" spans="1:5" x14ac:dyDescent="0.25">
      <c r="A726" s="216" t="s">
        <v>1381</v>
      </c>
      <c r="B726" s="218" t="s">
        <v>48</v>
      </c>
      <c r="C726" s="220" t="s">
        <v>1382</v>
      </c>
      <c r="D726" s="220" t="s">
        <v>69</v>
      </c>
      <c r="E726" s="165">
        <v>3010</v>
      </c>
    </row>
    <row r="727" spans="1:5" x14ac:dyDescent="0.25">
      <c r="A727" s="216" t="s">
        <v>1467</v>
      </c>
      <c r="B727" s="218" t="s">
        <v>48</v>
      </c>
      <c r="C727" s="220" t="s">
        <v>891</v>
      </c>
      <c r="D727" s="220" t="s">
        <v>56</v>
      </c>
      <c r="E727" s="165">
        <v>3007</v>
      </c>
    </row>
    <row r="728" spans="1:5" x14ac:dyDescent="0.25">
      <c r="A728" s="216" t="s">
        <v>2217</v>
      </c>
      <c r="B728" s="218" t="s">
        <v>48</v>
      </c>
      <c r="C728" s="220" t="s">
        <v>2218</v>
      </c>
      <c r="D728" s="220" t="s">
        <v>56</v>
      </c>
      <c r="E728" s="165">
        <v>3000</v>
      </c>
    </row>
    <row r="729" spans="1:5" x14ac:dyDescent="0.25">
      <c r="A729" s="216" t="s">
        <v>10735</v>
      </c>
      <c r="B729" s="218" t="s">
        <v>48</v>
      </c>
      <c r="C729" s="220" t="s">
        <v>238</v>
      </c>
      <c r="D729" s="220" t="s">
        <v>93</v>
      </c>
      <c r="E729" s="165">
        <v>3000</v>
      </c>
    </row>
    <row r="730" spans="1:5" x14ac:dyDescent="0.25">
      <c r="A730" s="216" t="s">
        <v>1581</v>
      </c>
      <c r="B730" s="218" t="s">
        <v>48</v>
      </c>
      <c r="C730" s="220" t="s">
        <v>516</v>
      </c>
      <c r="D730" s="220" t="s">
        <v>517</v>
      </c>
      <c r="E730" s="165">
        <v>3000</v>
      </c>
    </row>
    <row r="731" spans="1:5" x14ac:dyDescent="0.25">
      <c r="A731" s="216" t="s">
        <v>1322</v>
      </c>
      <c r="B731" s="218" t="s">
        <v>48</v>
      </c>
      <c r="C731" s="220" t="s">
        <v>1323</v>
      </c>
      <c r="D731" s="220" t="s">
        <v>75</v>
      </c>
      <c r="E731" s="165">
        <v>2999</v>
      </c>
    </row>
    <row r="732" spans="1:5" x14ac:dyDescent="0.25">
      <c r="A732" s="216" t="s">
        <v>1318</v>
      </c>
      <c r="B732" s="218">
        <v>1</v>
      </c>
      <c r="C732" s="220" t="s">
        <v>274</v>
      </c>
      <c r="D732" s="220" t="s">
        <v>188</v>
      </c>
      <c r="E732" s="165">
        <v>2999</v>
      </c>
    </row>
    <row r="733" spans="1:5" x14ac:dyDescent="0.25">
      <c r="A733" s="216" t="s">
        <v>1280</v>
      </c>
      <c r="B733" s="218">
        <v>1</v>
      </c>
      <c r="C733" s="220" t="s">
        <v>452</v>
      </c>
      <c r="D733" s="220" t="s">
        <v>78</v>
      </c>
      <c r="E733" s="165">
        <v>2992</v>
      </c>
    </row>
    <row r="734" spans="1:5" x14ac:dyDescent="0.25">
      <c r="A734" s="216" t="s">
        <v>1297</v>
      </c>
      <c r="B734" s="218">
        <v>1</v>
      </c>
      <c r="C734" s="220" t="s">
        <v>1298</v>
      </c>
      <c r="D734" s="220" t="s">
        <v>50</v>
      </c>
      <c r="E734" s="165">
        <v>2986</v>
      </c>
    </row>
    <row r="735" spans="1:5" x14ac:dyDescent="0.25">
      <c r="A735" s="216" t="s">
        <v>1288</v>
      </c>
      <c r="B735" s="218" t="s">
        <v>48</v>
      </c>
      <c r="C735" s="220" t="s">
        <v>141</v>
      </c>
      <c r="D735" s="220" t="s">
        <v>142</v>
      </c>
      <c r="E735" s="165">
        <v>2985</v>
      </c>
    </row>
    <row r="736" spans="1:5" x14ac:dyDescent="0.25">
      <c r="A736" s="216" t="s">
        <v>1354</v>
      </c>
      <c r="B736" s="218">
        <v>1</v>
      </c>
      <c r="C736" s="220" t="s">
        <v>1355</v>
      </c>
      <c r="D736" s="220" t="s">
        <v>139</v>
      </c>
      <c r="E736" s="165">
        <v>2982</v>
      </c>
    </row>
    <row r="737" spans="1:5" x14ac:dyDescent="0.25">
      <c r="A737" s="216" t="s">
        <v>1070</v>
      </c>
      <c r="B737" s="218">
        <v>1</v>
      </c>
      <c r="C737" s="220" t="s">
        <v>1071</v>
      </c>
      <c r="D737" s="220" t="s">
        <v>50</v>
      </c>
      <c r="E737" s="165">
        <v>2982</v>
      </c>
    </row>
    <row r="738" spans="1:5" x14ac:dyDescent="0.25">
      <c r="A738" s="216" t="s">
        <v>1324</v>
      </c>
      <c r="B738" s="218">
        <v>1</v>
      </c>
      <c r="C738" s="220" t="s">
        <v>1325</v>
      </c>
      <c r="D738" s="220" t="s">
        <v>69</v>
      </c>
      <c r="E738" s="165">
        <v>2981</v>
      </c>
    </row>
    <row r="739" spans="1:5" x14ac:dyDescent="0.25">
      <c r="A739" s="216" t="s">
        <v>1505</v>
      </c>
      <c r="B739" s="218" t="s">
        <v>48</v>
      </c>
      <c r="C739" s="220" t="s">
        <v>251</v>
      </c>
      <c r="D739" s="220" t="s">
        <v>98</v>
      </c>
      <c r="E739" s="165">
        <v>2970</v>
      </c>
    </row>
    <row r="740" spans="1:5" x14ac:dyDescent="0.25">
      <c r="A740" s="216" t="s">
        <v>1523</v>
      </c>
      <c r="B740" s="218">
        <v>1</v>
      </c>
      <c r="C740" s="220" t="s">
        <v>138</v>
      </c>
      <c r="D740" s="220" t="s">
        <v>139</v>
      </c>
      <c r="E740" s="165">
        <v>2968</v>
      </c>
    </row>
    <row r="741" spans="1:5" x14ac:dyDescent="0.25">
      <c r="A741" s="216" t="s">
        <v>1141</v>
      </c>
      <c r="B741" s="218">
        <v>1</v>
      </c>
      <c r="C741" s="220" t="s">
        <v>1142</v>
      </c>
      <c r="D741" s="220" t="s">
        <v>87</v>
      </c>
      <c r="E741" s="165">
        <v>2966</v>
      </c>
    </row>
    <row r="742" spans="1:5" x14ac:dyDescent="0.25">
      <c r="A742" s="216" t="s">
        <v>1334</v>
      </c>
      <c r="B742" s="218">
        <v>1</v>
      </c>
      <c r="C742" s="220" t="s">
        <v>1335</v>
      </c>
      <c r="D742" s="220" t="s">
        <v>188</v>
      </c>
      <c r="E742" s="165">
        <v>2965</v>
      </c>
    </row>
    <row r="743" spans="1:5" x14ac:dyDescent="0.25">
      <c r="A743" s="216" t="s">
        <v>1215</v>
      </c>
      <c r="B743" s="218" t="s">
        <v>48</v>
      </c>
      <c r="C743" s="220" t="s">
        <v>89</v>
      </c>
      <c r="D743" s="220" t="s">
        <v>90</v>
      </c>
      <c r="E743" s="165">
        <v>2962</v>
      </c>
    </row>
    <row r="744" spans="1:5" x14ac:dyDescent="0.25">
      <c r="A744" s="216" t="s">
        <v>1246</v>
      </c>
      <c r="B744" s="218">
        <v>1</v>
      </c>
      <c r="C744" s="220" t="s">
        <v>1247</v>
      </c>
      <c r="D744" s="220" t="s">
        <v>56</v>
      </c>
      <c r="E744" s="165">
        <v>2950</v>
      </c>
    </row>
    <row r="745" spans="1:5" x14ac:dyDescent="0.25">
      <c r="A745" s="216" t="s">
        <v>1343</v>
      </c>
      <c r="B745" s="218">
        <v>1</v>
      </c>
      <c r="C745" s="220" t="s">
        <v>475</v>
      </c>
      <c r="D745" s="220" t="s">
        <v>188</v>
      </c>
      <c r="E745" s="165">
        <v>2949</v>
      </c>
    </row>
    <row r="746" spans="1:5" x14ac:dyDescent="0.25">
      <c r="A746" s="216" t="s">
        <v>1249</v>
      </c>
      <c r="B746" s="218">
        <v>1</v>
      </c>
      <c r="C746" s="220" t="s">
        <v>1250</v>
      </c>
      <c r="D746" s="220" t="s">
        <v>56</v>
      </c>
      <c r="E746" s="165">
        <v>2944</v>
      </c>
    </row>
    <row r="747" spans="1:5" x14ac:dyDescent="0.25">
      <c r="A747" s="216" t="s">
        <v>1713</v>
      </c>
      <c r="B747" s="218" t="s">
        <v>48</v>
      </c>
      <c r="C747" s="220" t="s">
        <v>1714</v>
      </c>
      <c r="D747" s="220" t="s">
        <v>87</v>
      </c>
      <c r="E747" s="165">
        <v>2933</v>
      </c>
    </row>
    <row r="748" spans="1:5" x14ac:dyDescent="0.25">
      <c r="A748" s="216" t="s">
        <v>1204</v>
      </c>
      <c r="B748" s="218" t="s">
        <v>48</v>
      </c>
      <c r="C748" s="220" t="s">
        <v>259</v>
      </c>
      <c r="D748" s="220" t="s">
        <v>50</v>
      </c>
      <c r="E748" s="165">
        <v>2932</v>
      </c>
    </row>
    <row r="749" spans="1:5" x14ac:dyDescent="0.25">
      <c r="A749" s="216" t="s">
        <v>1419</v>
      </c>
      <c r="B749" s="218" t="s">
        <v>48</v>
      </c>
      <c r="C749" s="220" t="s">
        <v>1420</v>
      </c>
      <c r="D749" s="220" t="s">
        <v>98</v>
      </c>
      <c r="E749" s="165">
        <v>2923</v>
      </c>
    </row>
    <row r="750" spans="1:5" x14ac:dyDescent="0.25">
      <c r="A750" s="216" t="s">
        <v>1366</v>
      </c>
      <c r="B750" s="218" t="s">
        <v>48</v>
      </c>
      <c r="C750" s="220" t="s">
        <v>1367</v>
      </c>
      <c r="D750" s="220" t="s">
        <v>66</v>
      </c>
      <c r="E750" s="165">
        <v>2919</v>
      </c>
    </row>
    <row r="751" spans="1:5" x14ac:dyDescent="0.25">
      <c r="A751" s="216" t="s">
        <v>1208</v>
      </c>
      <c r="B751" s="218">
        <v>1</v>
      </c>
      <c r="C751" s="220" t="s">
        <v>1209</v>
      </c>
      <c r="D751" s="220" t="s">
        <v>523</v>
      </c>
      <c r="E751" s="165">
        <v>2915</v>
      </c>
    </row>
    <row r="752" spans="1:5" x14ac:dyDescent="0.25">
      <c r="A752" s="216" t="s">
        <v>1286</v>
      </c>
      <c r="B752" s="218" t="s">
        <v>48</v>
      </c>
      <c r="C752" s="220" t="s">
        <v>1287</v>
      </c>
      <c r="D752" s="220" t="s">
        <v>710</v>
      </c>
      <c r="E752" s="165">
        <v>2911</v>
      </c>
    </row>
    <row r="753" spans="1:5" x14ac:dyDescent="0.25">
      <c r="A753" s="216" t="s">
        <v>1372</v>
      </c>
      <c r="B753" s="218" t="s">
        <v>48</v>
      </c>
      <c r="C753" s="220" t="s">
        <v>490</v>
      </c>
      <c r="D753" s="220" t="s">
        <v>66</v>
      </c>
      <c r="E753" s="165">
        <v>2892</v>
      </c>
    </row>
    <row r="754" spans="1:5" x14ac:dyDescent="0.25">
      <c r="A754" s="216" t="s">
        <v>1448</v>
      </c>
      <c r="B754" s="218" t="s">
        <v>48</v>
      </c>
      <c r="C754" s="220" t="s">
        <v>102</v>
      </c>
      <c r="D754" s="220" t="s">
        <v>93</v>
      </c>
      <c r="E754" s="165">
        <v>2886</v>
      </c>
    </row>
    <row r="755" spans="1:5" x14ac:dyDescent="0.25">
      <c r="A755" s="216" t="s">
        <v>1544</v>
      </c>
      <c r="B755" s="218" t="s">
        <v>48</v>
      </c>
      <c r="C755" s="220" t="s">
        <v>1545</v>
      </c>
      <c r="D755" s="220" t="s">
        <v>222</v>
      </c>
      <c r="E755" s="165">
        <v>2880</v>
      </c>
    </row>
    <row r="756" spans="1:5" x14ac:dyDescent="0.25">
      <c r="A756" s="216" t="s">
        <v>1306</v>
      </c>
      <c r="B756" s="218">
        <v>1</v>
      </c>
      <c r="C756" s="220" t="s">
        <v>845</v>
      </c>
      <c r="D756" s="220" t="s">
        <v>66</v>
      </c>
      <c r="E756" s="165">
        <v>2866</v>
      </c>
    </row>
    <row r="757" spans="1:5" x14ac:dyDescent="0.25">
      <c r="A757" s="216" t="s">
        <v>1308</v>
      </c>
      <c r="B757" s="218" t="s">
        <v>48</v>
      </c>
      <c r="C757" s="220" t="s">
        <v>1309</v>
      </c>
      <c r="D757" s="220" t="s">
        <v>90</v>
      </c>
      <c r="E757" s="165">
        <v>2859</v>
      </c>
    </row>
    <row r="758" spans="1:5" x14ac:dyDescent="0.25">
      <c r="A758" s="216" t="s">
        <v>1640</v>
      </c>
      <c r="B758" s="218" t="s">
        <v>48</v>
      </c>
      <c r="C758" s="220" t="s">
        <v>1641</v>
      </c>
      <c r="D758" s="220" t="s">
        <v>90</v>
      </c>
      <c r="E758" s="165">
        <v>2856</v>
      </c>
    </row>
    <row r="759" spans="1:5" x14ac:dyDescent="0.25">
      <c r="A759" s="216" t="s">
        <v>1336</v>
      </c>
      <c r="B759" s="218">
        <v>1</v>
      </c>
      <c r="C759" s="220" t="s">
        <v>1337</v>
      </c>
      <c r="D759" s="220" t="s">
        <v>394</v>
      </c>
      <c r="E759" s="165">
        <v>2853</v>
      </c>
    </row>
    <row r="760" spans="1:5" x14ac:dyDescent="0.25">
      <c r="A760" s="216" t="s">
        <v>977</v>
      </c>
      <c r="B760" s="218" t="s">
        <v>48</v>
      </c>
      <c r="C760" s="220" t="s">
        <v>257</v>
      </c>
      <c r="D760" s="220" t="s">
        <v>108</v>
      </c>
      <c r="E760" s="165">
        <v>2846</v>
      </c>
    </row>
    <row r="761" spans="1:5" x14ac:dyDescent="0.25">
      <c r="A761" s="216" t="s">
        <v>1155</v>
      </c>
      <c r="B761" s="218" t="s">
        <v>48</v>
      </c>
      <c r="C761" s="220" t="s">
        <v>679</v>
      </c>
      <c r="D761" s="220" t="s">
        <v>206</v>
      </c>
      <c r="E761" s="165">
        <v>2844</v>
      </c>
    </row>
    <row r="762" spans="1:5" x14ac:dyDescent="0.25">
      <c r="A762" s="216" t="s">
        <v>1554</v>
      </c>
      <c r="B762" s="218" t="s">
        <v>48</v>
      </c>
      <c r="C762" s="220" t="s">
        <v>289</v>
      </c>
      <c r="D762" s="220" t="s">
        <v>69</v>
      </c>
      <c r="E762" s="165">
        <v>2841</v>
      </c>
    </row>
    <row r="763" spans="1:5" x14ac:dyDescent="0.25">
      <c r="A763" s="216" t="s">
        <v>1320</v>
      </c>
      <c r="B763" s="218">
        <v>1</v>
      </c>
      <c r="C763" s="220" t="s">
        <v>65</v>
      </c>
      <c r="D763" s="220" t="s">
        <v>66</v>
      </c>
      <c r="E763" s="165">
        <v>2835</v>
      </c>
    </row>
    <row r="764" spans="1:5" x14ac:dyDescent="0.25">
      <c r="A764" s="216" t="s">
        <v>1170</v>
      </c>
      <c r="B764" s="218">
        <v>1</v>
      </c>
      <c r="C764" s="220" t="s">
        <v>1171</v>
      </c>
      <c r="D764" s="220" t="s">
        <v>113</v>
      </c>
      <c r="E764" s="165">
        <v>2834</v>
      </c>
    </row>
    <row r="765" spans="1:5" x14ac:dyDescent="0.25">
      <c r="A765" s="216" t="s">
        <v>10746</v>
      </c>
      <c r="B765" s="218" t="s">
        <v>48</v>
      </c>
      <c r="C765" s="220" t="s">
        <v>443</v>
      </c>
      <c r="D765" s="220" t="s">
        <v>166</v>
      </c>
      <c r="E765" s="165">
        <v>2831</v>
      </c>
    </row>
    <row r="766" spans="1:5" x14ac:dyDescent="0.25">
      <c r="A766" s="216" t="s">
        <v>1377</v>
      </c>
      <c r="B766" s="218" t="s">
        <v>48</v>
      </c>
      <c r="C766" s="220" t="s">
        <v>289</v>
      </c>
      <c r="D766" s="220" t="s">
        <v>69</v>
      </c>
      <c r="E766" s="165">
        <v>2823</v>
      </c>
    </row>
    <row r="767" spans="1:5" x14ac:dyDescent="0.25">
      <c r="A767" s="216" t="s">
        <v>1885</v>
      </c>
      <c r="B767" s="218" t="s">
        <v>48</v>
      </c>
      <c r="C767" s="220" t="s">
        <v>799</v>
      </c>
      <c r="D767" s="220" t="s">
        <v>113</v>
      </c>
      <c r="E767" s="165">
        <v>2821</v>
      </c>
    </row>
    <row r="768" spans="1:5" x14ac:dyDescent="0.25">
      <c r="A768" s="216" t="s">
        <v>1346</v>
      </c>
      <c r="B768" s="218" t="s">
        <v>48</v>
      </c>
      <c r="C768" s="220" t="s">
        <v>1347</v>
      </c>
      <c r="D768" s="220" t="s">
        <v>59</v>
      </c>
      <c r="E768" s="165">
        <v>2811</v>
      </c>
    </row>
    <row r="769" spans="1:5" x14ac:dyDescent="0.25">
      <c r="A769" s="216" t="s">
        <v>1274</v>
      </c>
      <c r="B769" s="218">
        <v>1</v>
      </c>
      <c r="C769" s="220" t="s">
        <v>1275</v>
      </c>
      <c r="D769" s="220" t="s">
        <v>78</v>
      </c>
      <c r="E769" s="165">
        <v>2811</v>
      </c>
    </row>
    <row r="770" spans="1:5" x14ac:dyDescent="0.25">
      <c r="A770" s="216" t="s">
        <v>1072</v>
      </c>
      <c r="B770" s="218" t="s">
        <v>48</v>
      </c>
      <c r="C770" s="220" t="s">
        <v>1073</v>
      </c>
      <c r="D770" s="220" t="s">
        <v>75</v>
      </c>
      <c r="E770" s="165">
        <v>2808</v>
      </c>
    </row>
    <row r="771" spans="1:5" x14ac:dyDescent="0.25">
      <c r="A771" s="216" t="s">
        <v>1400</v>
      </c>
      <c r="B771" s="218">
        <v>1</v>
      </c>
      <c r="C771" s="220" t="s">
        <v>1281</v>
      </c>
      <c r="D771" s="220" t="s">
        <v>188</v>
      </c>
      <c r="E771" s="165">
        <v>2803</v>
      </c>
    </row>
    <row r="772" spans="1:5" x14ac:dyDescent="0.25">
      <c r="A772" s="216" t="s">
        <v>1031</v>
      </c>
      <c r="B772" s="218" t="s">
        <v>48</v>
      </c>
      <c r="C772" s="220" t="s">
        <v>1032</v>
      </c>
      <c r="D772" s="220" t="s">
        <v>139</v>
      </c>
      <c r="E772" s="165">
        <v>2800</v>
      </c>
    </row>
    <row r="773" spans="1:5" x14ac:dyDescent="0.25">
      <c r="A773" s="216" t="s">
        <v>1388</v>
      </c>
      <c r="B773" s="218" t="s">
        <v>48</v>
      </c>
      <c r="C773" s="220" t="s">
        <v>1389</v>
      </c>
      <c r="D773" s="220" t="s">
        <v>53</v>
      </c>
      <c r="E773" s="165">
        <v>2800</v>
      </c>
    </row>
    <row r="774" spans="1:5" x14ac:dyDescent="0.25">
      <c r="A774" s="216" t="s">
        <v>1424</v>
      </c>
      <c r="B774" s="218" t="s">
        <v>48</v>
      </c>
      <c r="C774" s="220" t="s">
        <v>727</v>
      </c>
      <c r="D774" s="220" t="s">
        <v>66</v>
      </c>
      <c r="E774" s="165">
        <v>2800</v>
      </c>
    </row>
    <row r="775" spans="1:5" x14ac:dyDescent="0.25">
      <c r="A775" s="216" t="s">
        <v>1394</v>
      </c>
      <c r="B775" s="218">
        <v>1</v>
      </c>
      <c r="C775" s="220" t="s">
        <v>725</v>
      </c>
      <c r="D775" s="220" t="s">
        <v>188</v>
      </c>
      <c r="E775" s="165">
        <v>2791</v>
      </c>
    </row>
    <row r="776" spans="1:5" x14ac:dyDescent="0.25">
      <c r="A776" s="216" t="s">
        <v>1261</v>
      </c>
      <c r="B776" s="218">
        <v>1</v>
      </c>
      <c r="C776" s="220" t="s">
        <v>1262</v>
      </c>
      <c r="D776" s="220" t="s">
        <v>93</v>
      </c>
      <c r="E776" s="165">
        <v>2790</v>
      </c>
    </row>
    <row r="777" spans="1:5" x14ac:dyDescent="0.25">
      <c r="A777" s="216" t="s">
        <v>1051</v>
      </c>
      <c r="B777" s="218">
        <v>1</v>
      </c>
      <c r="C777" s="220" t="s">
        <v>647</v>
      </c>
      <c r="D777" s="220" t="s">
        <v>236</v>
      </c>
      <c r="E777" s="165">
        <v>2788</v>
      </c>
    </row>
    <row r="778" spans="1:5" x14ac:dyDescent="0.25">
      <c r="A778" s="216" t="s">
        <v>1316</v>
      </c>
      <c r="B778" s="218">
        <v>1</v>
      </c>
      <c r="C778" s="220" t="s">
        <v>1317</v>
      </c>
      <c r="D778" s="220" t="s">
        <v>56</v>
      </c>
      <c r="E778" s="165">
        <v>2785</v>
      </c>
    </row>
    <row r="779" spans="1:5" x14ac:dyDescent="0.25">
      <c r="A779" s="216" t="s">
        <v>1555</v>
      </c>
      <c r="B779" s="218">
        <v>1</v>
      </c>
      <c r="C779" s="220" t="s">
        <v>879</v>
      </c>
      <c r="D779" s="220" t="s">
        <v>337</v>
      </c>
      <c r="E779" s="165">
        <v>2784</v>
      </c>
    </row>
    <row r="780" spans="1:5" x14ac:dyDescent="0.25">
      <c r="A780" s="216" t="s">
        <v>1307</v>
      </c>
      <c r="B780" s="218">
        <v>1</v>
      </c>
      <c r="C780" s="220" t="s">
        <v>121</v>
      </c>
      <c r="D780" s="220" t="s">
        <v>56</v>
      </c>
      <c r="E780" s="165">
        <v>2781</v>
      </c>
    </row>
    <row r="781" spans="1:5" x14ac:dyDescent="0.25">
      <c r="A781" s="216" t="s">
        <v>1865</v>
      </c>
      <c r="B781" s="218" t="s">
        <v>48</v>
      </c>
      <c r="C781" s="220" t="s">
        <v>121</v>
      </c>
      <c r="D781" s="220" t="s">
        <v>56</v>
      </c>
      <c r="E781" s="165">
        <v>2780</v>
      </c>
    </row>
    <row r="782" spans="1:5" x14ac:dyDescent="0.25">
      <c r="A782" s="216" t="s">
        <v>1190</v>
      </c>
      <c r="B782" s="218">
        <v>1</v>
      </c>
      <c r="C782" s="220" t="s">
        <v>58</v>
      </c>
      <c r="D782" s="220" t="s">
        <v>59</v>
      </c>
      <c r="E782" s="165">
        <v>2777</v>
      </c>
    </row>
    <row r="783" spans="1:5" x14ac:dyDescent="0.25">
      <c r="A783" s="216" t="s">
        <v>1118</v>
      </c>
      <c r="B783" s="218">
        <v>1</v>
      </c>
      <c r="C783" s="220" t="s">
        <v>1119</v>
      </c>
      <c r="D783" s="220" t="s">
        <v>50</v>
      </c>
      <c r="E783" s="165">
        <v>2773</v>
      </c>
    </row>
    <row r="784" spans="1:5" x14ac:dyDescent="0.25">
      <c r="A784" s="216" t="s">
        <v>1116</v>
      </c>
      <c r="B784" s="218" t="s">
        <v>48</v>
      </c>
      <c r="C784" s="220" t="s">
        <v>1117</v>
      </c>
      <c r="D784" s="220" t="s">
        <v>53</v>
      </c>
      <c r="E784" s="165">
        <v>2770</v>
      </c>
    </row>
    <row r="785" spans="1:5" x14ac:dyDescent="0.25">
      <c r="A785" s="216" t="s">
        <v>1327</v>
      </c>
      <c r="B785" s="218">
        <v>1</v>
      </c>
      <c r="C785" s="220" t="s">
        <v>121</v>
      </c>
      <c r="D785" s="220" t="s">
        <v>56</v>
      </c>
      <c r="E785" s="165">
        <v>2756</v>
      </c>
    </row>
    <row r="786" spans="1:5" x14ac:dyDescent="0.25">
      <c r="A786" s="216" t="s">
        <v>2259</v>
      </c>
      <c r="B786" s="218" t="s">
        <v>48</v>
      </c>
      <c r="C786" s="220" t="s">
        <v>615</v>
      </c>
      <c r="D786" s="220" t="s">
        <v>90</v>
      </c>
      <c r="E786" s="165">
        <v>2750</v>
      </c>
    </row>
    <row r="787" spans="1:5" x14ac:dyDescent="0.25">
      <c r="A787" s="216" t="s">
        <v>1356</v>
      </c>
      <c r="B787" s="218">
        <v>1</v>
      </c>
      <c r="C787" s="220" t="s">
        <v>1357</v>
      </c>
      <c r="D787" s="220" t="s">
        <v>264</v>
      </c>
      <c r="E787" s="165">
        <v>2747</v>
      </c>
    </row>
    <row r="788" spans="1:5" x14ac:dyDescent="0.25">
      <c r="A788" s="216" t="s">
        <v>1575</v>
      </c>
      <c r="B788" s="218">
        <v>1</v>
      </c>
      <c r="C788" s="220" t="s">
        <v>1017</v>
      </c>
      <c r="D788" s="220" t="s">
        <v>337</v>
      </c>
      <c r="E788" s="165">
        <v>2742</v>
      </c>
    </row>
    <row r="789" spans="1:5" x14ac:dyDescent="0.25">
      <c r="A789" s="216" t="s">
        <v>1430</v>
      </c>
      <c r="B789" s="218">
        <v>1</v>
      </c>
      <c r="C789" s="220" t="s">
        <v>1431</v>
      </c>
      <c r="D789" s="220" t="s">
        <v>63</v>
      </c>
      <c r="E789" s="165">
        <v>2740</v>
      </c>
    </row>
    <row r="790" spans="1:5" x14ac:dyDescent="0.25">
      <c r="A790" s="216" t="s">
        <v>1310</v>
      </c>
      <c r="B790" s="218" t="s">
        <v>48</v>
      </c>
      <c r="C790" s="220" t="s">
        <v>1311</v>
      </c>
      <c r="D790" s="220" t="s">
        <v>69</v>
      </c>
      <c r="E790" s="165">
        <v>2740</v>
      </c>
    </row>
    <row r="791" spans="1:5" x14ac:dyDescent="0.25">
      <c r="A791" s="216" t="s">
        <v>1301</v>
      </c>
      <c r="B791" s="218">
        <v>1</v>
      </c>
      <c r="C791" s="220" t="s">
        <v>1302</v>
      </c>
      <c r="D791" s="220" t="s">
        <v>272</v>
      </c>
      <c r="E791" s="165">
        <v>2736</v>
      </c>
    </row>
    <row r="792" spans="1:5" x14ac:dyDescent="0.25">
      <c r="A792" s="216" t="s">
        <v>10988</v>
      </c>
      <c r="B792" s="218">
        <v>1</v>
      </c>
      <c r="C792" s="220" t="s">
        <v>63</v>
      </c>
      <c r="D792" s="220" t="s">
        <v>63</v>
      </c>
      <c r="E792" s="165">
        <v>2735</v>
      </c>
    </row>
    <row r="793" spans="1:5" x14ac:dyDescent="0.25">
      <c r="A793" s="216" t="s">
        <v>1522</v>
      </c>
      <c r="B793" s="218">
        <v>1</v>
      </c>
      <c r="C793" s="220" t="s">
        <v>289</v>
      </c>
      <c r="D793" s="220" t="s">
        <v>69</v>
      </c>
      <c r="E793" s="165">
        <v>2735</v>
      </c>
    </row>
    <row r="794" spans="1:5" x14ac:dyDescent="0.25">
      <c r="A794" s="216" t="s">
        <v>1086</v>
      </c>
      <c r="B794" s="218">
        <v>1</v>
      </c>
      <c r="C794" s="220" t="s">
        <v>1087</v>
      </c>
      <c r="D794" s="220" t="s">
        <v>188</v>
      </c>
      <c r="E794" s="165">
        <v>2734</v>
      </c>
    </row>
    <row r="795" spans="1:5" x14ac:dyDescent="0.25">
      <c r="A795" s="216" t="s">
        <v>1196</v>
      </c>
      <c r="B795" s="218">
        <v>1</v>
      </c>
      <c r="C795" s="220" t="s">
        <v>1197</v>
      </c>
      <c r="D795" s="220" t="s">
        <v>142</v>
      </c>
      <c r="E795" s="165">
        <v>2726</v>
      </c>
    </row>
    <row r="796" spans="1:5" x14ac:dyDescent="0.25">
      <c r="A796" s="216" t="s">
        <v>931</v>
      </c>
      <c r="B796" s="218" t="s">
        <v>48</v>
      </c>
      <c r="C796" s="220" t="s">
        <v>932</v>
      </c>
      <c r="D796" s="220" t="s">
        <v>166</v>
      </c>
      <c r="E796" s="165">
        <v>2725</v>
      </c>
    </row>
    <row r="797" spans="1:5" x14ac:dyDescent="0.25">
      <c r="A797" s="216" t="s">
        <v>1476</v>
      </c>
      <c r="B797" s="218" t="s">
        <v>48</v>
      </c>
      <c r="C797" s="220" t="s">
        <v>640</v>
      </c>
      <c r="D797" s="220" t="s">
        <v>69</v>
      </c>
      <c r="E797" s="165">
        <v>2722</v>
      </c>
    </row>
    <row r="798" spans="1:5" x14ac:dyDescent="0.25">
      <c r="A798" s="216" t="s">
        <v>1392</v>
      </c>
      <c r="B798" s="218" t="s">
        <v>48</v>
      </c>
      <c r="C798" s="220" t="s">
        <v>428</v>
      </c>
      <c r="D798" s="220" t="s">
        <v>394</v>
      </c>
      <c r="E798" s="165">
        <v>2720</v>
      </c>
    </row>
    <row r="799" spans="1:5" x14ac:dyDescent="0.25">
      <c r="A799" s="216" t="s">
        <v>1321</v>
      </c>
      <c r="B799" s="218" t="s">
        <v>48</v>
      </c>
      <c r="C799" s="220" t="s">
        <v>102</v>
      </c>
      <c r="D799" s="220" t="s">
        <v>93</v>
      </c>
      <c r="E799" s="165">
        <v>2703</v>
      </c>
    </row>
    <row r="800" spans="1:5" x14ac:dyDescent="0.25">
      <c r="A800" s="216" t="s">
        <v>1605</v>
      </c>
      <c r="B800" s="218" t="s">
        <v>48</v>
      </c>
      <c r="C800" s="220" t="s">
        <v>1606</v>
      </c>
      <c r="D800" s="220" t="s">
        <v>56</v>
      </c>
      <c r="E800" s="165">
        <v>2700</v>
      </c>
    </row>
    <row r="801" spans="1:5" x14ac:dyDescent="0.25">
      <c r="A801" s="216" t="s">
        <v>1433</v>
      </c>
      <c r="B801" s="218" t="s">
        <v>48</v>
      </c>
      <c r="C801" s="220" t="s">
        <v>1434</v>
      </c>
      <c r="D801" s="220" t="s">
        <v>53</v>
      </c>
      <c r="E801" s="165">
        <v>2690</v>
      </c>
    </row>
    <row r="802" spans="1:5" x14ac:dyDescent="0.25">
      <c r="A802" s="216" t="s">
        <v>1371</v>
      </c>
      <c r="B802" s="218">
        <v>1</v>
      </c>
      <c r="C802" s="220" t="s">
        <v>845</v>
      </c>
      <c r="D802" s="220" t="s">
        <v>66</v>
      </c>
      <c r="E802" s="165">
        <v>2688</v>
      </c>
    </row>
    <row r="803" spans="1:5" x14ac:dyDescent="0.25">
      <c r="A803" s="216" t="s">
        <v>1369</v>
      </c>
      <c r="B803" s="218">
        <v>1</v>
      </c>
      <c r="C803" s="220" t="s">
        <v>219</v>
      </c>
      <c r="D803" s="220" t="s">
        <v>56</v>
      </c>
      <c r="E803" s="165">
        <v>2665</v>
      </c>
    </row>
    <row r="804" spans="1:5" x14ac:dyDescent="0.25">
      <c r="A804" s="216" t="s">
        <v>1375</v>
      </c>
      <c r="B804" s="218">
        <v>1</v>
      </c>
      <c r="C804" s="220" t="s">
        <v>1376</v>
      </c>
      <c r="D804" s="220" t="s">
        <v>66</v>
      </c>
      <c r="E804" s="165">
        <v>2662</v>
      </c>
    </row>
    <row r="805" spans="1:5" x14ac:dyDescent="0.25">
      <c r="A805" s="216" t="s">
        <v>1412</v>
      </c>
      <c r="B805" s="218" t="s">
        <v>48</v>
      </c>
      <c r="C805" s="220" t="s">
        <v>86</v>
      </c>
      <c r="D805" s="220" t="s">
        <v>78</v>
      </c>
      <c r="E805" s="165">
        <v>2658</v>
      </c>
    </row>
    <row r="806" spans="1:5" x14ac:dyDescent="0.25">
      <c r="A806" s="216" t="s">
        <v>1227</v>
      </c>
      <c r="B806" s="218">
        <v>1</v>
      </c>
      <c r="C806" s="220" t="s">
        <v>1228</v>
      </c>
      <c r="D806" s="220" t="s">
        <v>774</v>
      </c>
      <c r="E806" s="165">
        <v>2657</v>
      </c>
    </row>
    <row r="807" spans="1:5" x14ac:dyDescent="0.25">
      <c r="A807" s="216" t="s">
        <v>1229</v>
      </c>
      <c r="B807" s="218">
        <v>1</v>
      </c>
      <c r="C807" s="220" t="s">
        <v>1230</v>
      </c>
      <c r="D807" s="220" t="s">
        <v>774</v>
      </c>
      <c r="E807" s="165">
        <v>2657</v>
      </c>
    </row>
    <row r="808" spans="1:5" x14ac:dyDescent="0.25">
      <c r="A808" s="216" t="s">
        <v>1362</v>
      </c>
      <c r="B808" s="218">
        <v>1</v>
      </c>
      <c r="C808" s="220" t="s">
        <v>121</v>
      </c>
      <c r="D808" s="220" t="s">
        <v>56</v>
      </c>
      <c r="E808" s="165">
        <v>2655</v>
      </c>
    </row>
    <row r="809" spans="1:5" x14ac:dyDescent="0.25">
      <c r="A809" s="216" t="s">
        <v>1344</v>
      </c>
      <c r="B809" s="218" t="s">
        <v>48</v>
      </c>
      <c r="C809" s="220" t="s">
        <v>1345</v>
      </c>
      <c r="D809" s="220" t="s">
        <v>130</v>
      </c>
      <c r="E809" s="165">
        <v>2646</v>
      </c>
    </row>
    <row r="810" spans="1:5" x14ac:dyDescent="0.25">
      <c r="A810" s="216" t="s">
        <v>1291</v>
      </c>
      <c r="B810" s="218" t="s">
        <v>48</v>
      </c>
      <c r="C810" s="220" t="s">
        <v>1292</v>
      </c>
      <c r="D810" s="220" t="s">
        <v>82</v>
      </c>
      <c r="E810" s="165">
        <v>2645</v>
      </c>
    </row>
    <row r="811" spans="1:5" x14ac:dyDescent="0.25">
      <c r="A811" s="216" t="s">
        <v>1398</v>
      </c>
      <c r="B811" s="218" t="s">
        <v>48</v>
      </c>
      <c r="C811" s="220" t="s">
        <v>1399</v>
      </c>
      <c r="D811" s="220" t="s">
        <v>188</v>
      </c>
      <c r="E811" s="165">
        <v>2645</v>
      </c>
    </row>
    <row r="812" spans="1:5" x14ac:dyDescent="0.25">
      <c r="A812" s="216" t="s">
        <v>1404</v>
      </c>
      <c r="B812" s="218">
        <v>1</v>
      </c>
      <c r="C812" s="220" t="s">
        <v>1405</v>
      </c>
      <c r="D812" s="220" t="s">
        <v>130</v>
      </c>
      <c r="E812" s="165">
        <v>2637</v>
      </c>
    </row>
    <row r="813" spans="1:5" x14ac:dyDescent="0.25">
      <c r="A813" s="216" t="s">
        <v>1312</v>
      </c>
      <c r="B813" s="218">
        <v>1</v>
      </c>
      <c r="C813" s="220" t="s">
        <v>522</v>
      </c>
      <c r="D813" s="220" t="s">
        <v>523</v>
      </c>
      <c r="E813" s="165">
        <v>2618</v>
      </c>
    </row>
    <row r="814" spans="1:5" x14ac:dyDescent="0.25">
      <c r="A814" s="216" t="s">
        <v>1471</v>
      </c>
      <c r="B814" s="218">
        <v>1</v>
      </c>
      <c r="C814" s="220" t="s">
        <v>10989</v>
      </c>
      <c r="D814" s="220" t="s">
        <v>188</v>
      </c>
      <c r="E814" s="165">
        <v>2612</v>
      </c>
    </row>
    <row r="815" spans="1:5" x14ac:dyDescent="0.25">
      <c r="A815" s="216" t="s">
        <v>1240</v>
      </c>
      <c r="B815" s="218" t="s">
        <v>48</v>
      </c>
      <c r="C815" s="220" t="s">
        <v>1241</v>
      </c>
      <c r="D815" s="220" t="s">
        <v>72</v>
      </c>
      <c r="E815" s="165">
        <v>2610</v>
      </c>
    </row>
    <row r="816" spans="1:5" x14ac:dyDescent="0.25">
      <c r="A816" s="216" t="s">
        <v>2040</v>
      </c>
      <c r="B816" s="218" t="s">
        <v>48</v>
      </c>
      <c r="C816" s="220" t="s">
        <v>2041</v>
      </c>
      <c r="D816" s="220" t="s">
        <v>108</v>
      </c>
      <c r="E816" s="165">
        <v>2610</v>
      </c>
    </row>
    <row r="817" spans="1:5" x14ac:dyDescent="0.25">
      <c r="A817" s="216" t="s">
        <v>1480</v>
      </c>
      <c r="B817" s="218">
        <v>1</v>
      </c>
      <c r="C817" s="220" t="s">
        <v>1481</v>
      </c>
      <c r="D817" s="220" t="s">
        <v>63</v>
      </c>
      <c r="E817" s="165">
        <v>2609</v>
      </c>
    </row>
    <row r="818" spans="1:5" x14ac:dyDescent="0.25">
      <c r="A818" s="216" t="s">
        <v>1137</v>
      </c>
      <c r="B818" s="218">
        <v>1</v>
      </c>
      <c r="C818" s="220" t="s">
        <v>1138</v>
      </c>
      <c r="D818" s="220" t="s">
        <v>127</v>
      </c>
      <c r="E818" s="165">
        <v>2606</v>
      </c>
    </row>
    <row r="819" spans="1:5" x14ac:dyDescent="0.25">
      <c r="A819" s="216" t="s">
        <v>1384</v>
      </c>
      <c r="B819" s="218" t="s">
        <v>48</v>
      </c>
      <c r="C819" s="220" t="s">
        <v>483</v>
      </c>
      <c r="D819" s="220" t="s">
        <v>56</v>
      </c>
      <c r="E819" s="165">
        <v>2604</v>
      </c>
    </row>
    <row r="820" spans="1:5" x14ac:dyDescent="0.25">
      <c r="A820" s="216" t="s">
        <v>1650</v>
      </c>
      <c r="B820" s="218">
        <v>1</v>
      </c>
      <c r="C820" s="220" t="s">
        <v>138</v>
      </c>
      <c r="D820" s="220" t="s">
        <v>139</v>
      </c>
      <c r="E820" s="165">
        <v>2604</v>
      </c>
    </row>
    <row r="821" spans="1:5" x14ac:dyDescent="0.25">
      <c r="A821" s="216" t="s">
        <v>1625</v>
      </c>
      <c r="B821" s="218" t="s">
        <v>48</v>
      </c>
      <c r="C821" s="220" t="s">
        <v>1626</v>
      </c>
      <c r="D821" s="220" t="s">
        <v>66</v>
      </c>
      <c r="E821" s="165">
        <v>2600</v>
      </c>
    </row>
    <row r="822" spans="1:5" x14ac:dyDescent="0.25">
      <c r="A822" s="216" t="s">
        <v>1748</v>
      </c>
      <c r="B822" s="218" t="s">
        <v>48</v>
      </c>
      <c r="C822" s="220" t="s">
        <v>1749</v>
      </c>
      <c r="D822" s="220" t="s">
        <v>130</v>
      </c>
      <c r="E822" s="165">
        <v>2600</v>
      </c>
    </row>
    <row r="823" spans="1:5" x14ac:dyDescent="0.25">
      <c r="A823" s="216" t="s">
        <v>1260</v>
      </c>
      <c r="B823" s="218">
        <v>1</v>
      </c>
      <c r="C823" s="220" t="s">
        <v>485</v>
      </c>
      <c r="D823" s="220" t="s">
        <v>486</v>
      </c>
      <c r="E823" s="165">
        <v>2598</v>
      </c>
    </row>
    <row r="824" spans="1:5" x14ac:dyDescent="0.25">
      <c r="A824" s="216" t="s">
        <v>1254</v>
      </c>
      <c r="B824" s="218">
        <v>1</v>
      </c>
      <c r="C824" s="220" t="s">
        <v>279</v>
      </c>
      <c r="D824" s="220" t="s">
        <v>127</v>
      </c>
      <c r="E824" s="165">
        <v>2589</v>
      </c>
    </row>
    <row r="825" spans="1:5" x14ac:dyDescent="0.25">
      <c r="A825" s="216" t="s">
        <v>1210</v>
      </c>
      <c r="B825" s="218">
        <v>1</v>
      </c>
      <c r="C825" s="220" t="s">
        <v>1211</v>
      </c>
      <c r="D825" s="220" t="s">
        <v>53</v>
      </c>
      <c r="E825" s="165">
        <v>2580</v>
      </c>
    </row>
    <row r="826" spans="1:5" x14ac:dyDescent="0.25">
      <c r="A826" s="216" t="s">
        <v>979</v>
      </c>
      <c r="B826" s="218">
        <v>1</v>
      </c>
      <c r="C826" s="220" t="s">
        <v>980</v>
      </c>
      <c r="D826" s="220" t="s">
        <v>277</v>
      </c>
      <c r="E826" s="165">
        <v>2580</v>
      </c>
    </row>
    <row r="827" spans="1:5" x14ac:dyDescent="0.25">
      <c r="A827" s="216" t="s">
        <v>1258</v>
      </c>
      <c r="B827" s="218">
        <v>1</v>
      </c>
      <c r="C827" s="220" t="s">
        <v>1259</v>
      </c>
      <c r="D827" s="220" t="s">
        <v>1200</v>
      </c>
      <c r="E827" s="165">
        <v>2579</v>
      </c>
    </row>
    <row r="828" spans="1:5" x14ac:dyDescent="0.25">
      <c r="A828" s="216" t="s">
        <v>1289</v>
      </c>
      <c r="B828" s="218">
        <v>1</v>
      </c>
      <c r="C828" s="220" t="s">
        <v>1290</v>
      </c>
      <c r="D828" s="220" t="s">
        <v>277</v>
      </c>
      <c r="E828" s="165">
        <v>2578</v>
      </c>
    </row>
    <row r="829" spans="1:5" x14ac:dyDescent="0.25">
      <c r="A829" s="216" t="s">
        <v>993</v>
      </c>
      <c r="B829" s="218">
        <v>1</v>
      </c>
      <c r="C829" s="220" t="s">
        <v>994</v>
      </c>
      <c r="D829" s="220" t="s">
        <v>277</v>
      </c>
      <c r="E829" s="165">
        <v>2577</v>
      </c>
    </row>
    <row r="830" spans="1:5" x14ac:dyDescent="0.25">
      <c r="A830" s="216" t="s">
        <v>1456</v>
      </c>
      <c r="B830" s="218">
        <v>1</v>
      </c>
      <c r="C830" s="220" t="s">
        <v>1457</v>
      </c>
      <c r="D830" s="220" t="s">
        <v>50</v>
      </c>
      <c r="E830" s="165">
        <v>2571</v>
      </c>
    </row>
    <row r="831" spans="1:5" x14ac:dyDescent="0.25">
      <c r="A831" s="216" t="s">
        <v>1623</v>
      </c>
      <c r="B831" s="218" t="s">
        <v>48</v>
      </c>
      <c r="C831" s="220" t="s">
        <v>259</v>
      </c>
      <c r="D831" s="220" t="s">
        <v>50</v>
      </c>
      <c r="E831" s="165">
        <v>2564</v>
      </c>
    </row>
    <row r="832" spans="1:5" x14ac:dyDescent="0.25">
      <c r="A832" s="216" t="s">
        <v>1135</v>
      </c>
      <c r="B832" s="218" t="s">
        <v>48</v>
      </c>
      <c r="C832" s="220" t="s">
        <v>1136</v>
      </c>
      <c r="D832" s="220" t="s">
        <v>93</v>
      </c>
      <c r="E832" s="165">
        <v>2558</v>
      </c>
    </row>
    <row r="833" spans="1:5" x14ac:dyDescent="0.25">
      <c r="A833" s="216" t="s">
        <v>1428</v>
      </c>
      <c r="B833" s="218">
        <v>1</v>
      </c>
      <c r="C833" s="220" t="s">
        <v>1429</v>
      </c>
      <c r="D833" s="220" t="s">
        <v>264</v>
      </c>
      <c r="E833" s="165">
        <v>2555</v>
      </c>
    </row>
    <row r="834" spans="1:5" x14ac:dyDescent="0.25">
      <c r="A834" s="216" t="s">
        <v>1364</v>
      </c>
      <c r="B834" s="218">
        <v>1</v>
      </c>
      <c r="C834" s="220" t="s">
        <v>1365</v>
      </c>
      <c r="D834" s="220" t="s">
        <v>192</v>
      </c>
      <c r="E834" s="165">
        <v>2555</v>
      </c>
    </row>
    <row r="835" spans="1:5" x14ac:dyDescent="0.25">
      <c r="A835" s="216" t="s">
        <v>1403</v>
      </c>
      <c r="B835" s="218">
        <v>1</v>
      </c>
      <c r="C835" s="220" t="s">
        <v>943</v>
      </c>
      <c r="D835" s="220" t="s">
        <v>56</v>
      </c>
      <c r="E835" s="165">
        <v>2553</v>
      </c>
    </row>
    <row r="836" spans="1:5" x14ac:dyDescent="0.25">
      <c r="A836" s="216" t="s">
        <v>1269</v>
      </c>
      <c r="B836" s="218">
        <v>1</v>
      </c>
      <c r="C836" s="220" t="s">
        <v>1270</v>
      </c>
      <c r="D836" s="220" t="s">
        <v>118</v>
      </c>
      <c r="E836" s="165">
        <v>2551</v>
      </c>
    </row>
    <row r="837" spans="1:5" x14ac:dyDescent="0.25">
      <c r="A837" s="216" t="s">
        <v>10990</v>
      </c>
      <c r="B837" s="218" t="s">
        <v>48</v>
      </c>
      <c r="C837" s="220" t="s">
        <v>1275</v>
      </c>
      <c r="D837" s="220" t="s">
        <v>78</v>
      </c>
      <c r="E837" s="165">
        <v>2537</v>
      </c>
    </row>
    <row r="838" spans="1:5" x14ac:dyDescent="0.25">
      <c r="A838" s="216" t="s">
        <v>1894</v>
      </c>
      <c r="B838" s="218" t="s">
        <v>48</v>
      </c>
      <c r="C838" s="220" t="s">
        <v>1895</v>
      </c>
      <c r="D838" s="220" t="s">
        <v>378</v>
      </c>
      <c r="E838" s="165">
        <v>2536</v>
      </c>
    </row>
    <row r="839" spans="1:5" x14ac:dyDescent="0.25">
      <c r="A839" s="216" t="s">
        <v>1442</v>
      </c>
      <c r="B839" s="218">
        <v>1</v>
      </c>
      <c r="C839" s="220" t="s">
        <v>1443</v>
      </c>
      <c r="D839" s="220" t="s">
        <v>192</v>
      </c>
      <c r="E839" s="165">
        <v>2532</v>
      </c>
    </row>
    <row r="840" spans="1:5" x14ac:dyDescent="0.25">
      <c r="A840" s="216" t="s">
        <v>1474</v>
      </c>
      <c r="B840" s="218" t="s">
        <v>48</v>
      </c>
      <c r="C840" s="220" t="s">
        <v>1475</v>
      </c>
      <c r="D840" s="220" t="s">
        <v>56</v>
      </c>
      <c r="E840" s="165">
        <v>2531</v>
      </c>
    </row>
    <row r="841" spans="1:5" x14ac:dyDescent="0.25">
      <c r="A841" s="216" t="s">
        <v>1368</v>
      </c>
      <c r="B841" s="218">
        <v>1</v>
      </c>
      <c r="C841" s="220" t="s">
        <v>496</v>
      </c>
      <c r="D841" s="220" t="s">
        <v>272</v>
      </c>
      <c r="E841" s="165">
        <v>2529</v>
      </c>
    </row>
    <row r="842" spans="1:5" x14ac:dyDescent="0.25">
      <c r="A842" s="216" t="s">
        <v>1395</v>
      </c>
      <c r="B842" s="218" t="s">
        <v>48</v>
      </c>
      <c r="C842" s="220" t="s">
        <v>235</v>
      </c>
      <c r="D842" s="220" t="s">
        <v>236</v>
      </c>
      <c r="E842" s="165">
        <v>2527</v>
      </c>
    </row>
    <row r="843" spans="1:5" x14ac:dyDescent="0.25">
      <c r="A843" s="216" t="s">
        <v>1373</v>
      </c>
      <c r="B843" s="218">
        <v>1</v>
      </c>
      <c r="C843" s="220" t="s">
        <v>1374</v>
      </c>
      <c r="D843" s="220" t="s">
        <v>192</v>
      </c>
      <c r="E843" s="165">
        <v>2517</v>
      </c>
    </row>
    <row r="844" spans="1:5" x14ac:dyDescent="0.25">
      <c r="A844" s="216" t="s">
        <v>1473</v>
      </c>
      <c r="B844" s="218" t="s">
        <v>48</v>
      </c>
      <c r="C844" s="220" t="s">
        <v>733</v>
      </c>
      <c r="D844" s="220" t="s">
        <v>82</v>
      </c>
      <c r="E844" s="165">
        <v>2516</v>
      </c>
    </row>
    <row r="845" spans="1:5" x14ac:dyDescent="0.25">
      <c r="A845" s="216" t="s">
        <v>1435</v>
      </c>
      <c r="B845" s="218">
        <v>1</v>
      </c>
      <c r="C845" s="220" t="s">
        <v>1436</v>
      </c>
      <c r="D845" s="220" t="s">
        <v>66</v>
      </c>
      <c r="E845" s="165">
        <v>2510</v>
      </c>
    </row>
    <row r="846" spans="1:5" x14ac:dyDescent="0.25">
      <c r="A846" s="216" t="s">
        <v>1380</v>
      </c>
      <c r="B846" s="218">
        <v>1</v>
      </c>
      <c r="C846" s="220" t="s">
        <v>1262</v>
      </c>
      <c r="D846" s="220" t="s">
        <v>192</v>
      </c>
      <c r="E846" s="165">
        <v>2509</v>
      </c>
    </row>
    <row r="847" spans="1:5" x14ac:dyDescent="0.25">
      <c r="A847" s="216" t="s">
        <v>1447</v>
      </c>
      <c r="B847" s="218" t="s">
        <v>48</v>
      </c>
      <c r="C847" s="220" t="s">
        <v>1113</v>
      </c>
      <c r="D847" s="220" t="s">
        <v>50</v>
      </c>
      <c r="E847" s="165">
        <v>2500</v>
      </c>
    </row>
    <row r="848" spans="1:5" x14ac:dyDescent="0.25">
      <c r="A848" s="216" t="s">
        <v>1584</v>
      </c>
      <c r="B848" s="218" t="s">
        <v>48</v>
      </c>
      <c r="C848" s="220" t="s">
        <v>289</v>
      </c>
      <c r="D848" s="220" t="s">
        <v>69</v>
      </c>
      <c r="E848" s="165">
        <v>2500</v>
      </c>
    </row>
    <row r="849" spans="1:5" x14ac:dyDescent="0.25">
      <c r="A849" s="216" t="s">
        <v>1936</v>
      </c>
      <c r="B849" s="218" t="s">
        <v>48</v>
      </c>
      <c r="C849" s="220" t="s">
        <v>1262</v>
      </c>
      <c r="D849" s="220" t="s">
        <v>192</v>
      </c>
      <c r="E849" s="165">
        <v>2500</v>
      </c>
    </row>
    <row r="850" spans="1:5" x14ac:dyDescent="0.25">
      <c r="A850" s="216" t="s">
        <v>1983</v>
      </c>
      <c r="B850" s="218" t="s">
        <v>48</v>
      </c>
      <c r="C850" s="220" t="s">
        <v>1984</v>
      </c>
      <c r="D850" s="220" t="s">
        <v>56</v>
      </c>
      <c r="E850" s="165">
        <v>2500</v>
      </c>
    </row>
    <row r="851" spans="1:5" x14ac:dyDescent="0.25">
      <c r="A851" s="216" t="s">
        <v>809</v>
      </c>
      <c r="B851" s="218" t="s">
        <v>48</v>
      </c>
      <c r="C851" s="220" t="s">
        <v>810</v>
      </c>
      <c r="D851" s="220" t="s">
        <v>394</v>
      </c>
      <c r="E851" s="165">
        <v>2500</v>
      </c>
    </row>
    <row r="852" spans="1:5" x14ac:dyDescent="0.25">
      <c r="A852" s="216" t="s">
        <v>1763</v>
      </c>
      <c r="B852" s="218" t="s">
        <v>48</v>
      </c>
      <c r="C852" s="220" t="s">
        <v>634</v>
      </c>
      <c r="D852" s="220" t="s">
        <v>264</v>
      </c>
      <c r="E852" s="165">
        <v>2500</v>
      </c>
    </row>
    <row r="853" spans="1:5" x14ac:dyDescent="0.25">
      <c r="A853" s="216" t="s">
        <v>1533</v>
      </c>
      <c r="B853" s="218" t="s">
        <v>48</v>
      </c>
      <c r="C853" s="220" t="s">
        <v>1534</v>
      </c>
      <c r="D853" s="220" t="s">
        <v>139</v>
      </c>
      <c r="E853" s="165">
        <v>2500</v>
      </c>
    </row>
    <row r="854" spans="1:5" x14ac:dyDescent="0.25">
      <c r="A854" s="216" t="s">
        <v>1437</v>
      </c>
      <c r="B854" s="218" t="s">
        <v>48</v>
      </c>
      <c r="C854" s="220" t="s">
        <v>665</v>
      </c>
      <c r="D854" s="220" t="s">
        <v>188</v>
      </c>
      <c r="E854" s="165">
        <v>2500</v>
      </c>
    </row>
    <row r="855" spans="1:5" x14ac:dyDescent="0.25">
      <c r="A855" s="216" t="s">
        <v>1468</v>
      </c>
      <c r="B855" s="218">
        <v>1</v>
      </c>
      <c r="C855" s="220" t="s">
        <v>1469</v>
      </c>
      <c r="D855" s="220" t="s">
        <v>394</v>
      </c>
      <c r="E855" s="165">
        <v>2497</v>
      </c>
    </row>
    <row r="856" spans="1:5" x14ac:dyDescent="0.25">
      <c r="A856" s="216" t="s">
        <v>1393</v>
      </c>
      <c r="B856" s="218">
        <v>1</v>
      </c>
      <c r="C856" s="220" t="s">
        <v>71</v>
      </c>
      <c r="D856" s="220" t="s">
        <v>628</v>
      </c>
      <c r="E856" s="165">
        <v>2493</v>
      </c>
    </row>
    <row r="857" spans="1:5" x14ac:dyDescent="0.25">
      <c r="A857" s="216" t="s">
        <v>1642</v>
      </c>
      <c r="B857" s="218" t="s">
        <v>48</v>
      </c>
      <c r="C857" s="220" t="s">
        <v>522</v>
      </c>
      <c r="D857" s="220" t="s">
        <v>523</v>
      </c>
      <c r="E857" s="165">
        <v>2486</v>
      </c>
    </row>
    <row r="858" spans="1:5" x14ac:dyDescent="0.25">
      <c r="A858" s="216" t="s">
        <v>10991</v>
      </c>
      <c r="B858" s="218">
        <v>1</v>
      </c>
      <c r="C858" s="220" t="s">
        <v>289</v>
      </c>
      <c r="D858" s="220" t="s">
        <v>69</v>
      </c>
      <c r="E858" s="165">
        <v>2485</v>
      </c>
    </row>
    <row r="859" spans="1:5" x14ac:dyDescent="0.25">
      <c r="A859" s="216" t="s">
        <v>1458</v>
      </c>
      <c r="B859" s="218">
        <v>1</v>
      </c>
      <c r="C859" s="220" t="s">
        <v>1459</v>
      </c>
      <c r="D859" s="220" t="s">
        <v>66</v>
      </c>
      <c r="E859" s="165">
        <v>2481</v>
      </c>
    </row>
    <row r="860" spans="1:5" x14ac:dyDescent="0.25">
      <c r="A860" s="216" t="s">
        <v>1438</v>
      </c>
      <c r="B860" s="218">
        <v>1</v>
      </c>
      <c r="C860" s="220" t="s">
        <v>1439</v>
      </c>
      <c r="D860" s="220" t="s">
        <v>56</v>
      </c>
      <c r="E860" s="165">
        <v>2476</v>
      </c>
    </row>
    <row r="861" spans="1:5" x14ac:dyDescent="0.25">
      <c r="A861" s="216" t="s">
        <v>1396</v>
      </c>
      <c r="B861" s="218">
        <v>1</v>
      </c>
      <c r="C861" s="220" t="s">
        <v>1397</v>
      </c>
      <c r="D861" s="220" t="s">
        <v>272</v>
      </c>
      <c r="E861" s="165">
        <v>2474</v>
      </c>
    </row>
    <row r="862" spans="1:5" x14ac:dyDescent="0.25">
      <c r="A862" s="216" t="s">
        <v>1695</v>
      </c>
      <c r="B862" s="218">
        <v>1</v>
      </c>
      <c r="C862" s="220" t="s">
        <v>138</v>
      </c>
      <c r="D862" s="220" t="s">
        <v>139</v>
      </c>
      <c r="E862" s="165">
        <v>2472</v>
      </c>
    </row>
    <row r="863" spans="1:5" x14ac:dyDescent="0.25">
      <c r="A863" s="216" t="s">
        <v>1543</v>
      </c>
      <c r="B863" s="218" t="s">
        <v>48</v>
      </c>
      <c r="C863" s="220" t="s">
        <v>121</v>
      </c>
      <c r="D863" s="220" t="s">
        <v>56</v>
      </c>
      <c r="E863" s="165">
        <v>2470</v>
      </c>
    </row>
    <row r="864" spans="1:5" x14ac:dyDescent="0.25">
      <c r="A864" s="216" t="s">
        <v>1684</v>
      </c>
      <c r="B864" s="218" t="s">
        <v>48</v>
      </c>
      <c r="C864" s="220" t="s">
        <v>390</v>
      </c>
      <c r="D864" s="220" t="s">
        <v>75</v>
      </c>
      <c r="E864" s="165">
        <v>2462</v>
      </c>
    </row>
    <row r="865" spans="1:5" x14ac:dyDescent="0.25">
      <c r="A865" s="216" t="s">
        <v>1834</v>
      </c>
      <c r="B865" s="218" t="s">
        <v>48</v>
      </c>
      <c r="C865" s="220" t="s">
        <v>1835</v>
      </c>
      <c r="D865" s="220" t="s">
        <v>166</v>
      </c>
      <c r="E865" s="165">
        <v>2459</v>
      </c>
    </row>
    <row r="866" spans="1:5" x14ac:dyDescent="0.25">
      <c r="A866" s="216" t="s">
        <v>10992</v>
      </c>
      <c r="B866" s="218">
        <v>1</v>
      </c>
      <c r="C866" s="220" t="s">
        <v>1500</v>
      </c>
      <c r="D866" s="220" t="s">
        <v>69</v>
      </c>
      <c r="E866" s="165">
        <v>2446</v>
      </c>
    </row>
    <row r="867" spans="1:5" x14ac:dyDescent="0.25">
      <c r="A867" s="216" t="s">
        <v>1383</v>
      </c>
      <c r="B867" s="218" t="s">
        <v>48</v>
      </c>
      <c r="C867" s="220" t="s">
        <v>89</v>
      </c>
      <c r="D867" s="220" t="s">
        <v>90</v>
      </c>
      <c r="E867" s="165">
        <v>2439</v>
      </c>
    </row>
    <row r="868" spans="1:5" x14ac:dyDescent="0.25">
      <c r="A868" s="216" t="s">
        <v>944</v>
      </c>
      <c r="B868" s="218">
        <v>1</v>
      </c>
      <c r="C868" s="220" t="s">
        <v>283</v>
      </c>
      <c r="D868" s="220" t="s">
        <v>59</v>
      </c>
      <c r="E868" s="165">
        <v>2437</v>
      </c>
    </row>
    <row r="869" spans="1:5" x14ac:dyDescent="0.25">
      <c r="A869" s="216" t="s">
        <v>1489</v>
      </c>
      <c r="B869" s="218">
        <v>1</v>
      </c>
      <c r="C869" s="220" t="s">
        <v>428</v>
      </c>
      <c r="D869" s="220" t="s">
        <v>394</v>
      </c>
      <c r="E869" s="165">
        <v>2434</v>
      </c>
    </row>
    <row r="870" spans="1:5" x14ac:dyDescent="0.25">
      <c r="A870" s="216" t="s">
        <v>1189</v>
      </c>
      <c r="B870" s="218" t="s">
        <v>48</v>
      </c>
      <c r="C870" s="220" t="s">
        <v>58</v>
      </c>
      <c r="D870" s="220" t="s">
        <v>59</v>
      </c>
      <c r="E870" s="165">
        <v>2429</v>
      </c>
    </row>
    <row r="871" spans="1:5" x14ac:dyDescent="0.25">
      <c r="A871" s="216" t="s">
        <v>1454</v>
      </c>
      <c r="B871" s="218">
        <v>1</v>
      </c>
      <c r="C871" s="220" t="s">
        <v>1455</v>
      </c>
      <c r="D871" s="220" t="s">
        <v>188</v>
      </c>
      <c r="E871" s="165">
        <v>2422</v>
      </c>
    </row>
    <row r="872" spans="1:5" x14ac:dyDescent="0.25">
      <c r="A872" s="216" t="s">
        <v>2481</v>
      </c>
      <c r="B872" s="218">
        <v>1</v>
      </c>
      <c r="C872" s="220" t="s">
        <v>282</v>
      </c>
      <c r="D872" s="220" t="s">
        <v>63</v>
      </c>
      <c r="E872" s="165">
        <v>2421</v>
      </c>
    </row>
    <row r="873" spans="1:5" x14ac:dyDescent="0.25">
      <c r="A873" s="216" t="s">
        <v>1425</v>
      </c>
      <c r="B873" s="218">
        <v>1</v>
      </c>
      <c r="C873" s="220" t="s">
        <v>86</v>
      </c>
      <c r="D873" s="220" t="s">
        <v>78</v>
      </c>
      <c r="E873" s="165">
        <v>2418</v>
      </c>
    </row>
    <row r="874" spans="1:5" x14ac:dyDescent="0.25">
      <c r="A874" s="216" t="s">
        <v>8319</v>
      </c>
      <c r="B874" s="218" t="s">
        <v>48</v>
      </c>
      <c r="C874" s="220" t="s">
        <v>8320</v>
      </c>
      <c r="D874" s="220" t="s">
        <v>53</v>
      </c>
      <c r="E874" s="165">
        <v>2416</v>
      </c>
    </row>
    <row r="875" spans="1:5" x14ac:dyDescent="0.25">
      <c r="A875" s="216" t="s">
        <v>1255</v>
      </c>
      <c r="B875" s="218">
        <v>1</v>
      </c>
      <c r="C875" s="220" t="s">
        <v>1256</v>
      </c>
      <c r="D875" s="220" t="s">
        <v>50</v>
      </c>
      <c r="E875" s="165">
        <v>2412</v>
      </c>
    </row>
    <row r="876" spans="1:5" x14ac:dyDescent="0.25">
      <c r="A876" s="216" t="s">
        <v>1461</v>
      </c>
      <c r="B876" s="218">
        <v>1</v>
      </c>
      <c r="C876" s="220" t="s">
        <v>233</v>
      </c>
      <c r="D876" s="220" t="s">
        <v>56</v>
      </c>
      <c r="E876" s="165">
        <v>2408</v>
      </c>
    </row>
    <row r="877" spans="1:5" x14ac:dyDescent="0.25">
      <c r="A877" s="216" t="s">
        <v>1326</v>
      </c>
      <c r="B877" s="218">
        <v>1</v>
      </c>
      <c r="C877" s="220" t="s">
        <v>102</v>
      </c>
      <c r="D877" s="220" t="s">
        <v>93</v>
      </c>
      <c r="E877" s="165">
        <v>2408</v>
      </c>
    </row>
    <row r="878" spans="1:5" x14ac:dyDescent="0.25">
      <c r="A878" s="216" t="s">
        <v>1338</v>
      </c>
      <c r="B878" s="218">
        <v>1</v>
      </c>
      <c r="C878" s="220" t="s">
        <v>1339</v>
      </c>
      <c r="D878" s="220" t="s">
        <v>575</v>
      </c>
      <c r="E878" s="165">
        <v>2406</v>
      </c>
    </row>
    <row r="879" spans="1:5" x14ac:dyDescent="0.25">
      <c r="A879" s="216" t="s">
        <v>1752</v>
      </c>
      <c r="B879" s="218">
        <v>1</v>
      </c>
      <c r="C879" s="220" t="s">
        <v>1753</v>
      </c>
      <c r="D879" s="220" t="s">
        <v>130</v>
      </c>
      <c r="E879" s="165">
        <v>2406</v>
      </c>
    </row>
    <row r="880" spans="1:5" x14ac:dyDescent="0.25">
      <c r="A880" s="216" t="s">
        <v>1530</v>
      </c>
      <c r="B880" s="218" t="s">
        <v>48</v>
      </c>
      <c r="C880" s="220" t="s">
        <v>281</v>
      </c>
      <c r="D880" s="220" t="s">
        <v>206</v>
      </c>
      <c r="E880" s="165">
        <v>2404</v>
      </c>
    </row>
    <row r="881" spans="1:5" x14ac:dyDescent="0.25">
      <c r="A881" s="216" t="s">
        <v>1401</v>
      </c>
      <c r="B881" s="218" t="s">
        <v>48</v>
      </c>
      <c r="C881" s="220" t="s">
        <v>313</v>
      </c>
      <c r="D881" s="220" t="s">
        <v>90</v>
      </c>
      <c r="E881" s="165">
        <v>2400</v>
      </c>
    </row>
    <row r="882" spans="1:5" x14ac:dyDescent="0.25">
      <c r="A882" s="216" t="s">
        <v>1836</v>
      </c>
      <c r="B882" s="218" t="s">
        <v>48</v>
      </c>
      <c r="C882" s="220" t="s">
        <v>1837</v>
      </c>
      <c r="D882" s="220" t="s">
        <v>53</v>
      </c>
      <c r="E882" s="165">
        <v>2400</v>
      </c>
    </row>
    <row r="883" spans="1:5" x14ac:dyDescent="0.25">
      <c r="A883" s="216" t="s">
        <v>1582</v>
      </c>
      <c r="B883" s="218" t="s">
        <v>48</v>
      </c>
      <c r="C883" s="220" t="s">
        <v>1583</v>
      </c>
      <c r="D883" s="220" t="s">
        <v>188</v>
      </c>
      <c r="E883" s="165">
        <v>2400</v>
      </c>
    </row>
    <row r="884" spans="1:5" x14ac:dyDescent="0.25">
      <c r="A884" s="216" t="s">
        <v>10993</v>
      </c>
      <c r="B884" s="218" t="s">
        <v>48</v>
      </c>
      <c r="C884" s="220" t="s">
        <v>516</v>
      </c>
      <c r="D884" s="220" t="s">
        <v>517</v>
      </c>
      <c r="E884" s="165">
        <v>2400</v>
      </c>
    </row>
    <row r="885" spans="1:5" x14ac:dyDescent="0.25">
      <c r="A885" s="216" t="s">
        <v>1699</v>
      </c>
      <c r="B885" s="218">
        <v>1</v>
      </c>
      <c r="C885" s="220" t="s">
        <v>1700</v>
      </c>
      <c r="D885" s="220" t="s">
        <v>337</v>
      </c>
      <c r="E885" s="165">
        <v>2393</v>
      </c>
    </row>
    <row r="886" spans="1:5" x14ac:dyDescent="0.25">
      <c r="A886" s="216" t="s">
        <v>1621</v>
      </c>
      <c r="B886" s="218" t="s">
        <v>48</v>
      </c>
      <c r="C886" s="220" t="s">
        <v>283</v>
      </c>
      <c r="D886" s="220" t="s">
        <v>59</v>
      </c>
      <c r="E886" s="165">
        <v>2380</v>
      </c>
    </row>
    <row r="887" spans="1:5" x14ac:dyDescent="0.25">
      <c r="A887" s="216" t="s">
        <v>1271</v>
      </c>
      <c r="B887" s="218">
        <v>1</v>
      </c>
      <c r="C887" s="220" t="s">
        <v>1113</v>
      </c>
      <c r="D887" s="220" t="s">
        <v>50</v>
      </c>
      <c r="E887" s="165">
        <v>2377</v>
      </c>
    </row>
    <row r="888" spans="1:5" x14ac:dyDescent="0.25">
      <c r="A888" s="216" t="s">
        <v>1546</v>
      </c>
      <c r="B888" s="218">
        <v>1</v>
      </c>
      <c r="C888" s="220" t="s">
        <v>1547</v>
      </c>
      <c r="D888" s="220" t="s">
        <v>188</v>
      </c>
      <c r="E888" s="165">
        <v>2373</v>
      </c>
    </row>
    <row r="889" spans="1:5" x14ac:dyDescent="0.25">
      <c r="A889" s="216" t="s">
        <v>1570</v>
      </c>
      <c r="B889" s="218">
        <v>1</v>
      </c>
      <c r="C889" s="220" t="s">
        <v>1571</v>
      </c>
      <c r="D889" s="220" t="s">
        <v>63</v>
      </c>
      <c r="E889" s="165">
        <v>2369</v>
      </c>
    </row>
    <row r="890" spans="1:5" x14ac:dyDescent="0.25">
      <c r="A890" s="216" t="s">
        <v>1340</v>
      </c>
      <c r="B890" s="218" t="s">
        <v>48</v>
      </c>
      <c r="C890" s="220" t="s">
        <v>390</v>
      </c>
      <c r="D890" s="220" t="s">
        <v>75</v>
      </c>
      <c r="E890" s="165">
        <v>2366</v>
      </c>
    </row>
    <row r="891" spans="1:5" x14ac:dyDescent="0.25">
      <c r="A891" s="216" t="s">
        <v>1997</v>
      </c>
      <c r="B891" s="218" t="s">
        <v>48</v>
      </c>
      <c r="C891" s="220" t="s">
        <v>92</v>
      </c>
      <c r="D891" s="220" t="s">
        <v>93</v>
      </c>
      <c r="E891" s="165">
        <v>2361</v>
      </c>
    </row>
    <row r="892" spans="1:5" x14ac:dyDescent="0.25">
      <c r="A892" s="216" t="s">
        <v>1492</v>
      </c>
      <c r="B892" s="218">
        <v>1</v>
      </c>
      <c r="C892" s="220" t="s">
        <v>179</v>
      </c>
      <c r="D892" s="220" t="s">
        <v>66</v>
      </c>
      <c r="E892" s="165">
        <v>2361</v>
      </c>
    </row>
    <row r="893" spans="1:5" x14ac:dyDescent="0.25">
      <c r="A893" s="216" t="s">
        <v>1526</v>
      </c>
      <c r="B893" s="218">
        <v>1</v>
      </c>
      <c r="C893" s="220" t="s">
        <v>810</v>
      </c>
      <c r="D893" s="220" t="s">
        <v>394</v>
      </c>
      <c r="E893" s="165">
        <v>2350</v>
      </c>
    </row>
    <row r="894" spans="1:5" x14ac:dyDescent="0.25">
      <c r="A894" s="216" t="s">
        <v>1358</v>
      </c>
      <c r="B894" s="218">
        <v>1</v>
      </c>
      <c r="C894" s="220" t="s">
        <v>1359</v>
      </c>
      <c r="D894" s="220" t="s">
        <v>105</v>
      </c>
      <c r="E894" s="165">
        <v>2349</v>
      </c>
    </row>
    <row r="895" spans="1:5" x14ac:dyDescent="0.25">
      <c r="A895" s="216" t="s">
        <v>1493</v>
      </c>
      <c r="B895" s="218" t="s">
        <v>48</v>
      </c>
      <c r="C895" s="220" t="s">
        <v>110</v>
      </c>
      <c r="D895" s="220" t="s">
        <v>69</v>
      </c>
      <c r="E895" s="165">
        <v>2346</v>
      </c>
    </row>
    <row r="896" spans="1:5" x14ac:dyDescent="0.25">
      <c r="A896" s="216" t="s">
        <v>1370</v>
      </c>
      <c r="B896" s="218" t="s">
        <v>48</v>
      </c>
      <c r="C896" s="220" t="s">
        <v>86</v>
      </c>
      <c r="D896" s="220" t="s">
        <v>87</v>
      </c>
      <c r="E896" s="165">
        <v>2341</v>
      </c>
    </row>
    <row r="897" spans="1:5" x14ac:dyDescent="0.25">
      <c r="A897" s="216" t="s">
        <v>1390</v>
      </c>
      <c r="B897" s="218" t="s">
        <v>48</v>
      </c>
      <c r="C897" s="220" t="s">
        <v>1391</v>
      </c>
      <c r="D897" s="220" t="s">
        <v>66</v>
      </c>
      <c r="E897" s="165">
        <v>2330</v>
      </c>
    </row>
    <row r="898" spans="1:5" x14ac:dyDescent="0.25">
      <c r="A898" s="216" t="s">
        <v>1494</v>
      </c>
      <c r="B898" s="218">
        <v>1</v>
      </c>
      <c r="C898" s="220" t="s">
        <v>1495</v>
      </c>
      <c r="D898" s="220" t="s">
        <v>56</v>
      </c>
      <c r="E898" s="165">
        <v>2322</v>
      </c>
    </row>
    <row r="899" spans="1:5" x14ac:dyDescent="0.25">
      <c r="A899" s="216" t="s">
        <v>10994</v>
      </c>
      <c r="B899" s="218" t="s">
        <v>48</v>
      </c>
      <c r="C899" s="220" t="s">
        <v>287</v>
      </c>
      <c r="D899" s="220" t="s">
        <v>82</v>
      </c>
      <c r="E899" s="165">
        <v>2321</v>
      </c>
    </row>
    <row r="900" spans="1:5" x14ac:dyDescent="0.25">
      <c r="A900" s="216" t="s">
        <v>1507</v>
      </c>
      <c r="B900" s="218">
        <v>1</v>
      </c>
      <c r="C900" s="220" t="s">
        <v>1508</v>
      </c>
      <c r="D900" s="220" t="s">
        <v>69</v>
      </c>
      <c r="E900" s="165">
        <v>2319</v>
      </c>
    </row>
    <row r="901" spans="1:5" x14ac:dyDescent="0.25">
      <c r="A901" s="216" t="s">
        <v>1360</v>
      </c>
      <c r="B901" s="218">
        <v>1</v>
      </c>
      <c r="C901" s="220" t="s">
        <v>1361</v>
      </c>
      <c r="D901" s="220" t="s">
        <v>93</v>
      </c>
      <c r="E901" s="165">
        <v>2318</v>
      </c>
    </row>
    <row r="902" spans="1:5" x14ac:dyDescent="0.25">
      <c r="A902" s="216" t="s">
        <v>5671</v>
      </c>
      <c r="B902" s="218">
        <v>1</v>
      </c>
      <c r="C902" s="220" t="s">
        <v>86</v>
      </c>
      <c r="D902" s="220" t="s">
        <v>78</v>
      </c>
      <c r="E902" s="165">
        <v>2315</v>
      </c>
    </row>
    <row r="903" spans="1:5" x14ac:dyDescent="0.25">
      <c r="A903" s="216" t="s">
        <v>10533</v>
      </c>
      <c r="B903" s="218" t="s">
        <v>48</v>
      </c>
      <c r="C903" s="220" t="s">
        <v>5076</v>
      </c>
      <c r="D903" s="220" t="s">
        <v>188</v>
      </c>
      <c r="E903" s="165">
        <v>2300</v>
      </c>
    </row>
    <row r="904" spans="1:5" x14ac:dyDescent="0.25">
      <c r="A904" s="216" t="s">
        <v>1549</v>
      </c>
      <c r="B904" s="218" t="s">
        <v>48</v>
      </c>
      <c r="C904" s="220" t="s">
        <v>877</v>
      </c>
      <c r="D904" s="220" t="s">
        <v>72</v>
      </c>
      <c r="E904" s="165">
        <v>2300</v>
      </c>
    </row>
    <row r="905" spans="1:5" x14ac:dyDescent="0.25">
      <c r="A905" s="216" t="s">
        <v>10670</v>
      </c>
      <c r="B905" s="218" t="s">
        <v>48</v>
      </c>
      <c r="C905" s="220" t="s">
        <v>2958</v>
      </c>
      <c r="D905" s="220" t="s">
        <v>124</v>
      </c>
      <c r="E905" s="165">
        <v>2300</v>
      </c>
    </row>
    <row r="906" spans="1:5" x14ac:dyDescent="0.25">
      <c r="A906" s="216" t="s">
        <v>1509</v>
      </c>
      <c r="B906" s="218">
        <v>1</v>
      </c>
      <c r="C906" s="220" t="s">
        <v>1510</v>
      </c>
      <c r="D906" s="220" t="s">
        <v>56</v>
      </c>
      <c r="E906" s="165">
        <v>2297</v>
      </c>
    </row>
    <row r="907" spans="1:5" x14ac:dyDescent="0.25">
      <c r="A907" s="216" t="s">
        <v>1511</v>
      </c>
      <c r="B907" s="218">
        <v>1</v>
      </c>
      <c r="C907" s="220" t="s">
        <v>121</v>
      </c>
      <c r="D907" s="220" t="s">
        <v>56</v>
      </c>
      <c r="E907" s="165">
        <v>2297</v>
      </c>
    </row>
    <row r="908" spans="1:5" x14ac:dyDescent="0.25">
      <c r="A908" s="216" t="s">
        <v>1676</v>
      </c>
      <c r="B908" s="218" t="s">
        <v>48</v>
      </c>
      <c r="C908" s="220" t="s">
        <v>1677</v>
      </c>
      <c r="D908" s="220" t="s">
        <v>59</v>
      </c>
      <c r="E908" s="165">
        <v>2290</v>
      </c>
    </row>
    <row r="909" spans="1:5" x14ac:dyDescent="0.25">
      <c r="A909" s="216" t="s">
        <v>1519</v>
      </c>
      <c r="B909" s="218">
        <v>1</v>
      </c>
      <c r="C909" s="220" t="s">
        <v>367</v>
      </c>
      <c r="D909" s="220" t="s">
        <v>56</v>
      </c>
      <c r="E909" s="165">
        <v>2279</v>
      </c>
    </row>
    <row r="910" spans="1:5" x14ac:dyDescent="0.25">
      <c r="A910" s="216" t="s">
        <v>1126</v>
      </c>
      <c r="B910" s="218" t="s">
        <v>48</v>
      </c>
      <c r="C910" s="220" t="s">
        <v>1127</v>
      </c>
      <c r="D910" s="220" t="s">
        <v>93</v>
      </c>
      <c r="E910" s="165">
        <v>2270</v>
      </c>
    </row>
    <row r="911" spans="1:5" x14ac:dyDescent="0.25">
      <c r="A911" s="216" t="s">
        <v>1441</v>
      </c>
      <c r="B911" s="218" t="s">
        <v>48</v>
      </c>
      <c r="C911" s="220" t="s">
        <v>331</v>
      </c>
      <c r="D911" s="220" t="s">
        <v>69</v>
      </c>
      <c r="E911" s="165">
        <v>2270</v>
      </c>
    </row>
    <row r="912" spans="1:5" x14ac:dyDescent="0.25">
      <c r="A912" s="216" t="s">
        <v>1488</v>
      </c>
      <c r="B912" s="218">
        <v>1</v>
      </c>
      <c r="C912" s="220" t="s">
        <v>86</v>
      </c>
      <c r="D912" s="220" t="s">
        <v>78</v>
      </c>
      <c r="E912" s="165">
        <v>2269</v>
      </c>
    </row>
    <row r="913" spans="1:5" x14ac:dyDescent="0.25">
      <c r="A913" s="216" t="s">
        <v>1978</v>
      </c>
      <c r="B913" s="218" t="s">
        <v>48</v>
      </c>
      <c r="C913" s="220" t="s">
        <v>1405</v>
      </c>
      <c r="D913" s="220" t="s">
        <v>710</v>
      </c>
      <c r="E913" s="165">
        <v>2267</v>
      </c>
    </row>
    <row r="914" spans="1:5" x14ac:dyDescent="0.25">
      <c r="A914" s="216" t="s">
        <v>1563</v>
      </c>
      <c r="B914" s="218" t="s">
        <v>48</v>
      </c>
      <c r="C914" s="220" t="s">
        <v>181</v>
      </c>
      <c r="D914" s="220" t="s">
        <v>78</v>
      </c>
      <c r="E914" s="165">
        <v>2265</v>
      </c>
    </row>
    <row r="915" spans="1:5" x14ac:dyDescent="0.25">
      <c r="A915" s="216" t="s">
        <v>10995</v>
      </c>
      <c r="B915" s="218">
        <v>1</v>
      </c>
      <c r="C915" s="220" t="s">
        <v>1017</v>
      </c>
      <c r="D915" s="220" t="s">
        <v>337</v>
      </c>
      <c r="E915" s="165">
        <v>2251</v>
      </c>
    </row>
    <row r="916" spans="1:5" x14ac:dyDescent="0.25">
      <c r="A916" s="216" t="s">
        <v>1598</v>
      </c>
      <c r="B916" s="218">
        <v>1</v>
      </c>
      <c r="C916" s="220" t="s">
        <v>1599</v>
      </c>
      <c r="D916" s="220" t="s">
        <v>69</v>
      </c>
      <c r="E916" s="165">
        <v>2251</v>
      </c>
    </row>
    <row r="917" spans="1:5" x14ac:dyDescent="0.25">
      <c r="A917" s="216" t="s">
        <v>2289</v>
      </c>
      <c r="B917" s="218" t="s">
        <v>48</v>
      </c>
      <c r="C917" s="220" t="s">
        <v>1921</v>
      </c>
      <c r="D917" s="220" t="s">
        <v>188</v>
      </c>
      <c r="E917" s="165">
        <v>2250</v>
      </c>
    </row>
    <row r="918" spans="1:5" x14ac:dyDescent="0.25">
      <c r="A918" s="216" t="s">
        <v>1813</v>
      </c>
      <c r="B918" s="218" t="s">
        <v>48</v>
      </c>
      <c r="C918" s="220" t="s">
        <v>270</v>
      </c>
      <c r="D918" s="220" t="s">
        <v>177</v>
      </c>
      <c r="E918" s="165">
        <v>2250</v>
      </c>
    </row>
    <row r="919" spans="1:5" x14ac:dyDescent="0.25">
      <c r="A919" s="216" t="s">
        <v>1497</v>
      </c>
      <c r="B919" s="218" t="s">
        <v>48</v>
      </c>
      <c r="C919" s="220" t="s">
        <v>1498</v>
      </c>
      <c r="D919" s="220" t="s">
        <v>98</v>
      </c>
      <c r="E919" s="165">
        <v>2250</v>
      </c>
    </row>
    <row r="920" spans="1:5" x14ac:dyDescent="0.25">
      <c r="A920" s="216" t="s">
        <v>1520</v>
      </c>
      <c r="B920" s="218">
        <v>1</v>
      </c>
      <c r="C920" s="220" t="s">
        <v>1521</v>
      </c>
      <c r="D920" s="220" t="s">
        <v>517</v>
      </c>
      <c r="E920" s="165">
        <v>2249</v>
      </c>
    </row>
    <row r="921" spans="1:5" x14ac:dyDescent="0.25">
      <c r="A921" s="216" t="s">
        <v>1512</v>
      </c>
      <c r="B921" s="218" t="s">
        <v>48</v>
      </c>
      <c r="C921" s="220" t="s">
        <v>1513</v>
      </c>
      <c r="D921" s="220" t="s">
        <v>188</v>
      </c>
      <c r="E921" s="165">
        <v>2248</v>
      </c>
    </row>
    <row r="922" spans="1:5" x14ac:dyDescent="0.25">
      <c r="A922" s="216" t="s">
        <v>1527</v>
      </c>
      <c r="B922" s="218">
        <v>1</v>
      </c>
      <c r="C922" s="220" t="s">
        <v>984</v>
      </c>
      <c r="D922" s="220" t="s">
        <v>56</v>
      </c>
      <c r="E922" s="165">
        <v>2247</v>
      </c>
    </row>
    <row r="923" spans="1:5" x14ac:dyDescent="0.25">
      <c r="A923" s="216" t="s">
        <v>10996</v>
      </c>
      <c r="B923" s="218" t="s">
        <v>48</v>
      </c>
      <c r="C923" s="220" t="s">
        <v>1293</v>
      </c>
      <c r="D923" s="220" t="s">
        <v>166</v>
      </c>
      <c r="E923" s="165">
        <v>2243</v>
      </c>
    </row>
    <row r="924" spans="1:5" x14ac:dyDescent="0.25">
      <c r="A924" s="216" t="s">
        <v>1589</v>
      </c>
      <c r="B924" s="218">
        <v>1</v>
      </c>
      <c r="C924" s="220" t="s">
        <v>1590</v>
      </c>
      <c r="D924" s="220" t="s">
        <v>50</v>
      </c>
      <c r="E924" s="165">
        <v>2240</v>
      </c>
    </row>
    <row r="925" spans="1:5" x14ac:dyDescent="0.25">
      <c r="A925" s="216" t="s">
        <v>1660</v>
      </c>
      <c r="B925" s="218">
        <v>1</v>
      </c>
      <c r="C925" s="220" t="s">
        <v>511</v>
      </c>
      <c r="D925" s="220" t="s">
        <v>523</v>
      </c>
      <c r="E925" s="165">
        <v>2239</v>
      </c>
    </row>
    <row r="926" spans="1:5" x14ac:dyDescent="0.25">
      <c r="A926" s="216" t="s">
        <v>1629</v>
      </c>
      <c r="B926" s="218">
        <v>1</v>
      </c>
      <c r="C926" s="220" t="s">
        <v>1630</v>
      </c>
      <c r="D926" s="220" t="s">
        <v>63</v>
      </c>
      <c r="E926" s="165">
        <v>2238</v>
      </c>
    </row>
    <row r="927" spans="1:5" x14ac:dyDescent="0.25">
      <c r="A927" s="216" t="s">
        <v>1532</v>
      </c>
      <c r="B927" s="218">
        <v>1</v>
      </c>
      <c r="C927" s="220" t="s">
        <v>735</v>
      </c>
      <c r="D927" s="220" t="s">
        <v>72</v>
      </c>
      <c r="E927" s="165">
        <v>2238</v>
      </c>
    </row>
    <row r="928" spans="1:5" x14ac:dyDescent="0.25">
      <c r="A928" s="216" t="s">
        <v>1529</v>
      </c>
      <c r="B928" s="218">
        <v>1</v>
      </c>
      <c r="C928" s="220" t="s">
        <v>1510</v>
      </c>
      <c r="D928" s="220" t="s">
        <v>56</v>
      </c>
      <c r="E928" s="165">
        <v>2235</v>
      </c>
    </row>
    <row r="929" spans="1:5" x14ac:dyDescent="0.25">
      <c r="A929" s="216" t="s">
        <v>1772</v>
      </c>
      <c r="B929" s="218" t="s">
        <v>48</v>
      </c>
      <c r="C929" s="220" t="s">
        <v>733</v>
      </c>
      <c r="D929" s="220" t="s">
        <v>82</v>
      </c>
      <c r="E929" s="165">
        <v>2231</v>
      </c>
    </row>
    <row r="930" spans="1:5" x14ac:dyDescent="0.25">
      <c r="A930" s="216" t="s">
        <v>1294</v>
      </c>
      <c r="B930" s="218" t="s">
        <v>48</v>
      </c>
      <c r="C930" s="220" t="s">
        <v>1295</v>
      </c>
      <c r="D930" s="220" t="s">
        <v>50</v>
      </c>
      <c r="E930" s="165">
        <v>2230</v>
      </c>
    </row>
    <row r="931" spans="1:5" x14ac:dyDescent="0.25">
      <c r="A931" s="216" t="s">
        <v>1245</v>
      </c>
      <c r="B931" s="218" t="s">
        <v>48</v>
      </c>
      <c r="C931" s="220" t="s">
        <v>263</v>
      </c>
      <c r="D931" s="220" t="s">
        <v>264</v>
      </c>
      <c r="E931" s="165">
        <v>2227</v>
      </c>
    </row>
    <row r="932" spans="1:5" x14ac:dyDescent="0.25">
      <c r="A932" s="216" t="s">
        <v>1652</v>
      </c>
      <c r="B932" s="218" t="s">
        <v>48</v>
      </c>
      <c r="C932" s="220" t="s">
        <v>1653</v>
      </c>
      <c r="D932" s="220" t="s">
        <v>90</v>
      </c>
      <c r="E932" s="165">
        <v>2221</v>
      </c>
    </row>
    <row r="933" spans="1:5" x14ac:dyDescent="0.25">
      <c r="A933" s="216" t="s">
        <v>1409</v>
      </c>
      <c r="B933" s="218">
        <v>1</v>
      </c>
      <c r="C933" s="220" t="s">
        <v>270</v>
      </c>
      <c r="D933" s="220" t="s">
        <v>177</v>
      </c>
      <c r="E933" s="165">
        <v>2214</v>
      </c>
    </row>
    <row r="934" spans="1:5" x14ac:dyDescent="0.25">
      <c r="A934" s="216" t="s">
        <v>1502</v>
      </c>
      <c r="B934" s="218">
        <v>1</v>
      </c>
      <c r="C934" s="220" t="s">
        <v>10997</v>
      </c>
      <c r="D934" s="220" t="s">
        <v>192</v>
      </c>
      <c r="E934" s="165">
        <v>2213</v>
      </c>
    </row>
    <row r="935" spans="1:5" x14ac:dyDescent="0.25">
      <c r="A935" s="216" t="s">
        <v>1935</v>
      </c>
      <c r="B935" s="218">
        <v>1</v>
      </c>
      <c r="C935" s="220" t="s">
        <v>347</v>
      </c>
      <c r="D935" s="220" t="s">
        <v>348</v>
      </c>
      <c r="E935" s="165">
        <v>2211</v>
      </c>
    </row>
    <row r="936" spans="1:5" x14ac:dyDescent="0.25">
      <c r="A936" s="216" t="s">
        <v>1490</v>
      </c>
      <c r="B936" s="218" t="s">
        <v>48</v>
      </c>
      <c r="C936" s="220" t="s">
        <v>1491</v>
      </c>
      <c r="D936" s="220" t="s">
        <v>108</v>
      </c>
      <c r="E936" s="165">
        <v>2208</v>
      </c>
    </row>
    <row r="937" spans="1:5" x14ac:dyDescent="0.25">
      <c r="A937" s="216" t="s">
        <v>1539</v>
      </c>
      <c r="B937" s="218">
        <v>1</v>
      </c>
      <c r="C937" s="220" t="s">
        <v>1001</v>
      </c>
      <c r="D937" s="220" t="s">
        <v>188</v>
      </c>
      <c r="E937" s="165">
        <v>2201</v>
      </c>
    </row>
    <row r="938" spans="1:5" x14ac:dyDescent="0.25">
      <c r="A938" s="216" t="s">
        <v>10573</v>
      </c>
      <c r="B938" s="218" t="s">
        <v>48</v>
      </c>
      <c r="C938" s="220" t="s">
        <v>864</v>
      </c>
      <c r="D938" s="220" t="s">
        <v>63</v>
      </c>
      <c r="E938" s="165">
        <v>2200</v>
      </c>
    </row>
    <row r="939" spans="1:5" x14ac:dyDescent="0.25">
      <c r="A939" s="216" t="s">
        <v>1524</v>
      </c>
      <c r="B939" s="218" t="s">
        <v>48</v>
      </c>
      <c r="C939" s="220" t="s">
        <v>1525</v>
      </c>
      <c r="D939" s="220" t="s">
        <v>56</v>
      </c>
      <c r="E939" s="165">
        <v>2200</v>
      </c>
    </row>
    <row r="940" spans="1:5" x14ac:dyDescent="0.25">
      <c r="A940" s="216" t="s">
        <v>1694</v>
      </c>
      <c r="B940" s="218" t="s">
        <v>48</v>
      </c>
      <c r="C940" s="220" t="s">
        <v>1113</v>
      </c>
      <c r="D940" s="220" t="s">
        <v>50</v>
      </c>
      <c r="E940" s="165">
        <v>2200</v>
      </c>
    </row>
    <row r="941" spans="1:5" x14ac:dyDescent="0.25">
      <c r="A941" s="216" t="s">
        <v>1574</v>
      </c>
      <c r="B941" s="218" t="s">
        <v>48</v>
      </c>
      <c r="C941" s="220" t="s">
        <v>947</v>
      </c>
      <c r="D941" s="220" t="s">
        <v>56</v>
      </c>
      <c r="E941" s="165">
        <v>2200</v>
      </c>
    </row>
    <row r="942" spans="1:5" x14ac:dyDescent="0.25">
      <c r="A942" s="216" t="s">
        <v>1422</v>
      </c>
      <c r="B942" s="218">
        <v>1</v>
      </c>
      <c r="C942" s="220" t="s">
        <v>1259</v>
      </c>
      <c r="D942" s="220" t="s">
        <v>1200</v>
      </c>
      <c r="E942" s="165">
        <v>2197</v>
      </c>
    </row>
    <row r="943" spans="1:5" x14ac:dyDescent="0.25">
      <c r="A943" s="216" t="s">
        <v>10998</v>
      </c>
      <c r="B943" s="218">
        <v>1</v>
      </c>
      <c r="C943" s="220" t="s">
        <v>300</v>
      </c>
      <c r="D943" s="220" t="s">
        <v>69</v>
      </c>
      <c r="E943" s="165">
        <v>2188</v>
      </c>
    </row>
    <row r="944" spans="1:5" x14ac:dyDescent="0.25">
      <c r="A944" s="216" t="s">
        <v>1668</v>
      </c>
      <c r="B944" s="218" t="s">
        <v>48</v>
      </c>
      <c r="C944" s="220" t="s">
        <v>1669</v>
      </c>
      <c r="D944" s="220" t="s">
        <v>378</v>
      </c>
      <c r="E944" s="165">
        <v>2178</v>
      </c>
    </row>
    <row r="945" spans="1:5" x14ac:dyDescent="0.25">
      <c r="A945" s="216" t="s">
        <v>1639</v>
      </c>
      <c r="B945" s="218">
        <v>1</v>
      </c>
      <c r="C945" s="220" t="s">
        <v>1628</v>
      </c>
      <c r="D945" s="220" t="s">
        <v>56</v>
      </c>
      <c r="E945" s="165">
        <v>2174</v>
      </c>
    </row>
    <row r="946" spans="1:5" x14ac:dyDescent="0.25">
      <c r="A946" s="216" t="s">
        <v>1656</v>
      </c>
      <c r="B946" s="218">
        <v>1</v>
      </c>
      <c r="C946" s="220" t="s">
        <v>1657</v>
      </c>
      <c r="D946" s="220" t="s">
        <v>63</v>
      </c>
      <c r="E946" s="165">
        <v>2174</v>
      </c>
    </row>
    <row r="947" spans="1:5" x14ac:dyDescent="0.25">
      <c r="A947" s="216" t="s">
        <v>1651</v>
      </c>
      <c r="B947" s="218">
        <v>1</v>
      </c>
      <c r="C947" s="220" t="s">
        <v>619</v>
      </c>
      <c r="D947" s="220" t="s">
        <v>188</v>
      </c>
      <c r="E947" s="165">
        <v>2172</v>
      </c>
    </row>
    <row r="948" spans="1:5" x14ac:dyDescent="0.25">
      <c r="A948" s="216" t="s">
        <v>10837</v>
      </c>
      <c r="B948" s="218" t="s">
        <v>48</v>
      </c>
      <c r="C948" s="220" t="s">
        <v>71</v>
      </c>
      <c r="D948" s="220" t="s">
        <v>72</v>
      </c>
      <c r="E948" s="165">
        <v>2166</v>
      </c>
    </row>
    <row r="949" spans="1:5" x14ac:dyDescent="0.25">
      <c r="A949" s="216" t="s">
        <v>1769</v>
      </c>
      <c r="B949" s="218">
        <v>1</v>
      </c>
      <c r="C949" s="220" t="s">
        <v>1745</v>
      </c>
      <c r="D949" s="220" t="s">
        <v>63</v>
      </c>
      <c r="E949" s="165">
        <v>2161</v>
      </c>
    </row>
    <row r="950" spans="1:5" x14ac:dyDescent="0.25">
      <c r="A950" s="216" t="s">
        <v>1572</v>
      </c>
      <c r="B950" s="218" t="s">
        <v>48</v>
      </c>
      <c r="C950" s="220" t="s">
        <v>1573</v>
      </c>
      <c r="D950" s="220" t="s">
        <v>56</v>
      </c>
      <c r="E950" s="165">
        <v>2160</v>
      </c>
    </row>
    <row r="951" spans="1:5" x14ac:dyDescent="0.25">
      <c r="A951" s="216" t="s">
        <v>1535</v>
      </c>
      <c r="B951" s="218">
        <v>1</v>
      </c>
      <c r="C951" s="220" t="s">
        <v>1536</v>
      </c>
      <c r="D951" s="220" t="s">
        <v>272</v>
      </c>
      <c r="E951" s="165">
        <v>2156</v>
      </c>
    </row>
    <row r="952" spans="1:5" x14ac:dyDescent="0.25">
      <c r="A952" s="216" t="s">
        <v>2383</v>
      </c>
      <c r="B952" s="218" t="s">
        <v>48</v>
      </c>
      <c r="C952" s="220" t="s">
        <v>257</v>
      </c>
      <c r="D952" s="220" t="s">
        <v>108</v>
      </c>
      <c r="E952" s="165">
        <v>2155</v>
      </c>
    </row>
    <row r="953" spans="1:5" x14ac:dyDescent="0.25">
      <c r="A953" s="216" t="s">
        <v>1670</v>
      </c>
      <c r="B953" s="218" t="s">
        <v>48</v>
      </c>
      <c r="C953" s="220" t="s">
        <v>89</v>
      </c>
      <c r="D953" s="220" t="s">
        <v>90</v>
      </c>
      <c r="E953" s="165">
        <v>2154</v>
      </c>
    </row>
    <row r="954" spans="1:5" x14ac:dyDescent="0.25">
      <c r="A954" s="216" t="s">
        <v>4126</v>
      </c>
      <c r="B954" s="218" t="s">
        <v>48</v>
      </c>
      <c r="C954" s="220" t="s">
        <v>2010</v>
      </c>
      <c r="D954" s="220" t="s">
        <v>69</v>
      </c>
      <c r="E954" s="165">
        <v>2150</v>
      </c>
    </row>
    <row r="955" spans="1:5" x14ac:dyDescent="0.25">
      <c r="A955" s="216" t="s">
        <v>1648</v>
      </c>
      <c r="B955" s="218" t="s">
        <v>48</v>
      </c>
      <c r="C955" s="220" t="s">
        <v>634</v>
      </c>
      <c r="D955" s="220" t="s">
        <v>264</v>
      </c>
      <c r="E955" s="165">
        <v>2150</v>
      </c>
    </row>
    <row r="956" spans="1:5" x14ac:dyDescent="0.25">
      <c r="A956" s="216" t="s">
        <v>1771</v>
      </c>
      <c r="B956" s="218">
        <v>1</v>
      </c>
      <c r="C956" s="220" t="s">
        <v>1547</v>
      </c>
      <c r="D956" s="220" t="s">
        <v>188</v>
      </c>
      <c r="E956" s="165">
        <v>2150</v>
      </c>
    </row>
    <row r="957" spans="1:5" x14ac:dyDescent="0.25">
      <c r="A957" s="216" t="s">
        <v>1486</v>
      </c>
      <c r="B957" s="218" t="s">
        <v>48</v>
      </c>
      <c r="C957" s="220" t="s">
        <v>1487</v>
      </c>
      <c r="D957" s="220" t="s">
        <v>56</v>
      </c>
      <c r="E957" s="165">
        <v>2150</v>
      </c>
    </row>
    <row r="958" spans="1:5" x14ac:dyDescent="0.25">
      <c r="A958" s="216" t="s">
        <v>2477</v>
      </c>
      <c r="B958" s="218" t="s">
        <v>48</v>
      </c>
      <c r="C958" s="220" t="s">
        <v>2478</v>
      </c>
      <c r="D958" s="220" t="s">
        <v>50</v>
      </c>
      <c r="E958" s="165">
        <v>2150</v>
      </c>
    </row>
    <row r="959" spans="1:5" x14ac:dyDescent="0.25">
      <c r="A959" s="216" t="s">
        <v>1611</v>
      </c>
      <c r="B959" s="218" t="s">
        <v>48</v>
      </c>
      <c r="C959" s="220" t="s">
        <v>1612</v>
      </c>
      <c r="D959" s="220" t="s">
        <v>337</v>
      </c>
      <c r="E959" s="165">
        <v>2144</v>
      </c>
    </row>
    <row r="960" spans="1:5" x14ac:dyDescent="0.25">
      <c r="A960" s="216" t="s">
        <v>1603</v>
      </c>
      <c r="B960" s="218">
        <v>1</v>
      </c>
      <c r="C960" s="220" t="s">
        <v>1604</v>
      </c>
      <c r="D960" s="220" t="s">
        <v>66</v>
      </c>
      <c r="E960" s="165">
        <v>2135</v>
      </c>
    </row>
    <row r="961" spans="1:5" x14ac:dyDescent="0.25">
      <c r="A961" s="216" t="s">
        <v>2796</v>
      </c>
      <c r="B961" s="218" t="s">
        <v>48</v>
      </c>
      <c r="C961" s="220" t="s">
        <v>1183</v>
      </c>
      <c r="D961" s="220" t="s">
        <v>56</v>
      </c>
      <c r="E961" s="165">
        <v>2131</v>
      </c>
    </row>
    <row r="962" spans="1:5" x14ac:dyDescent="0.25">
      <c r="A962" s="216" t="s">
        <v>1609</v>
      </c>
      <c r="B962" s="218" t="s">
        <v>48</v>
      </c>
      <c r="C962" s="220" t="s">
        <v>1610</v>
      </c>
      <c r="D962" s="220" t="s">
        <v>166</v>
      </c>
      <c r="E962" s="165">
        <v>2129</v>
      </c>
    </row>
    <row r="963" spans="1:5" x14ac:dyDescent="0.25">
      <c r="A963" s="216" t="s">
        <v>1462</v>
      </c>
      <c r="B963" s="218">
        <v>1</v>
      </c>
      <c r="C963" s="220" t="s">
        <v>1463</v>
      </c>
      <c r="D963" s="220" t="s">
        <v>113</v>
      </c>
      <c r="E963" s="165">
        <v>2126</v>
      </c>
    </row>
    <row r="964" spans="1:5" x14ac:dyDescent="0.25">
      <c r="A964" s="216" t="s">
        <v>1781</v>
      </c>
      <c r="B964" s="218">
        <v>1</v>
      </c>
      <c r="C964" s="220" t="s">
        <v>289</v>
      </c>
      <c r="D964" s="220" t="s">
        <v>69</v>
      </c>
      <c r="E964" s="165">
        <v>2123</v>
      </c>
    </row>
    <row r="965" spans="1:5" x14ac:dyDescent="0.25">
      <c r="A965" s="216" t="s">
        <v>10713</v>
      </c>
      <c r="B965" s="218" t="s">
        <v>48</v>
      </c>
      <c r="C965" s="220" t="s">
        <v>6223</v>
      </c>
      <c r="D965" s="220" t="s">
        <v>90</v>
      </c>
      <c r="E965" s="165">
        <v>2109</v>
      </c>
    </row>
    <row r="966" spans="1:5" x14ac:dyDescent="0.25">
      <c r="A966" s="216" t="s">
        <v>1585</v>
      </c>
      <c r="B966" s="218">
        <v>1</v>
      </c>
      <c r="C966" s="220" t="s">
        <v>1586</v>
      </c>
      <c r="D966" s="220" t="s">
        <v>56</v>
      </c>
      <c r="E966" s="165">
        <v>2107</v>
      </c>
    </row>
    <row r="967" spans="1:5" x14ac:dyDescent="0.25">
      <c r="A967" s="216" t="s">
        <v>1672</v>
      </c>
      <c r="B967" s="218" t="s">
        <v>48</v>
      </c>
      <c r="C967" s="220" t="s">
        <v>609</v>
      </c>
      <c r="D967" s="220" t="s">
        <v>277</v>
      </c>
      <c r="E967" s="165">
        <v>2100</v>
      </c>
    </row>
    <row r="968" spans="1:5" x14ac:dyDescent="0.25">
      <c r="A968" s="216" t="s">
        <v>10844</v>
      </c>
      <c r="B968" s="218" t="s">
        <v>48</v>
      </c>
      <c r="C968" s="220" t="s">
        <v>10999</v>
      </c>
      <c r="D968" s="220" t="s">
        <v>93</v>
      </c>
      <c r="E968" s="165">
        <v>2100</v>
      </c>
    </row>
    <row r="969" spans="1:5" x14ac:dyDescent="0.25">
      <c r="A969" s="216" t="s">
        <v>1591</v>
      </c>
      <c r="B969" s="218" t="s">
        <v>48</v>
      </c>
      <c r="C969" s="220" t="s">
        <v>1592</v>
      </c>
      <c r="D969" s="220" t="s">
        <v>206</v>
      </c>
      <c r="E969" s="165">
        <v>2099</v>
      </c>
    </row>
    <row r="970" spans="1:5" x14ac:dyDescent="0.25">
      <c r="A970" s="216" t="s">
        <v>1576</v>
      </c>
      <c r="B970" s="218">
        <v>1</v>
      </c>
      <c r="C970" s="220" t="s">
        <v>1577</v>
      </c>
      <c r="D970" s="220" t="s">
        <v>50</v>
      </c>
      <c r="E970" s="165">
        <v>2088</v>
      </c>
    </row>
    <row r="971" spans="1:5" x14ac:dyDescent="0.25">
      <c r="A971" s="216" t="s">
        <v>1541</v>
      </c>
      <c r="B971" s="218" t="s">
        <v>48</v>
      </c>
      <c r="C971" s="220" t="s">
        <v>1542</v>
      </c>
      <c r="D971" s="220" t="s">
        <v>59</v>
      </c>
      <c r="E971" s="165">
        <v>2086</v>
      </c>
    </row>
    <row r="972" spans="1:5" x14ac:dyDescent="0.25">
      <c r="A972" s="216" t="s">
        <v>1658</v>
      </c>
      <c r="B972" s="218">
        <v>1</v>
      </c>
      <c r="C972" s="220" t="s">
        <v>1659</v>
      </c>
      <c r="D972" s="220" t="s">
        <v>50</v>
      </c>
      <c r="E972" s="165">
        <v>2076</v>
      </c>
    </row>
    <row r="973" spans="1:5" x14ac:dyDescent="0.25">
      <c r="A973" s="216" t="s">
        <v>1496</v>
      </c>
      <c r="B973" s="218">
        <v>1</v>
      </c>
      <c r="C973" s="220" t="s">
        <v>86</v>
      </c>
      <c r="D973" s="220" t="s">
        <v>87</v>
      </c>
      <c r="E973" s="165">
        <v>2073</v>
      </c>
    </row>
    <row r="974" spans="1:5" x14ac:dyDescent="0.25">
      <c r="A974" s="216" t="s">
        <v>1483</v>
      </c>
      <c r="B974" s="218">
        <v>1</v>
      </c>
      <c r="C974" s="220" t="s">
        <v>283</v>
      </c>
      <c r="D974" s="220" t="s">
        <v>59</v>
      </c>
      <c r="E974" s="165">
        <v>2073</v>
      </c>
    </row>
    <row r="975" spans="1:5" x14ac:dyDescent="0.25">
      <c r="A975" s="216" t="s">
        <v>1787</v>
      </c>
      <c r="B975" s="218" t="s">
        <v>48</v>
      </c>
      <c r="C975" s="220" t="s">
        <v>11000</v>
      </c>
      <c r="D975" s="220" t="s">
        <v>59</v>
      </c>
      <c r="E975" s="165">
        <v>2063</v>
      </c>
    </row>
    <row r="976" spans="1:5" x14ac:dyDescent="0.25">
      <c r="A976" s="216" t="s">
        <v>961</v>
      </c>
      <c r="B976" s="218" t="s">
        <v>48</v>
      </c>
      <c r="C976" s="220" t="s">
        <v>962</v>
      </c>
      <c r="D976" s="220" t="s">
        <v>50</v>
      </c>
      <c r="E976" s="165">
        <v>2063</v>
      </c>
    </row>
    <row r="977" spans="1:5" x14ac:dyDescent="0.25">
      <c r="A977" s="216" t="s">
        <v>1484</v>
      </c>
      <c r="B977" s="218">
        <v>1</v>
      </c>
      <c r="C977" s="220" t="s">
        <v>1485</v>
      </c>
      <c r="D977" s="220" t="s">
        <v>575</v>
      </c>
      <c r="E977" s="165">
        <v>2062</v>
      </c>
    </row>
    <row r="978" spans="1:5" x14ac:dyDescent="0.25">
      <c r="A978" s="216" t="s">
        <v>1514</v>
      </c>
      <c r="B978" s="218">
        <v>1</v>
      </c>
      <c r="C978" s="220" t="s">
        <v>323</v>
      </c>
      <c r="D978" s="220" t="s">
        <v>277</v>
      </c>
      <c r="E978" s="165">
        <v>2058</v>
      </c>
    </row>
    <row r="979" spans="1:5" x14ac:dyDescent="0.25">
      <c r="A979" s="216" t="s">
        <v>1631</v>
      </c>
      <c r="B979" s="218">
        <v>1</v>
      </c>
      <c r="C979" s="220" t="s">
        <v>65</v>
      </c>
      <c r="D979" s="220" t="s">
        <v>66</v>
      </c>
      <c r="E979" s="165">
        <v>2058</v>
      </c>
    </row>
    <row r="980" spans="1:5" x14ac:dyDescent="0.25">
      <c r="A980" s="216" t="s">
        <v>1477</v>
      </c>
      <c r="B980" s="218">
        <v>1</v>
      </c>
      <c r="C980" s="220" t="s">
        <v>1478</v>
      </c>
      <c r="D980" s="220" t="s">
        <v>142</v>
      </c>
      <c r="E980" s="165">
        <v>2055</v>
      </c>
    </row>
    <row r="981" spans="1:5" x14ac:dyDescent="0.25">
      <c r="A981" s="216" t="s">
        <v>1687</v>
      </c>
      <c r="B981" s="218">
        <v>1</v>
      </c>
      <c r="C981" s="220" t="s">
        <v>1688</v>
      </c>
      <c r="D981" s="220" t="s">
        <v>188</v>
      </c>
      <c r="E981" s="165">
        <v>2050</v>
      </c>
    </row>
    <row r="982" spans="1:5" x14ac:dyDescent="0.25">
      <c r="A982" s="216" t="s">
        <v>1775</v>
      </c>
      <c r="B982" s="218">
        <v>1</v>
      </c>
      <c r="C982" s="220" t="s">
        <v>1776</v>
      </c>
      <c r="D982" s="220" t="s">
        <v>201</v>
      </c>
      <c r="E982" s="165">
        <v>2047</v>
      </c>
    </row>
    <row r="983" spans="1:5" x14ac:dyDescent="0.25">
      <c r="A983" s="216" t="s">
        <v>1593</v>
      </c>
      <c r="B983" s="218">
        <v>1</v>
      </c>
      <c r="C983" s="220" t="s">
        <v>1113</v>
      </c>
      <c r="D983" s="220" t="s">
        <v>50</v>
      </c>
      <c r="E983" s="165">
        <v>2047</v>
      </c>
    </row>
    <row r="984" spans="1:5" x14ac:dyDescent="0.25">
      <c r="A984" s="216" t="s">
        <v>959</v>
      </c>
      <c r="B984" s="218" t="s">
        <v>48</v>
      </c>
      <c r="C984" s="220" t="s">
        <v>138</v>
      </c>
      <c r="D984" s="220" t="s">
        <v>139</v>
      </c>
      <c r="E984" s="165">
        <v>2040</v>
      </c>
    </row>
    <row r="985" spans="1:5" x14ac:dyDescent="0.25">
      <c r="A985" s="216" t="s">
        <v>1729</v>
      </c>
      <c r="B985" s="218" t="s">
        <v>48</v>
      </c>
      <c r="C985" s="220" t="s">
        <v>1730</v>
      </c>
      <c r="D985" s="220" t="s">
        <v>585</v>
      </c>
      <c r="E985" s="165">
        <v>2038</v>
      </c>
    </row>
    <row r="986" spans="1:5" x14ac:dyDescent="0.25">
      <c r="A986" s="216" t="s">
        <v>1415</v>
      </c>
      <c r="B986" s="218">
        <v>1</v>
      </c>
      <c r="C986" s="220" t="s">
        <v>1416</v>
      </c>
      <c r="D986" s="220" t="s">
        <v>523</v>
      </c>
      <c r="E986" s="165">
        <v>2034</v>
      </c>
    </row>
    <row r="987" spans="1:5" x14ac:dyDescent="0.25">
      <c r="A987" s="216" t="s">
        <v>1974</v>
      </c>
      <c r="B987" s="218" t="s">
        <v>48</v>
      </c>
      <c r="C987" s="220" t="s">
        <v>65</v>
      </c>
      <c r="D987" s="220" t="s">
        <v>66</v>
      </c>
      <c r="E987" s="165">
        <v>2033</v>
      </c>
    </row>
    <row r="988" spans="1:5" x14ac:dyDescent="0.25">
      <c r="A988" s="216" t="s">
        <v>1379</v>
      </c>
      <c r="B988" s="218" t="s">
        <v>48</v>
      </c>
      <c r="C988" s="220" t="s">
        <v>952</v>
      </c>
      <c r="D988" s="220" t="s">
        <v>75</v>
      </c>
      <c r="E988" s="165">
        <v>2032</v>
      </c>
    </row>
    <row r="989" spans="1:5" x14ac:dyDescent="0.25">
      <c r="A989" s="216" t="s">
        <v>10507</v>
      </c>
      <c r="B989" s="218">
        <v>1</v>
      </c>
      <c r="C989" s="220" t="s">
        <v>4062</v>
      </c>
      <c r="D989" s="220" t="s">
        <v>188</v>
      </c>
      <c r="E989" s="165">
        <v>2031</v>
      </c>
    </row>
    <row r="990" spans="1:5" x14ac:dyDescent="0.25">
      <c r="A990" s="216" t="s">
        <v>1556</v>
      </c>
      <c r="B990" s="218" t="s">
        <v>48</v>
      </c>
      <c r="C990" s="220" t="s">
        <v>1557</v>
      </c>
      <c r="D990" s="220" t="s">
        <v>50</v>
      </c>
      <c r="E990" s="165">
        <v>2026</v>
      </c>
    </row>
    <row r="991" spans="1:5" x14ac:dyDescent="0.25">
      <c r="A991" s="216" t="s">
        <v>1506</v>
      </c>
      <c r="B991" s="218">
        <v>1</v>
      </c>
      <c r="C991" s="220" t="s">
        <v>90</v>
      </c>
      <c r="D991" s="220" t="s">
        <v>575</v>
      </c>
      <c r="E991" s="165">
        <v>2020</v>
      </c>
    </row>
    <row r="992" spans="1:5" x14ac:dyDescent="0.25">
      <c r="A992" s="216" t="s">
        <v>1738</v>
      </c>
      <c r="B992" s="218">
        <v>1</v>
      </c>
      <c r="C992" s="220" t="s">
        <v>63</v>
      </c>
      <c r="D992" s="220" t="s">
        <v>63</v>
      </c>
      <c r="E992" s="165">
        <v>2019</v>
      </c>
    </row>
    <row r="993" spans="1:5" x14ac:dyDescent="0.25">
      <c r="A993" s="216" t="s">
        <v>1703</v>
      </c>
      <c r="B993" s="218" t="s">
        <v>48</v>
      </c>
      <c r="C993" s="220" t="s">
        <v>810</v>
      </c>
      <c r="D993" s="220" t="s">
        <v>394</v>
      </c>
      <c r="E993" s="165">
        <v>2016</v>
      </c>
    </row>
    <row r="994" spans="1:5" x14ac:dyDescent="0.25">
      <c r="A994" s="216" t="s">
        <v>2988</v>
      </c>
      <c r="B994" s="218" t="s">
        <v>48</v>
      </c>
      <c r="C994" s="220" t="s">
        <v>2989</v>
      </c>
      <c r="D994" s="220" t="s">
        <v>56</v>
      </c>
      <c r="E994" s="165">
        <v>2010</v>
      </c>
    </row>
    <row r="995" spans="1:5" x14ac:dyDescent="0.25">
      <c r="A995" s="216" t="s">
        <v>2090</v>
      </c>
      <c r="B995" s="218" t="s">
        <v>48</v>
      </c>
      <c r="C995" s="220" t="s">
        <v>2091</v>
      </c>
      <c r="D995" s="220" t="s">
        <v>188</v>
      </c>
      <c r="E995" s="165">
        <v>2009</v>
      </c>
    </row>
    <row r="996" spans="1:5" x14ac:dyDescent="0.25">
      <c r="A996" s="216" t="s">
        <v>1615</v>
      </c>
      <c r="B996" s="218">
        <v>1</v>
      </c>
      <c r="C996" s="220" t="s">
        <v>1616</v>
      </c>
      <c r="D996" s="220" t="s">
        <v>50</v>
      </c>
      <c r="E996" s="165">
        <v>2007</v>
      </c>
    </row>
    <row r="997" spans="1:5" x14ac:dyDescent="0.25">
      <c r="A997" s="216" t="s">
        <v>1602</v>
      </c>
      <c r="B997" s="218" t="s">
        <v>48</v>
      </c>
      <c r="C997" s="220" t="s">
        <v>538</v>
      </c>
      <c r="D997" s="220" t="s">
        <v>90</v>
      </c>
      <c r="E997" s="165">
        <v>2006</v>
      </c>
    </row>
    <row r="998" spans="1:5" x14ac:dyDescent="0.25">
      <c r="A998" s="216" t="s">
        <v>11001</v>
      </c>
      <c r="B998" s="218">
        <v>1</v>
      </c>
      <c r="C998" s="220" t="s">
        <v>3529</v>
      </c>
      <c r="D998" s="220" t="s">
        <v>56</v>
      </c>
      <c r="E998" s="165">
        <v>2002</v>
      </c>
    </row>
    <row r="999" spans="1:5" x14ac:dyDescent="0.25">
      <c r="A999" s="216" t="s">
        <v>2192</v>
      </c>
      <c r="B999" s="218" t="s">
        <v>48</v>
      </c>
      <c r="C999" s="220" t="s">
        <v>689</v>
      </c>
      <c r="D999" s="220" t="s">
        <v>124</v>
      </c>
      <c r="E999" s="165">
        <v>2000</v>
      </c>
    </row>
    <row r="1000" spans="1:5" x14ac:dyDescent="0.25">
      <c r="A1000" s="216" t="s">
        <v>873</v>
      </c>
      <c r="B1000" s="218" t="s">
        <v>48</v>
      </c>
      <c r="C1000" s="220" t="s">
        <v>233</v>
      </c>
      <c r="D1000" s="220" t="s">
        <v>56</v>
      </c>
      <c r="E1000" s="165">
        <v>2000</v>
      </c>
    </row>
    <row r="1001" spans="1:5" x14ac:dyDescent="0.25">
      <c r="A1001" s="216" t="s">
        <v>1721</v>
      </c>
      <c r="B1001" s="218" t="s">
        <v>48</v>
      </c>
      <c r="C1001" s="220" t="s">
        <v>522</v>
      </c>
      <c r="D1001" s="220" t="s">
        <v>523</v>
      </c>
      <c r="E1001" s="165">
        <v>2000</v>
      </c>
    </row>
    <row r="1002" spans="1:5" x14ac:dyDescent="0.25">
      <c r="A1002" s="216" t="s">
        <v>1566</v>
      </c>
      <c r="B1002" s="218" t="s">
        <v>48</v>
      </c>
      <c r="C1002" s="220" t="s">
        <v>1567</v>
      </c>
      <c r="D1002" s="220" t="s">
        <v>69</v>
      </c>
      <c r="E1002" s="165">
        <v>2000</v>
      </c>
    </row>
    <row r="1003" spans="1:5" x14ac:dyDescent="0.25">
      <c r="A1003" s="216" t="s">
        <v>1867</v>
      </c>
      <c r="B1003" s="218" t="s">
        <v>48</v>
      </c>
      <c r="C1003" s="220" t="s">
        <v>1562</v>
      </c>
      <c r="D1003" s="220" t="s">
        <v>201</v>
      </c>
      <c r="E1003" s="165">
        <v>2000</v>
      </c>
    </row>
    <row r="1004" spans="1:5" x14ac:dyDescent="0.25">
      <c r="A1004" s="216" t="s">
        <v>1723</v>
      </c>
      <c r="B1004" s="218" t="s">
        <v>48</v>
      </c>
      <c r="C1004" s="220" t="s">
        <v>1724</v>
      </c>
      <c r="D1004" s="220" t="s">
        <v>56</v>
      </c>
      <c r="E1004" s="165">
        <v>2000</v>
      </c>
    </row>
    <row r="1005" spans="1:5" x14ac:dyDescent="0.25">
      <c r="A1005" s="216" t="s">
        <v>2082</v>
      </c>
      <c r="B1005" s="218" t="s">
        <v>48</v>
      </c>
      <c r="C1005" s="220" t="s">
        <v>371</v>
      </c>
      <c r="D1005" s="220" t="s">
        <v>523</v>
      </c>
      <c r="E1005" s="165">
        <v>2000</v>
      </c>
    </row>
    <row r="1006" spans="1:5" x14ac:dyDescent="0.25">
      <c r="A1006" s="216" t="s">
        <v>1252</v>
      </c>
      <c r="B1006" s="218" t="s">
        <v>48</v>
      </c>
      <c r="C1006" s="220" t="s">
        <v>1253</v>
      </c>
      <c r="D1006" s="220" t="s">
        <v>139</v>
      </c>
      <c r="E1006" s="165">
        <v>2000</v>
      </c>
    </row>
    <row r="1007" spans="1:5" x14ac:dyDescent="0.25">
      <c r="A1007" s="216" t="s">
        <v>1782</v>
      </c>
      <c r="B1007" s="218" t="s">
        <v>48</v>
      </c>
      <c r="C1007" s="220" t="s">
        <v>1783</v>
      </c>
      <c r="D1007" s="220" t="s">
        <v>63</v>
      </c>
      <c r="E1007" s="165">
        <v>2000</v>
      </c>
    </row>
    <row r="1008" spans="1:5" x14ac:dyDescent="0.25">
      <c r="A1008" s="216" t="s">
        <v>1568</v>
      </c>
      <c r="B1008" s="218" t="s">
        <v>48</v>
      </c>
      <c r="C1008" s="220" t="s">
        <v>1569</v>
      </c>
      <c r="D1008" s="220" t="s">
        <v>59</v>
      </c>
      <c r="E1008" s="165">
        <v>1997</v>
      </c>
    </row>
    <row r="1009" spans="1:5" x14ac:dyDescent="0.25">
      <c r="A1009" s="216" t="s">
        <v>2973</v>
      </c>
      <c r="B1009" s="218" t="s">
        <v>48</v>
      </c>
      <c r="C1009" s="220" t="s">
        <v>2974</v>
      </c>
      <c r="D1009" s="220" t="s">
        <v>72</v>
      </c>
      <c r="E1009" s="165">
        <v>1995</v>
      </c>
    </row>
    <row r="1010" spans="1:5" x14ac:dyDescent="0.25">
      <c r="A1010" s="216" t="s">
        <v>847</v>
      </c>
      <c r="B1010" s="218" t="s">
        <v>48</v>
      </c>
      <c r="C1010" s="220" t="s">
        <v>89</v>
      </c>
      <c r="D1010" s="220" t="s">
        <v>90</v>
      </c>
      <c r="E1010" s="165">
        <v>1995</v>
      </c>
    </row>
    <row r="1011" spans="1:5" x14ac:dyDescent="0.25">
      <c r="A1011" s="216" t="s">
        <v>1537</v>
      </c>
      <c r="B1011" s="218">
        <v>1</v>
      </c>
      <c r="C1011" s="220" t="s">
        <v>1538</v>
      </c>
      <c r="D1011" s="220" t="s">
        <v>87</v>
      </c>
      <c r="E1011" s="165">
        <v>1985</v>
      </c>
    </row>
    <row r="1012" spans="1:5" x14ac:dyDescent="0.25">
      <c r="A1012" s="216" t="s">
        <v>1063</v>
      </c>
      <c r="B1012" s="218" t="s">
        <v>48</v>
      </c>
      <c r="C1012" s="220" t="s">
        <v>1064</v>
      </c>
      <c r="D1012" s="220" t="s">
        <v>142</v>
      </c>
      <c r="E1012" s="165">
        <v>1980</v>
      </c>
    </row>
    <row r="1013" spans="1:5" x14ac:dyDescent="0.25">
      <c r="A1013" s="216" t="s">
        <v>1646</v>
      </c>
      <c r="B1013" s="218">
        <v>1</v>
      </c>
      <c r="C1013" s="220" t="s">
        <v>1647</v>
      </c>
      <c r="D1013" s="220" t="s">
        <v>98</v>
      </c>
      <c r="E1013" s="165">
        <v>1977</v>
      </c>
    </row>
    <row r="1014" spans="1:5" x14ac:dyDescent="0.25">
      <c r="A1014" s="216" t="s">
        <v>1767</v>
      </c>
      <c r="B1014" s="218" t="s">
        <v>48</v>
      </c>
      <c r="C1014" s="220" t="s">
        <v>1768</v>
      </c>
      <c r="D1014" s="220" t="s">
        <v>130</v>
      </c>
      <c r="E1014" s="165">
        <v>1965</v>
      </c>
    </row>
    <row r="1015" spans="1:5" x14ac:dyDescent="0.25">
      <c r="A1015" s="216" t="s">
        <v>1617</v>
      </c>
      <c r="B1015" s="218" t="s">
        <v>48</v>
      </c>
      <c r="C1015" s="220" t="s">
        <v>120</v>
      </c>
      <c r="D1015" s="220" t="s">
        <v>66</v>
      </c>
      <c r="E1015" s="165">
        <v>1959</v>
      </c>
    </row>
    <row r="1016" spans="1:5" x14ac:dyDescent="0.25">
      <c r="A1016" s="216" t="s">
        <v>1754</v>
      </c>
      <c r="B1016" s="218">
        <v>1</v>
      </c>
      <c r="C1016" s="220" t="s">
        <v>1755</v>
      </c>
      <c r="D1016" s="220" t="s">
        <v>188</v>
      </c>
      <c r="E1016" s="165">
        <v>1958</v>
      </c>
    </row>
    <row r="1017" spans="1:5" x14ac:dyDescent="0.25">
      <c r="A1017" s="216" t="s">
        <v>1766</v>
      </c>
      <c r="B1017" s="218">
        <v>1</v>
      </c>
      <c r="C1017" s="220" t="s">
        <v>238</v>
      </c>
      <c r="D1017" s="220" t="s">
        <v>93</v>
      </c>
      <c r="E1017" s="165">
        <v>1955</v>
      </c>
    </row>
    <row r="1018" spans="1:5" x14ac:dyDescent="0.25">
      <c r="A1018" s="216" t="s">
        <v>10849</v>
      </c>
      <c r="B1018" s="218" t="s">
        <v>48</v>
      </c>
      <c r="C1018" s="220" t="s">
        <v>1305</v>
      </c>
      <c r="D1018" s="220" t="s">
        <v>206</v>
      </c>
      <c r="E1018" s="165">
        <v>1953</v>
      </c>
    </row>
    <row r="1019" spans="1:5" x14ac:dyDescent="0.25">
      <c r="A1019" s="216" t="s">
        <v>1697</v>
      </c>
      <c r="B1019" s="218">
        <v>1</v>
      </c>
      <c r="C1019" s="220" t="s">
        <v>11002</v>
      </c>
      <c r="D1019" s="220" t="s">
        <v>130</v>
      </c>
      <c r="E1019" s="165">
        <v>1951</v>
      </c>
    </row>
    <row r="1020" spans="1:5" x14ac:dyDescent="0.25">
      <c r="A1020" s="216" t="s">
        <v>2012</v>
      </c>
      <c r="B1020" s="218" t="s">
        <v>48</v>
      </c>
      <c r="C1020" s="220" t="s">
        <v>2013</v>
      </c>
      <c r="D1020" s="220" t="s">
        <v>50</v>
      </c>
      <c r="E1020" s="165">
        <v>1950</v>
      </c>
    </row>
    <row r="1021" spans="1:5" x14ac:dyDescent="0.25">
      <c r="A1021" s="216" t="s">
        <v>1402</v>
      </c>
      <c r="B1021" s="218" t="s">
        <v>48</v>
      </c>
      <c r="C1021" s="220" t="s">
        <v>984</v>
      </c>
      <c r="D1021" s="220" t="s">
        <v>56</v>
      </c>
      <c r="E1021" s="165">
        <v>1950</v>
      </c>
    </row>
    <row r="1022" spans="1:5" x14ac:dyDescent="0.25">
      <c r="A1022" s="216" t="s">
        <v>1263</v>
      </c>
      <c r="B1022" s="218" t="s">
        <v>48</v>
      </c>
      <c r="C1022" s="220" t="s">
        <v>213</v>
      </c>
      <c r="D1022" s="220" t="s">
        <v>75</v>
      </c>
      <c r="E1022" s="165">
        <v>1944</v>
      </c>
    </row>
    <row r="1023" spans="1:5" x14ac:dyDescent="0.25">
      <c r="A1023" s="216" t="s">
        <v>1853</v>
      </c>
      <c r="B1023" s="218" t="s">
        <v>48</v>
      </c>
      <c r="C1023" s="220" t="s">
        <v>1854</v>
      </c>
      <c r="D1023" s="220" t="s">
        <v>172</v>
      </c>
      <c r="E1023" s="165">
        <v>1943</v>
      </c>
    </row>
    <row r="1024" spans="1:5" x14ac:dyDescent="0.25">
      <c r="A1024" s="216" t="s">
        <v>1460</v>
      </c>
      <c r="B1024" s="218" t="s">
        <v>48</v>
      </c>
      <c r="C1024" s="220" t="s">
        <v>287</v>
      </c>
      <c r="D1024" s="220" t="s">
        <v>82</v>
      </c>
      <c r="E1024" s="165">
        <v>1943</v>
      </c>
    </row>
    <row r="1025" spans="1:5" x14ac:dyDescent="0.25">
      <c r="A1025" s="216" t="s">
        <v>1777</v>
      </c>
      <c r="B1025" s="218">
        <v>1</v>
      </c>
      <c r="C1025" s="220" t="s">
        <v>300</v>
      </c>
      <c r="D1025" s="220" t="s">
        <v>69</v>
      </c>
      <c r="E1025" s="165">
        <v>1941</v>
      </c>
    </row>
    <row r="1026" spans="1:5" x14ac:dyDescent="0.25">
      <c r="A1026" s="216" t="s">
        <v>1765</v>
      </c>
      <c r="B1026" s="218" t="s">
        <v>48</v>
      </c>
      <c r="C1026" s="220" t="s">
        <v>6083</v>
      </c>
      <c r="D1026" s="220" t="s">
        <v>108</v>
      </c>
      <c r="E1026" s="165">
        <v>1939</v>
      </c>
    </row>
    <row r="1027" spans="1:5" x14ac:dyDescent="0.25">
      <c r="A1027" s="216" t="s">
        <v>2092</v>
      </c>
      <c r="B1027" s="218" t="s">
        <v>48</v>
      </c>
      <c r="C1027" s="220" t="s">
        <v>1525</v>
      </c>
      <c r="D1027" s="220" t="s">
        <v>56</v>
      </c>
      <c r="E1027" s="165">
        <v>1938</v>
      </c>
    </row>
    <row r="1028" spans="1:5" x14ac:dyDescent="0.25">
      <c r="A1028" s="216" t="s">
        <v>1635</v>
      </c>
      <c r="B1028" s="218">
        <v>1</v>
      </c>
      <c r="C1028" s="220" t="s">
        <v>1636</v>
      </c>
      <c r="D1028" s="220" t="s">
        <v>192</v>
      </c>
      <c r="E1028" s="165">
        <v>1936</v>
      </c>
    </row>
    <row r="1029" spans="1:5" x14ac:dyDescent="0.25">
      <c r="A1029" s="216" t="s">
        <v>11003</v>
      </c>
      <c r="B1029" s="218">
        <v>1</v>
      </c>
      <c r="C1029" s="220" t="s">
        <v>1540</v>
      </c>
      <c r="D1029" s="220" t="s">
        <v>105</v>
      </c>
      <c r="E1029" s="165">
        <v>1934</v>
      </c>
    </row>
    <row r="1030" spans="1:5" x14ac:dyDescent="0.25">
      <c r="A1030" s="216" t="s">
        <v>1482</v>
      </c>
      <c r="B1030" s="218">
        <v>1</v>
      </c>
      <c r="C1030" s="220" t="s">
        <v>1113</v>
      </c>
      <c r="D1030" s="220" t="s">
        <v>50</v>
      </c>
      <c r="E1030" s="165">
        <v>1933</v>
      </c>
    </row>
    <row r="1031" spans="1:5" x14ac:dyDescent="0.25">
      <c r="A1031" s="216" t="s">
        <v>1696</v>
      </c>
      <c r="B1031" s="218">
        <v>1</v>
      </c>
      <c r="C1031" s="220" t="s">
        <v>179</v>
      </c>
      <c r="D1031" s="220" t="s">
        <v>66</v>
      </c>
      <c r="E1031" s="165">
        <v>1932</v>
      </c>
    </row>
    <row r="1032" spans="1:5" x14ac:dyDescent="0.25">
      <c r="A1032" s="216" t="s">
        <v>11004</v>
      </c>
      <c r="B1032" s="218">
        <v>1</v>
      </c>
      <c r="C1032" s="220" t="s">
        <v>1275</v>
      </c>
      <c r="D1032" s="220" t="s">
        <v>78</v>
      </c>
      <c r="E1032" s="165">
        <v>1928</v>
      </c>
    </row>
    <row r="1033" spans="1:5" x14ac:dyDescent="0.25">
      <c r="A1033" s="216" t="s">
        <v>1690</v>
      </c>
      <c r="B1033" s="218">
        <v>1</v>
      </c>
      <c r="C1033" s="220" t="s">
        <v>689</v>
      </c>
      <c r="D1033" s="220" t="s">
        <v>124</v>
      </c>
      <c r="E1033" s="165">
        <v>1925</v>
      </c>
    </row>
    <row r="1034" spans="1:5" x14ac:dyDescent="0.25">
      <c r="A1034" s="216" t="s">
        <v>1789</v>
      </c>
      <c r="B1034" s="218">
        <v>1</v>
      </c>
      <c r="C1034" s="220" t="s">
        <v>1431</v>
      </c>
      <c r="D1034" s="220" t="s">
        <v>63</v>
      </c>
      <c r="E1034" s="165">
        <v>1918</v>
      </c>
    </row>
    <row r="1035" spans="1:5" x14ac:dyDescent="0.25">
      <c r="A1035" s="216" t="s">
        <v>1674</v>
      </c>
      <c r="B1035" s="218">
        <v>1</v>
      </c>
      <c r="C1035" s="220" t="s">
        <v>1675</v>
      </c>
      <c r="D1035" s="220" t="s">
        <v>56</v>
      </c>
      <c r="E1035" s="165">
        <v>1914</v>
      </c>
    </row>
    <row r="1036" spans="1:5" x14ac:dyDescent="0.25">
      <c r="A1036" s="216" t="s">
        <v>1744</v>
      </c>
      <c r="B1036" s="218">
        <v>1</v>
      </c>
      <c r="C1036" s="220" t="s">
        <v>1745</v>
      </c>
      <c r="D1036" s="220" t="s">
        <v>63</v>
      </c>
      <c r="E1036" s="165">
        <v>1911</v>
      </c>
    </row>
    <row r="1037" spans="1:5" x14ac:dyDescent="0.25">
      <c r="A1037" s="216" t="s">
        <v>1816</v>
      </c>
      <c r="B1037" s="218" t="s">
        <v>48</v>
      </c>
      <c r="C1037" s="220" t="s">
        <v>1817</v>
      </c>
      <c r="D1037" s="220" t="s">
        <v>188</v>
      </c>
      <c r="E1037" s="165">
        <v>1910</v>
      </c>
    </row>
    <row r="1038" spans="1:5" x14ac:dyDescent="0.25">
      <c r="A1038" s="216" t="s">
        <v>1594</v>
      </c>
      <c r="B1038" s="218">
        <v>1</v>
      </c>
      <c r="C1038" s="220" t="s">
        <v>1595</v>
      </c>
      <c r="D1038" s="220" t="s">
        <v>188</v>
      </c>
      <c r="E1038" s="165">
        <v>1910</v>
      </c>
    </row>
    <row r="1039" spans="1:5" x14ac:dyDescent="0.25">
      <c r="A1039" s="216" t="s">
        <v>1702</v>
      </c>
      <c r="B1039" s="218">
        <v>1</v>
      </c>
      <c r="C1039" s="220" t="s">
        <v>756</v>
      </c>
      <c r="D1039" s="220" t="s">
        <v>66</v>
      </c>
      <c r="E1039" s="165">
        <v>1910</v>
      </c>
    </row>
    <row r="1040" spans="1:5" x14ac:dyDescent="0.25">
      <c r="A1040" s="216" t="s">
        <v>1762</v>
      </c>
      <c r="B1040" s="218">
        <v>1</v>
      </c>
      <c r="C1040" s="220" t="s">
        <v>259</v>
      </c>
      <c r="D1040" s="220" t="s">
        <v>50</v>
      </c>
      <c r="E1040" s="165">
        <v>1909</v>
      </c>
    </row>
    <row r="1041" spans="1:5" x14ac:dyDescent="0.25">
      <c r="A1041" s="216" t="s">
        <v>1706</v>
      </c>
      <c r="B1041" s="218" t="s">
        <v>48</v>
      </c>
      <c r="C1041" s="220" t="s">
        <v>1707</v>
      </c>
      <c r="D1041" s="220" t="s">
        <v>59</v>
      </c>
      <c r="E1041" s="165">
        <v>1908</v>
      </c>
    </row>
    <row r="1042" spans="1:5" x14ac:dyDescent="0.25">
      <c r="A1042" s="216" t="s">
        <v>1685</v>
      </c>
      <c r="B1042" s="218">
        <v>1</v>
      </c>
      <c r="C1042" s="220" t="s">
        <v>295</v>
      </c>
      <c r="D1042" s="220" t="s">
        <v>56</v>
      </c>
      <c r="E1042" s="165">
        <v>1907</v>
      </c>
    </row>
    <row r="1043" spans="1:5" x14ac:dyDescent="0.25">
      <c r="A1043" s="216" t="s">
        <v>1698</v>
      </c>
      <c r="B1043" s="218" t="s">
        <v>48</v>
      </c>
      <c r="C1043" s="220" t="s">
        <v>1391</v>
      </c>
      <c r="D1043" s="220" t="s">
        <v>272</v>
      </c>
      <c r="E1043" s="165">
        <v>1906</v>
      </c>
    </row>
    <row r="1044" spans="1:5" x14ac:dyDescent="0.25">
      <c r="A1044" s="216" t="s">
        <v>1855</v>
      </c>
      <c r="B1044" s="218" t="s">
        <v>48</v>
      </c>
      <c r="C1044" s="220" t="s">
        <v>1856</v>
      </c>
      <c r="D1044" s="220" t="s">
        <v>56</v>
      </c>
      <c r="E1044" s="165">
        <v>1906</v>
      </c>
    </row>
    <row r="1045" spans="1:5" x14ac:dyDescent="0.25">
      <c r="A1045" s="216" t="s">
        <v>1942</v>
      </c>
      <c r="B1045" s="218" t="s">
        <v>48</v>
      </c>
      <c r="C1045" s="220" t="s">
        <v>257</v>
      </c>
      <c r="D1045" s="220" t="s">
        <v>108</v>
      </c>
      <c r="E1045" s="165">
        <v>1902</v>
      </c>
    </row>
    <row r="1046" spans="1:5" x14ac:dyDescent="0.25">
      <c r="A1046" s="216" t="s">
        <v>1741</v>
      </c>
      <c r="B1046" s="218">
        <v>1</v>
      </c>
      <c r="C1046" s="220" t="s">
        <v>1742</v>
      </c>
      <c r="D1046" s="220" t="s">
        <v>394</v>
      </c>
      <c r="E1046" s="165">
        <v>1901</v>
      </c>
    </row>
    <row r="1047" spans="1:5" x14ac:dyDescent="0.25">
      <c r="A1047" s="216" t="s">
        <v>2485</v>
      </c>
      <c r="B1047" s="218" t="s">
        <v>48</v>
      </c>
      <c r="C1047" s="220" t="s">
        <v>1429</v>
      </c>
      <c r="D1047" s="220" t="s">
        <v>264</v>
      </c>
      <c r="E1047" s="165">
        <v>1900</v>
      </c>
    </row>
    <row r="1048" spans="1:5" x14ac:dyDescent="0.25">
      <c r="A1048" s="216" t="s">
        <v>1736</v>
      </c>
      <c r="B1048" s="218" t="s">
        <v>48</v>
      </c>
      <c r="C1048" s="220" t="s">
        <v>261</v>
      </c>
      <c r="D1048" s="220" t="s">
        <v>56</v>
      </c>
      <c r="E1048" s="165">
        <v>1900</v>
      </c>
    </row>
    <row r="1049" spans="1:5" x14ac:dyDescent="0.25">
      <c r="A1049" s="216" t="s">
        <v>1632</v>
      </c>
      <c r="B1049" s="218">
        <v>1</v>
      </c>
      <c r="C1049" s="220" t="s">
        <v>289</v>
      </c>
      <c r="D1049" s="220" t="s">
        <v>69</v>
      </c>
      <c r="E1049" s="165">
        <v>1899</v>
      </c>
    </row>
    <row r="1050" spans="1:5" x14ac:dyDescent="0.25">
      <c r="A1050" s="216" t="s">
        <v>1633</v>
      </c>
      <c r="B1050" s="218">
        <v>1</v>
      </c>
      <c r="C1050" s="220" t="s">
        <v>300</v>
      </c>
      <c r="D1050" s="220" t="s">
        <v>69</v>
      </c>
      <c r="E1050" s="165">
        <v>1898</v>
      </c>
    </row>
    <row r="1051" spans="1:5" x14ac:dyDescent="0.25">
      <c r="A1051" s="216" t="s">
        <v>1711</v>
      </c>
      <c r="B1051" s="218">
        <v>1</v>
      </c>
      <c r="C1051" s="220" t="s">
        <v>1712</v>
      </c>
      <c r="D1051" s="220" t="s">
        <v>66</v>
      </c>
      <c r="E1051" s="165">
        <v>1896</v>
      </c>
    </row>
    <row r="1052" spans="1:5" x14ac:dyDescent="0.25">
      <c r="A1052" s="216" t="s">
        <v>1845</v>
      </c>
      <c r="B1052" s="218" t="s">
        <v>48</v>
      </c>
      <c r="C1052" s="220" t="s">
        <v>1846</v>
      </c>
      <c r="D1052" s="220" t="s">
        <v>142</v>
      </c>
      <c r="E1052" s="165">
        <v>1893</v>
      </c>
    </row>
    <row r="1053" spans="1:5" x14ac:dyDescent="0.25">
      <c r="A1053" s="216" t="s">
        <v>1961</v>
      </c>
      <c r="B1053" s="218">
        <v>1</v>
      </c>
      <c r="C1053" s="220" t="s">
        <v>417</v>
      </c>
      <c r="D1053" s="220" t="s">
        <v>66</v>
      </c>
      <c r="E1053" s="165">
        <v>1891</v>
      </c>
    </row>
    <row r="1054" spans="1:5" x14ac:dyDescent="0.25">
      <c r="A1054" s="216" t="s">
        <v>1242</v>
      </c>
      <c r="B1054" s="218">
        <v>1</v>
      </c>
      <c r="C1054" s="220" t="s">
        <v>1243</v>
      </c>
      <c r="D1054" s="220" t="s">
        <v>166</v>
      </c>
      <c r="E1054" s="165">
        <v>1890</v>
      </c>
    </row>
    <row r="1055" spans="1:5" x14ac:dyDescent="0.25">
      <c r="A1055" s="216" t="s">
        <v>1728</v>
      </c>
      <c r="B1055" s="218">
        <v>1</v>
      </c>
      <c r="C1055" s="220" t="s">
        <v>727</v>
      </c>
      <c r="D1055" s="220" t="s">
        <v>66</v>
      </c>
      <c r="E1055" s="165">
        <v>1890</v>
      </c>
    </row>
    <row r="1056" spans="1:5" x14ac:dyDescent="0.25">
      <c r="A1056" s="216" t="s">
        <v>1607</v>
      </c>
      <c r="B1056" s="218">
        <v>1</v>
      </c>
      <c r="C1056" s="220" t="s">
        <v>1608</v>
      </c>
      <c r="D1056" s="220" t="s">
        <v>272</v>
      </c>
      <c r="E1056" s="165">
        <v>1889</v>
      </c>
    </row>
    <row r="1057" spans="1:5" x14ac:dyDescent="0.25">
      <c r="A1057" s="216" t="s">
        <v>1686</v>
      </c>
      <c r="B1057" s="218">
        <v>1</v>
      </c>
      <c r="C1057" s="220" t="s">
        <v>1586</v>
      </c>
      <c r="D1057" s="220" t="s">
        <v>56</v>
      </c>
      <c r="E1057" s="165">
        <v>1886</v>
      </c>
    </row>
    <row r="1058" spans="1:5" x14ac:dyDescent="0.25">
      <c r="A1058" s="216" t="s">
        <v>10718</v>
      </c>
      <c r="B1058" s="218">
        <v>1</v>
      </c>
      <c r="C1058" s="220" t="s">
        <v>121</v>
      </c>
      <c r="D1058" s="220" t="s">
        <v>56</v>
      </c>
      <c r="E1058" s="165">
        <v>1886</v>
      </c>
    </row>
    <row r="1059" spans="1:5" x14ac:dyDescent="0.25">
      <c r="A1059" s="216" t="s">
        <v>1716</v>
      </c>
      <c r="B1059" s="218">
        <v>1</v>
      </c>
      <c r="C1059" s="220" t="s">
        <v>1717</v>
      </c>
      <c r="D1059" s="220" t="s">
        <v>1200</v>
      </c>
      <c r="E1059" s="165">
        <v>1883</v>
      </c>
    </row>
    <row r="1060" spans="1:5" x14ac:dyDescent="0.25">
      <c r="A1060" s="216" t="s">
        <v>1839</v>
      </c>
      <c r="B1060" s="218" t="s">
        <v>48</v>
      </c>
      <c r="C1060" s="220" t="s">
        <v>1840</v>
      </c>
      <c r="D1060" s="220" t="s">
        <v>75</v>
      </c>
      <c r="E1060" s="165">
        <v>1882</v>
      </c>
    </row>
    <row r="1061" spans="1:5" x14ac:dyDescent="0.25">
      <c r="A1061" s="216" t="s">
        <v>2043</v>
      </c>
      <c r="B1061" s="218">
        <v>1</v>
      </c>
      <c r="C1061" s="220" t="s">
        <v>138</v>
      </c>
      <c r="D1061" s="220" t="s">
        <v>139</v>
      </c>
      <c r="E1061" s="165">
        <v>1875</v>
      </c>
    </row>
    <row r="1062" spans="1:5" x14ac:dyDescent="0.25">
      <c r="A1062" s="216" t="s">
        <v>1905</v>
      </c>
      <c r="B1062" s="218" t="s">
        <v>48</v>
      </c>
      <c r="C1062" s="220" t="s">
        <v>1906</v>
      </c>
      <c r="D1062" s="220" t="s">
        <v>66</v>
      </c>
      <c r="E1062" s="165">
        <v>1872</v>
      </c>
    </row>
    <row r="1063" spans="1:5" x14ac:dyDescent="0.25">
      <c r="A1063" s="216" t="s">
        <v>1725</v>
      </c>
      <c r="B1063" s="218">
        <v>1</v>
      </c>
      <c r="C1063" s="220" t="s">
        <v>233</v>
      </c>
      <c r="D1063" s="220" t="s">
        <v>56</v>
      </c>
      <c r="E1063" s="165">
        <v>1857</v>
      </c>
    </row>
    <row r="1064" spans="1:5" x14ac:dyDescent="0.25">
      <c r="A1064" s="216" t="s">
        <v>1348</v>
      </c>
      <c r="B1064" s="218">
        <v>1</v>
      </c>
      <c r="C1064" s="220" t="s">
        <v>1349</v>
      </c>
      <c r="D1064" s="220" t="s">
        <v>56</v>
      </c>
      <c r="E1064" s="165">
        <v>1857</v>
      </c>
    </row>
    <row r="1065" spans="1:5" x14ac:dyDescent="0.25">
      <c r="A1065" s="216" t="s">
        <v>1799</v>
      </c>
      <c r="B1065" s="218" t="s">
        <v>48</v>
      </c>
      <c r="C1065" s="220" t="s">
        <v>110</v>
      </c>
      <c r="D1065" s="220" t="s">
        <v>69</v>
      </c>
      <c r="E1065" s="165">
        <v>1856</v>
      </c>
    </row>
    <row r="1066" spans="1:5" x14ac:dyDescent="0.25">
      <c r="A1066" s="216" t="s">
        <v>2231</v>
      </c>
      <c r="B1066" s="218" t="s">
        <v>48</v>
      </c>
      <c r="C1066" s="220" t="s">
        <v>2232</v>
      </c>
      <c r="D1066" s="220" t="s">
        <v>113</v>
      </c>
      <c r="E1066" s="165">
        <v>1853</v>
      </c>
    </row>
    <row r="1067" spans="1:5" x14ac:dyDescent="0.25">
      <c r="A1067" s="216" t="s">
        <v>1822</v>
      </c>
      <c r="B1067" s="218" t="s">
        <v>48</v>
      </c>
      <c r="C1067" s="220" t="s">
        <v>1823</v>
      </c>
      <c r="D1067" s="220" t="s">
        <v>56</v>
      </c>
      <c r="E1067" s="165">
        <v>1853</v>
      </c>
    </row>
    <row r="1068" spans="1:5" x14ac:dyDescent="0.25">
      <c r="A1068" s="216" t="s">
        <v>1811</v>
      </c>
      <c r="B1068" s="218" t="s">
        <v>48</v>
      </c>
      <c r="C1068" s="220" t="s">
        <v>879</v>
      </c>
      <c r="D1068" s="220" t="s">
        <v>337</v>
      </c>
      <c r="E1068" s="165">
        <v>1850</v>
      </c>
    </row>
    <row r="1069" spans="1:5" x14ac:dyDescent="0.25">
      <c r="A1069" s="216" t="s">
        <v>1351</v>
      </c>
      <c r="B1069" s="218" t="s">
        <v>48</v>
      </c>
      <c r="C1069" s="220" t="s">
        <v>1323</v>
      </c>
      <c r="D1069" s="220" t="s">
        <v>75</v>
      </c>
      <c r="E1069" s="165">
        <v>1850</v>
      </c>
    </row>
    <row r="1070" spans="1:5" x14ac:dyDescent="0.25">
      <c r="A1070" s="216" t="s">
        <v>1756</v>
      </c>
      <c r="B1070" s="218">
        <v>1</v>
      </c>
      <c r="C1070" s="220" t="s">
        <v>1757</v>
      </c>
      <c r="D1070" s="220" t="s">
        <v>66</v>
      </c>
      <c r="E1070" s="165">
        <v>1847</v>
      </c>
    </row>
    <row r="1071" spans="1:5" x14ac:dyDescent="0.25">
      <c r="A1071" s="216" t="s">
        <v>1689</v>
      </c>
      <c r="B1071" s="218">
        <v>1</v>
      </c>
      <c r="C1071" s="220" t="s">
        <v>259</v>
      </c>
      <c r="D1071" s="220" t="s">
        <v>50</v>
      </c>
      <c r="E1071" s="165">
        <v>1847</v>
      </c>
    </row>
    <row r="1072" spans="1:5" x14ac:dyDescent="0.25">
      <c r="A1072" s="216" t="s">
        <v>1548</v>
      </c>
      <c r="B1072" s="218" t="s">
        <v>48</v>
      </c>
      <c r="C1072" s="220" t="s">
        <v>283</v>
      </c>
      <c r="D1072" s="220" t="s">
        <v>59</v>
      </c>
      <c r="E1072" s="165">
        <v>1846</v>
      </c>
    </row>
    <row r="1073" spans="1:5" x14ac:dyDescent="0.25">
      <c r="A1073" s="216" t="s">
        <v>1973</v>
      </c>
      <c r="B1073" s="218">
        <v>1</v>
      </c>
      <c r="C1073" s="220" t="s">
        <v>289</v>
      </c>
      <c r="D1073" s="220" t="s">
        <v>69</v>
      </c>
      <c r="E1073" s="165">
        <v>1844</v>
      </c>
    </row>
    <row r="1074" spans="1:5" x14ac:dyDescent="0.25">
      <c r="A1074" s="216" t="s">
        <v>1596</v>
      </c>
      <c r="B1074" s="218">
        <v>1</v>
      </c>
      <c r="C1074" s="220" t="s">
        <v>647</v>
      </c>
      <c r="D1074" s="220" t="s">
        <v>236</v>
      </c>
      <c r="E1074" s="165">
        <v>1842</v>
      </c>
    </row>
    <row r="1075" spans="1:5" x14ac:dyDescent="0.25">
      <c r="A1075" s="216" t="s">
        <v>1737</v>
      </c>
      <c r="B1075" s="218">
        <v>1</v>
      </c>
      <c r="C1075" s="220" t="s">
        <v>367</v>
      </c>
      <c r="D1075" s="220" t="s">
        <v>56</v>
      </c>
      <c r="E1075" s="165">
        <v>1838</v>
      </c>
    </row>
    <row r="1076" spans="1:5" x14ac:dyDescent="0.25">
      <c r="A1076" s="216" t="s">
        <v>1827</v>
      </c>
      <c r="B1076" s="218">
        <v>1</v>
      </c>
      <c r="C1076" s="220" t="s">
        <v>545</v>
      </c>
      <c r="D1076" s="220" t="s">
        <v>56</v>
      </c>
      <c r="E1076" s="165">
        <v>1837</v>
      </c>
    </row>
    <row r="1077" spans="1:5" x14ac:dyDescent="0.25">
      <c r="A1077" s="216" t="s">
        <v>5289</v>
      </c>
      <c r="B1077" s="218">
        <v>1</v>
      </c>
      <c r="C1077" s="220" t="s">
        <v>5290</v>
      </c>
      <c r="D1077" s="220" t="s">
        <v>192</v>
      </c>
      <c r="E1077" s="165">
        <v>1834</v>
      </c>
    </row>
    <row r="1078" spans="1:5" x14ac:dyDescent="0.25">
      <c r="A1078" s="216" t="s">
        <v>1764</v>
      </c>
      <c r="B1078" s="218">
        <v>1</v>
      </c>
      <c r="C1078" s="220" t="s">
        <v>879</v>
      </c>
      <c r="D1078" s="220" t="s">
        <v>337</v>
      </c>
      <c r="E1078" s="165">
        <v>1833</v>
      </c>
    </row>
    <row r="1079" spans="1:5" x14ac:dyDescent="0.25">
      <c r="A1079" s="216" t="s">
        <v>1998</v>
      </c>
      <c r="B1079" s="218" t="s">
        <v>48</v>
      </c>
      <c r="C1079" s="220" t="s">
        <v>1999</v>
      </c>
      <c r="D1079" s="220" t="s">
        <v>93</v>
      </c>
      <c r="E1079" s="165">
        <v>1832</v>
      </c>
    </row>
    <row r="1080" spans="1:5" x14ac:dyDescent="0.25">
      <c r="A1080" s="216" t="s">
        <v>1720</v>
      </c>
      <c r="B1080" s="218">
        <v>1</v>
      </c>
      <c r="C1080" s="220" t="s">
        <v>251</v>
      </c>
      <c r="D1080" s="220" t="s">
        <v>98</v>
      </c>
      <c r="E1080" s="165">
        <v>1831</v>
      </c>
    </row>
    <row r="1081" spans="1:5" x14ac:dyDescent="0.25">
      <c r="A1081" s="216" t="s">
        <v>1812</v>
      </c>
      <c r="B1081" s="218" t="s">
        <v>48</v>
      </c>
      <c r="C1081" s="220" t="s">
        <v>605</v>
      </c>
      <c r="D1081" s="220" t="s">
        <v>585</v>
      </c>
      <c r="E1081" s="165">
        <v>1828</v>
      </c>
    </row>
    <row r="1082" spans="1:5" x14ac:dyDescent="0.25">
      <c r="A1082" s="216" t="s">
        <v>8210</v>
      </c>
      <c r="B1082" s="218">
        <v>1</v>
      </c>
      <c r="C1082" s="220" t="s">
        <v>1567</v>
      </c>
      <c r="D1082" s="220" t="s">
        <v>72</v>
      </c>
      <c r="E1082" s="165">
        <v>1825</v>
      </c>
    </row>
    <row r="1083" spans="1:5" x14ac:dyDescent="0.25">
      <c r="A1083" s="216" t="s">
        <v>2463</v>
      </c>
      <c r="B1083" s="218" t="s">
        <v>48</v>
      </c>
      <c r="C1083" s="220" t="s">
        <v>2464</v>
      </c>
      <c r="D1083" s="220" t="s">
        <v>87</v>
      </c>
      <c r="E1083" s="165">
        <v>1823</v>
      </c>
    </row>
    <row r="1084" spans="1:5" x14ac:dyDescent="0.25">
      <c r="A1084" s="216" t="s">
        <v>1682</v>
      </c>
      <c r="B1084" s="218" t="s">
        <v>48</v>
      </c>
      <c r="C1084" s="220" t="s">
        <v>283</v>
      </c>
      <c r="D1084" s="220" t="s">
        <v>59</v>
      </c>
      <c r="E1084" s="165">
        <v>1823</v>
      </c>
    </row>
    <row r="1085" spans="1:5" x14ac:dyDescent="0.25">
      <c r="A1085" s="216" t="s">
        <v>1838</v>
      </c>
      <c r="B1085" s="218">
        <v>1</v>
      </c>
      <c r="C1085" s="220" t="s">
        <v>1573</v>
      </c>
      <c r="D1085" s="220" t="s">
        <v>56</v>
      </c>
      <c r="E1085" s="165">
        <v>1817</v>
      </c>
    </row>
    <row r="1086" spans="1:5" x14ac:dyDescent="0.25">
      <c r="A1086" s="216" t="s">
        <v>1992</v>
      </c>
      <c r="B1086" s="218" t="s">
        <v>48</v>
      </c>
      <c r="C1086" s="220" t="s">
        <v>84</v>
      </c>
      <c r="D1086" s="220" t="s">
        <v>56</v>
      </c>
      <c r="E1086" s="165">
        <v>1814</v>
      </c>
    </row>
    <row r="1087" spans="1:5" x14ac:dyDescent="0.25">
      <c r="A1087" s="216" t="s">
        <v>2508</v>
      </c>
      <c r="B1087" s="218" t="s">
        <v>48</v>
      </c>
      <c r="C1087" s="220" t="s">
        <v>2509</v>
      </c>
      <c r="D1087" s="220" t="s">
        <v>108</v>
      </c>
      <c r="E1087" s="165">
        <v>1803</v>
      </c>
    </row>
    <row r="1088" spans="1:5" x14ac:dyDescent="0.25">
      <c r="A1088" s="216" t="s">
        <v>2298</v>
      </c>
      <c r="B1088" s="218">
        <v>1</v>
      </c>
      <c r="C1088" s="220" t="s">
        <v>2299</v>
      </c>
      <c r="D1088" s="220" t="s">
        <v>118</v>
      </c>
      <c r="E1088" s="165">
        <v>1803</v>
      </c>
    </row>
    <row r="1089" spans="1:5" x14ac:dyDescent="0.25">
      <c r="A1089" s="216" t="s">
        <v>1880</v>
      </c>
      <c r="B1089" s="218">
        <v>1</v>
      </c>
      <c r="C1089" s="220" t="s">
        <v>615</v>
      </c>
      <c r="D1089" s="220" t="s">
        <v>63</v>
      </c>
      <c r="E1089" s="165">
        <v>1802</v>
      </c>
    </row>
    <row r="1090" spans="1:5" x14ac:dyDescent="0.25">
      <c r="A1090" s="216" t="s">
        <v>1746</v>
      </c>
      <c r="B1090" s="218">
        <v>1</v>
      </c>
      <c r="C1090" s="220" t="s">
        <v>1747</v>
      </c>
      <c r="D1090" s="220" t="s">
        <v>98</v>
      </c>
      <c r="E1090" s="165">
        <v>1801</v>
      </c>
    </row>
    <row r="1091" spans="1:5" x14ac:dyDescent="0.25">
      <c r="A1091" s="216" t="s">
        <v>1410</v>
      </c>
      <c r="B1091" s="218" t="s">
        <v>48</v>
      </c>
      <c r="C1091" s="220" t="s">
        <v>1411</v>
      </c>
      <c r="D1091" s="220" t="s">
        <v>139</v>
      </c>
      <c r="E1091" s="165">
        <v>1800</v>
      </c>
    </row>
    <row r="1092" spans="1:5" x14ac:dyDescent="0.25">
      <c r="A1092" s="216" t="s">
        <v>2129</v>
      </c>
      <c r="B1092" s="218" t="s">
        <v>48</v>
      </c>
      <c r="C1092" s="220" t="s">
        <v>1331</v>
      </c>
      <c r="D1092" s="220" t="s">
        <v>348</v>
      </c>
      <c r="E1092" s="165">
        <v>1800</v>
      </c>
    </row>
    <row r="1093" spans="1:5" x14ac:dyDescent="0.25">
      <c r="A1093" s="216" t="s">
        <v>2749</v>
      </c>
      <c r="B1093" s="218" t="s">
        <v>48</v>
      </c>
      <c r="C1093" s="220" t="s">
        <v>2750</v>
      </c>
      <c r="D1093" s="220" t="s">
        <v>192</v>
      </c>
      <c r="E1093" s="165">
        <v>1800</v>
      </c>
    </row>
    <row r="1094" spans="1:5" x14ac:dyDescent="0.25">
      <c r="A1094" s="216" t="s">
        <v>2003</v>
      </c>
      <c r="B1094" s="218" t="s">
        <v>48</v>
      </c>
      <c r="C1094" s="220" t="s">
        <v>2004</v>
      </c>
      <c r="D1094" s="220" t="s">
        <v>82</v>
      </c>
      <c r="E1094" s="165">
        <v>1800</v>
      </c>
    </row>
    <row r="1095" spans="1:5" x14ac:dyDescent="0.25">
      <c r="A1095" s="216" t="s">
        <v>1793</v>
      </c>
      <c r="B1095" s="218" t="s">
        <v>48</v>
      </c>
      <c r="C1095" s="220" t="s">
        <v>65</v>
      </c>
      <c r="D1095" s="220" t="s">
        <v>66</v>
      </c>
      <c r="E1095" s="165">
        <v>1800</v>
      </c>
    </row>
    <row r="1096" spans="1:5" x14ac:dyDescent="0.25">
      <c r="A1096" s="216" t="s">
        <v>11005</v>
      </c>
      <c r="B1096" s="218" t="s">
        <v>48</v>
      </c>
      <c r="C1096" s="220" t="s">
        <v>684</v>
      </c>
      <c r="D1096" s="220" t="s">
        <v>72</v>
      </c>
      <c r="E1096" s="165">
        <v>1800</v>
      </c>
    </row>
    <row r="1097" spans="1:5" x14ac:dyDescent="0.25">
      <c r="A1097" s="216" t="s">
        <v>1701</v>
      </c>
      <c r="B1097" s="218" t="s">
        <v>48</v>
      </c>
      <c r="C1097" s="220" t="s">
        <v>1130</v>
      </c>
      <c r="D1097" s="220" t="s">
        <v>93</v>
      </c>
      <c r="E1097" s="165">
        <v>1797</v>
      </c>
    </row>
    <row r="1098" spans="1:5" x14ac:dyDescent="0.25">
      <c r="A1098" s="216" t="s">
        <v>1465</v>
      </c>
      <c r="B1098" s="218" t="s">
        <v>48</v>
      </c>
      <c r="C1098" s="220" t="s">
        <v>283</v>
      </c>
      <c r="D1098" s="220" t="s">
        <v>59</v>
      </c>
      <c r="E1098" s="165">
        <v>1792</v>
      </c>
    </row>
    <row r="1099" spans="1:5" x14ac:dyDescent="0.25">
      <c r="A1099" s="216" t="s">
        <v>1649</v>
      </c>
      <c r="B1099" s="218">
        <v>1</v>
      </c>
      <c r="C1099" s="220" t="s">
        <v>323</v>
      </c>
      <c r="D1099" s="220" t="s">
        <v>277</v>
      </c>
      <c r="E1099" s="165">
        <v>1791</v>
      </c>
    </row>
    <row r="1100" spans="1:5" x14ac:dyDescent="0.25">
      <c r="A1100" s="216" t="s">
        <v>1618</v>
      </c>
      <c r="B1100" s="218">
        <v>1</v>
      </c>
      <c r="C1100" s="220" t="s">
        <v>1619</v>
      </c>
      <c r="D1100" s="220" t="s">
        <v>72</v>
      </c>
      <c r="E1100" s="165">
        <v>1791</v>
      </c>
    </row>
    <row r="1101" spans="1:5" x14ac:dyDescent="0.25">
      <c r="A1101" s="216" t="s">
        <v>1550</v>
      </c>
      <c r="B1101" s="218">
        <v>1</v>
      </c>
      <c r="C1101" s="220" t="s">
        <v>1551</v>
      </c>
      <c r="D1101" s="220" t="s">
        <v>50</v>
      </c>
      <c r="E1101" s="165">
        <v>1789</v>
      </c>
    </row>
    <row r="1102" spans="1:5" x14ac:dyDescent="0.25">
      <c r="A1102" s="216" t="s">
        <v>1883</v>
      </c>
      <c r="B1102" s="218" t="s">
        <v>48</v>
      </c>
      <c r="C1102" s="220" t="s">
        <v>1884</v>
      </c>
      <c r="D1102" s="220" t="s">
        <v>56</v>
      </c>
      <c r="E1102" s="165">
        <v>1788</v>
      </c>
    </row>
    <row r="1103" spans="1:5" x14ac:dyDescent="0.25">
      <c r="A1103" s="216" t="s">
        <v>1654</v>
      </c>
      <c r="B1103" s="218">
        <v>1</v>
      </c>
      <c r="C1103" s="220" t="s">
        <v>1655</v>
      </c>
      <c r="D1103" s="220" t="s">
        <v>277</v>
      </c>
      <c r="E1103" s="165">
        <v>1783</v>
      </c>
    </row>
    <row r="1104" spans="1:5" x14ac:dyDescent="0.25">
      <c r="A1104" s="216" t="s">
        <v>1758</v>
      </c>
      <c r="B1104" s="218" t="s">
        <v>48</v>
      </c>
      <c r="C1104" s="220" t="s">
        <v>1759</v>
      </c>
      <c r="D1104" s="220" t="s">
        <v>166</v>
      </c>
      <c r="E1104" s="165">
        <v>1775</v>
      </c>
    </row>
    <row r="1105" spans="1:5" x14ac:dyDescent="0.25">
      <c r="A1105" s="216" t="s">
        <v>1874</v>
      </c>
      <c r="B1105" s="218">
        <v>1</v>
      </c>
      <c r="C1105" s="220" t="s">
        <v>1875</v>
      </c>
      <c r="D1105" s="220" t="s">
        <v>188</v>
      </c>
      <c r="E1105" s="165">
        <v>1774</v>
      </c>
    </row>
    <row r="1106" spans="1:5" x14ac:dyDescent="0.25">
      <c r="A1106" s="216" t="s">
        <v>10627</v>
      </c>
      <c r="B1106" s="218">
        <v>1</v>
      </c>
      <c r="C1106" s="220" t="s">
        <v>7955</v>
      </c>
      <c r="D1106" s="220" t="s">
        <v>56</v>
      </c>
      <c r="E1106" s="165">
        <v>1773</v>
      </c>
    </row>
    <row r="1107" spans="1:5" x14ac:dyDescent="0.25">
      <c r="A1107" s="216" t="s">
        <v>1907</v>
      </c>
      <c r="B1107" s="218" t="s">
        <v>48</v>
      </c>
      <c r="C1107" s="220" t="s">
        <v>86</v>
      </c>
      <c r="D1107" s="220" t="s">
        <v>78</v>
      </c>
      <c r="E1107" s="165">
        <v>1769</v>
      </c>
    </row>
    <row r="1108" spans="1:5" x14ac:dyDescent="0.25">
      <c r="A1108" s="216" t="s">
        <v>1825</v>
      </c>
      <c r="B1108" s="218">
        <v>1</v>
      </c>
      <c r="C1108" s="220" t="s">
        <v>1826</v>
      </c>
      <c r="D1108" s="220" t="s">
        <v>394</v>
      </c>
      <c r="E1108" s="165">
        <v>1768</v>
      </c>
    </row>
    <row r="1109" spans="1:5" x14ac:dyDescent="0.25">
      <c r="A1109" s="216" t="s">
        <v>1678</v>
      </c>
      <c r="B1109" s="218">
        <v>1</v>
      </c>
      <c r="C1109" s="220" t="s">
        <v>86</v>
      </c>
      <c r="D1109" s="220" t="s">
        <v>87</v>
      </c>
      <c r="E1109" s="165">
        <v>1767</v>
      </c>
    </row>
    <row r="1110" spans="1:5" x14ac:dyDescent="0.25">
      <c r="A1110" s="216" t="s">
        <v>1876</v>
      </c>
      <c r="B1110" s="218">
        <v>1</v>
      </c>
      <c r="C1110" s="220" t="s">
        <v>1877</v>
      </c>
      <c r="D1110" s="220" t="s">
        <v>56</v>
      </c>
      <c r="E1110" s="165">
        <v>1760</v>
      </c>
    </row>
    <row r="1111" spans="1:5" x14ac:dyDescent="0.25">
      <c r="A1111" s="216" t="s">
        <v>1664</v>
      </c>
      <c r="B1111" s="218">
        <v>1</v>
      </c>
      <c r="C1111" s="220" t="s">
        <v>1665</v>
      </c>
      <c r="D1111" s="220" t="s">
        <v>277</v>
      </c>
      <c r="E1111" s="165">
        <v>1753</v>
      </c>
    </row>
    <row r="1112" spans="1:5" x14ac:dyDescent="0.25">
      <c r="A1112" s="216" t="s">
        <v>2009</v>
      </c>
      <c r="B1112" s="218" t="s">
        <v>48</v>
      </c>
      <c r="C1112" s="220" t="s">
        <v>2010</v>
      </c>
      <c r="D1112" s="220" t="s">
        <v>69</v>
      </c>
      <c r="E1112" s="165">
        <v>1753</v>
      </c>
    </row>
    <row r="1113" spans="1:5" x14ac:dyDescent="0.25">
      <c r="A1113" s="216" t="s">
        <v>11006</v>
      </c>
      <c r="B1113" s="218" t="s">
        <v>48</v>
      </c>
      <c r="C1113" s="220" t="s">
        <v>11007</v>
      </c>
      <c r="D1113" s="220" t="s">
        <v>69</v>
      </c>
      <c r="E1113" s="165">
        <v>1752</v>
      </c>
    </row>
    <row r="1114" spans="1:5" x14ac:dyDescent="0.25">
      <c r="A1114" s="216" t="s">
        <v>2839</v>
      </c>
      <c r="B1114" s="218" t="s">
        <v>48</v>
      </c>
      <c r="C1114" s="220" t="s">
        <v>624</v>
      </c>
      <c r="D1114" s="220" t="s">
        <v>188</v>
      </c>
      <c r="E1114" s="165">
        <v>1750</v>
      </c>
    </row>
    <row r="1115" spans="1:5" x14ac:dyDescent="0.25">
      <c r="A1115" s="216" t="s">
        <v>10826</v>
      </c>
      <c r="B1115" s="218" t="s">
        <v>48</v>
      </c>
      <c r="C1115" s="220" t="s">
        <v>3771</v>
      </c>
      <c r="D1115" s="220" t="s">
        <v>59</v>
      </c>
      <c r="E1115" s="165">
        <v>1750</v>
      </c>
    </row>
    <row r="1116" spans="1:5" x14ac:dyDescent="0.25">
      <c r="A1116" s="216" t="s">
        <v>2014</v>
      </c>
      <c r="B1116" s="218" t="s">
        <v>48</v>
      </c>
      <c r="C1116" s="220" t="s">
        <v>2015</v>
      </c>
      <c r="D1116" s="220" t="s">
        <v>142</v>
      </c>
      <c r="E1116" s="165">
        <v>1748</v>
      </c>
    </row>
    <row r="1117" spans="1:5" x14ac:dyDescent="0.25">
      <c r="A1117" s="216" t="s">
        <v>1898</v>
      </c>
      <c r="B1117" s="218">
        <v>1</v>
      </c>
      <c r="C1117" s="220" t="s">
        <v>274</v>
      </c>
      <c r="D1117" s="220" t="s">
        <v>188</v>
      </c>
      <c r="E1117" s="165">
        <v>1744</v>
      </c>
    </row>
    <row r="1118" spans="1:5" x14ac:dyDescent="0.25">
      <c r="A1118" s="216" t="s">
        <v>1579</v>
      </c>
      <c r="B1118" s="218" t="s">
        <v>48</v>
      </c>
      <c r="C1118" s="220" t="s">
        <v>1580</v>
      </c>
      <c r="D1118" s="220" t="s">
        <v>277</v>
      </c>
      <c r="E1118" s="165">
        <v>1744</v>
      </c>
    </row>
    <row r="1119" spans="1:5" x14ac:dyDescent="0.25">
      <c r="A1119" s="216" t="s">
        <v>1902</v>
      </c>
      <c r="B1119" s="218" t="s">
        <v>48</v>
      </c>
      <c r="C1119" s="220" t="s">
        <v>1903</v>
      </c>
      <c r="D1119" s="220" t="s">
        <v>192</v>
      </c>
      <c r="E1119" s="165">
        <v>1743</v>
      </c>
    </row>
    <row r="1120" spans="1:5" x14ac:dyDescent="0.25">
      <c r="A1120" s="216" t="s">
        <v>1773</v>
      </c>
      <c r="B1120" s="218" t="s">
        <v>48</v>
      </c>
      <c r="C1120" s="220" t="s">
        <v>1551</v>
      </c>
      <c r="D1120" s="220" t="s">
        <v>50</v>
      </c>
      <c r="E1120" s="165">
        <v>1740</v>
      </c>
    </row>
    <row r="1121" spans="1:5" x14ac:dyDescent="0.25">
      <c r="A1121" s="216" t="s">
        <v>1962</v>
      </c>
      <c r="B1121" s="218" t="s">
        <v>48</v>
      </c>
      <c r="C1121" s="220" t="s">
        <v>1963</v>
      </c>
      <c r="D1121" s="220" t="s">
        <v>90</v>
      </c>
      <c r="E1121" s="165">
        <v>1730</v>
      </c>
    </row>
    <row r="1122" spans="1:5" x14ac:dyDescent="0.25">
      <c r="A1122" s="216" t="s">
        <v>3341</v>
      </c>
      <c r="B1122" s="218" t="s">
        <v>48</v>
      </c>
      <c r="C1122" s="220" t="s">
        <v>3342</v>
      </c>
      <c r="D1122" s="220" t="s">
        <v>90</v>
      </c>
      <c r="E1122" s="165">
        <v>1729</v>
      </c>
    </row>
    <row r="1123" spans="1:5" x14ac:dyDescent="0.25">
      <c r="A1123" s="216" t="s">
        <v>1785</v>
      </c>
      <c r="B1123" s="218">
        <v>1</v>
      </c>
      <c r="C1123" s="220" t="s">
        <v>516</v>
      </c>
      <c r="D1123" s="220" t="s">
        <v>517</v>
      </c>
      <c r="E1123" s="165">
        <v>1728</v>
      </c>
    </row>
    <row r="1124" spans="1:5" x14ac:dyDescent="0.25">
      <c r="A1124" s="216" t="s">
        <v>1795</v>
      </c>
      <c r="B1124" s="218">
        <v>1</v>
      </c>
      <c r="C1124" s="220" t="s">
        <v>1796</v>
      </c>
      <c r="D1124" s="220" t="s">
        <v>188</v>
      </c>
      <c r="E1124" s="165">
        <v>1727</v>
      </c>
    </row>
    <row r="1125" spans="1:5" x14ac:dyDescent="0.25">
      <c r="A1125" s="216" t="s">
        <v>2182</v>
      </c>
      <c r="B1125" s="218" t="s">
        <v>48</v>
      </c>
      <c r="C1125" s="220" t="s">
        <v>891</v>
      </c>
      <c r="D1125" s="220" t="s">
        <v>56</v>
      </c>
      <c r="E1125" s="165">
        <v>1726</v>
      </c>
    </row>
    <row r="1126" spans="1:5" x14ac:dyDescent="0.25">
      <c r="A1126" s="216" t="s">
        <v>2107</v>
      </c>
      <c r="B1126" s="218" t="s">
        <v>48</v>
      </c>
      <c r="C1126" s="220" t="s">
        <v>2108</v>
      </c>
      <c r="D1126" s="220" t="s">
        <v>59</v>
      </c>
      <c r="E1126" s="165">
        <v>1724</v>
      </c>
    </row>
    <row r="1127" spans="1:5" x14ac:dyDescent="0.25">
      <c r="A1127" s="216" t="s">
        <v>11008</v>
      </c>
      <c r="B1127" s="218" t="s">
        <v>48</v>
      </c>
      <c r="C1127" s="220" t="s">
        <v>424</v>
      </c>
      <c r="D1127" s="220" t="s">
        <v>59</v>
      </c>
      <c r="E1127" s="165">
        <v>1723</v>
      </c>
    </row>
    <row r="1128" spans="1:5" x14ac:dyDescent="0.25">
      <c r="A1128" s="216" t="s">
        <v>2341</v>
      </c>
      <c r="B1128" s="218" t="s">
        <v>48</v>
      </c>
      <c r="C1128" s="220" t="s">
        <v>727</v>
      </c>
      <c r="D1128" s="220" t="s">
        <v>66</v>
      </c>
      <c r="E1128" s="165">
        <v>1722</v>
      </c>
    </row>
    <row r="1129" spans="1:5" x14ac:dyDescent="0.25">
      <c r="A1129" s="216" t="s">
        <v>1916</v>
      </c>
      <c r="B1129" s="218" t="s">
        <v>48</v>
      </c>
      <c r="C1129" s="220" t="s">
        <v>135</v>
      </c>
      <c r="D1129" s="220" t="s">
        <v>108</v>
      </c>
      <c r="E1129" s="165">
        <v>1718</v>
      </c>
    </row>
    <row r="1130" spans="1:5" x14ac:dyDescent="0.25">
      <c r="A1130" s="216" t="s">
        <v>10558</v>
      </c>
      <c r="B1130" s="218" t="s">
        <v>48</v>
      </c>
      <c r="C1130" s="220" t="s">
        <v>90</v>
      </c>
      <c r="D1130" s="220" t="s">
        <v>441</v>
      </c>
      <c r="E1130" s="165">
        <v>1707</v>
      </c>
    </row>
    <row r="1131" spans="1:5" x14ac:dyDescent="0.25">
      <c r="A1131" s="216" t="s">
        <v>1888</v>
      </c>
      <c r="B1131" s="218" t="s">
        <v>48</v>
      </c>
      <c r="C1131" s="220" t="s">
        <v>1889</v>
      </c>
      <c r="D1131" s="220" t="s">
        <v>75</v>
      </c>
      <c r="E1131" s="165">
        <v>1704</v>
      </c>
    </row>
    <row r="1132" spans="1:5" x14ac:dyDescent="0.25">
      <c r="A1132" s="216" t="s">
        <v>1832</v>
      </c>
      <c r="B1132" s="218" t="s">
        <v>48</v>
      </c>
      <c r="C1132" s="220" t="s">
        <v>238</v>
      </c>
      <c r="D1132" s="220" t="s">
        <v>93</v>
      </c>
      <c r="E1132" s="165">
        <v>1704</v>
      </c>
    </row>
    <row r="1133" spans="1:5" x14ac:dyDescent="0.25">
      <c r="A1133" s="216" t="s">
        <v>1872</v>
      </c>
      <c r="B1133" s="218" t="s">
        <v>48</v>
      </c>
      <c r="C1133" s="220" t="s">
        <v>538</v>
      </c>
      <c r="D1133" s="220" t="s">
        <v>90</v>
      </c>
      <c r="E1133" s="165">
        <v>1704</v>
      </c>
    </row>
    <row r="1134" spans="1:5" x14ac:dyDescent="0.25">
      <c r="A1134" s="216" t="s">
        <v>1683</v>
      </c>
      <c r="B1134" s="218" t="s">
        <v>48</v>
      </c>
      <c r="C1134" s="220" t="s">
        <v>281</v>
      </c>
      <c r="D1134" s="220" t="s">
        <v>206</v>
      </c>
      <c r="E1134" s="165">
        <v>1703</v>
      </c>
    </row>
    <row r="1135" spans="1:5" x14ac:dyDescent="0.25">
      <c r="A1135" s="216" t="s">
        <v>1954</v>
      </c>
      <c r="B1135" s="218" t="s">
        <v>48</v>
      </c>
      <c r="C1135" s="220" t="s">
        <v>665</v>
      </c>
      <c r="D1135" s="220" t="s">
        <v>188</v>
      </c>
      <c r="E1135" s="165">
        <v>1700</v>
      </c>
    </row>
    <row r="1136" spans="1:5" x14ac:dyDescent="0.25">
      <c r="A1136" s="216" t="s">
        <v>1851</v>
      </c>
      <c r="B1136" s="218" t="s">
        <v>48</v>
      </c>
      <c r="C1136" s="220" t="s">
        <v>1852</v>
      </c>
      <c r="D1136" s="220" t="s">
        <v>277</v>
      </c>
      <c r="E1136" s="165">
        <v>1700</v>
      </c>
    </row>
    <row r="1137" spans="1:5" x14ac:dyDescent="0.25">
      <c r="A1137" s="216" t="s">
        <v>1704</v>
      </c>
      <c r="B1137" s="218" t="s">
        <v>48</v>
      </c>
      <c r="C1137" s="220" t="s">
        <v>1705</v>
      </c>
      <c r="D1137" s="220" t="s">
        <v>166</v>
      </c>
      <c r="E1137" s="165">
        <v>1700</v>
      </c>
    </row>
    <row r="1138" spans="1:5" x14ac:dyDescent="0.25">
      <c r="A1138" s="216" t="s">
        <v>1666</v>
      </c>
      <c r="B1138" s="218">
        <v>1</v>
      </c>
      <c r="C1138" s="220" t="s">
        <v>1667</v>
      </c>
      <c r="D1138" s="220" t="s">
        <v>72</v>
      </c>
      <c r="E1138" s="165">
        <v>1697</v>
      </c>
    </row>
    <row r="1139" spans="1:5" x14ac:dyDescent="0.25">
      <c r="A1139" s="216" t="s">
        <v>2103</v>
      </c>
      <c r="B1139" s="218">
        <v>1</v>
      </c>
      <c r="C1139" s="220" t="s">
        <v>104</v>
      </c>
      <c r="D1139" s="220" t="s">
        <v>105</v>
      </c>
      <c r="E1139" s="165">
        <v>1697</v>
      </c>
    </row>
    <row r="1140" spans="1:5" x14ac:dyDescent="0.25">
      <c r="A1140" s="216" t="s">
        <v>1328</v>
      </c>
      <c r="B1140" s="218" t="s">
        <v>48</v>
      </c>
      <c r="C1140" s="220" t="s">
        <v>5122</v>
      </c>
      <c r="D1140" s="220" t="s">
        <v>59</v>
      </c>
      <c r="E1140" s="165">
        <v>1696</v>
      </c>
    </row>
    <row r="1141" spans="1:5" x14ac:dyDescent="0.25">
      <c r="A1141" s="216" t="s">
        <v>1886</v>
      </c>
      <c r="B1141" s="218">
        <v>1</v>
      </c>
      <c r="C1141" s="220" t="s">
        <v>1887</v>
      </c>
      <c r="D1141" s="220" t="s">
        <v>130</v>
      </c>
      <c r="E1141" s="165">
        <v>1690</v>
      </c>
    </row>
    <row r="1142" spans="1:5" x14ac:dyDescent="0.25">
      <c r="A1142" s="216" t="s">
        <v>1779</v>
      </c>
      <c r="B1142" s="218">
        <v>1</v>
      </c>
      <c r="C1142" s="220" t="s">
        <v>1780</v>
      </c>
      <c r="D1142" s="220" t="s">
        <v>201</v>
      </c>
      <c r="E1142" s="165">
        <v>1681</v>
      </c>
    </row>
    <row r="1143" spans="1:5" x14ac:dyDescent="0.25">
      <c r="A1143" s="216" t="s">
        <v>1900</v>
      </c>
      <c r="B1143" s="218">
        <v>1</v>
      </c>
      <c r="C1143" s="220" t="s">
        <v>810</v>
      </c>
      <c r="D1143" s="220" t="s">
        <v>394</v>
      </c>
      <c r="E1143" s="165">
        <v>1679</v>
      </c>
    </row>
    <row r="1144" spans="1:5" x14ac:dyDescent="0.25">
      <c r="A1144" s="216" t="s">
        <v>1943</v>
      </c>
      <c r="B1144" s="218">
        <v>1</v>
      </c>
      <c r="C1144" s="220" t="s">
        <v>477</v>
      </c>
      <c r="D1144" s="220" t="s">
        <v>56</v>
      </c>
      <c r="E1144" s="165">
        <v>1674</v>
      </c>
    </row>
    <row r="1145" spans="1:5" x14ac:dyDescent="0.25">
      <c r="A1145" s="216" t="s">
        <v>1790</v>
      </c>
      <c r="B1145" s="218" t="s">
        <v>48</v>
      </c>
      <c r="C1145" s="220" t="s">
        <v>1405</v>
      </c>
      <c r="D1145" s="220" t="s">
        <v>710</v>
      </c>
      <c r="E1145" s="165">
        <v>1671</v>
      </c>
    </row>
    <row r="1146" spans="1:5" x14ac:dyDescent="0.25">
      <c r="A1146" s="216" t="s">
        <v>1858</v>
      </c>
      <c r="B1146" s="218">
        <v>1</v>
      </c>
      <c r="C1146" s="220" t="s">
        <v>626</v>
      </c>
      <c r="D1146" s="220" t="s">
        <v>56</v>
      </c>
      <c r="E1146" s="165">
        <v>1668</v>
      </c>
    </row>
    <row r="1147" spans="1:5" x14ac:dyDescent="0.25">
      <c r="A1147" s="216" t="s">
        <v>1808</v>
      </c>
      <c r="B1147" s="218">
        <v>1</v>
      </c>
      <c r="C1147" s="220" t="s">
        <v>1006</v>
      </c>
      <c r="D1147" s="220" t="s">
        <v>277</v>
      </c>
      <c r="E1147" s="165">
        <v>1668</v>
      </c>
    </row>
    <row r="1148" spans="1:5" x14ac:dyDescent="0.25">
      <c r="A1148" s="216" t="s">
        <v>1881</v>
      </c>
      <c r="B1148" s="218">
        <v>1</v>
      </c>
      <c r="C1148" s="220" t="s">
        <v>1882</v>
      </c>
      <c r="D1148" s="220" t="s">
        <v>66</v>
      </c>
      <c r="E1148" s="165">
        <v>1657</v>
      </c>
    </row>
    <row r="1149" spans="1:5" x14ac:dyDescent="0.25">
      <c r="A1149" s="216" t="s">
        <v>1750</v>
      </c>
      <c r="B1149" s="218" t="s">
        <v>48</v>
      </c>
      <c r="C1149" s="220" t="s">
        <v>1751</v>
      </c>
      <c r="D1149" s="220" t="s">
        <v>108</v>
      </c>
      <c r="E1149" s="165">
        <v>1654</v>
      </c>
    </row>
    <row r="1150" spans="1:5" x14ac:dyDescent="0.25">
      <c r="A1150" s="216" t="s">
        <v>1910</v>
      </c>
      <c r="B1150" s="218">
        <v>1</v>
      </c>
      <c r="C1150" s="220" t="s">
        <v>11009</v>
      </c>
      <c r="D1150" s="220" t="s">
        <v>188</v>
      </c>
      <c r="E1150" s="165">
        <v>1653</v>
      </c>
    </row>
    <row r="1151" spans="1:5" x14ac:dyDescent="0.25">
      <c r="A1151" s="216" t="s">
        <v>1863</v>
      </c>
      <c r="B1151" s="218">
        <v>1</v>
      </c>
      <c r="C1151" s="220" t="s">
        <v>1864</v>
      </c>
      <c r="D1151" s="220" t="s">
        <v>78</v>
      </c>
      <c r="E1151" s="165">
        <v>1650</v>
      </c>
    </row>
    <row r="1152" spans="1:5" x14ac:dyDescent="0.25">
      <c r="A1152" s="216" t="s">
        <v>1866</v>
      </c>
      <c r="B1152" s="218">
        <v>1</v>
      </c>
      <c r="C1152" s="220" t="s">
        <v>77</v>
      </c>
      <c r="D1152" s="220" t="s">
        <v>78</v>
      </c>
      <c r="E1152" s="165">
        <v>1650</v>
      </c>
    </row>
    <row r="1153" spans="1:5" x14ac:dyDescent="0.25">
      <c r="A1153" s="216" t="s">
        <v>1934</v>
      </c>
      <c r="B1153" s="218" t="s">
        <v>48</v>
      </c>
      <c r="C1153" s="220" t="s">
        <v>470</v>
      </c>
      <c r="D1153" s="220" t="s">
        <v>108</v>
      </c>
      <c r="E1153" s="165">
        <v>1650</v>
      </c>
    </row>
    <row r="1154" spans="1:5" x14ac:dyDescent="0.25">
      <c r="A1154" s="216" t="s">
        <v>2910</v>
      </c>
      <c r="B1154" s="218" t="s">
        <v>48</v>
      </c>
      <c r="C1154" s="220" t="s">
        <v>473</v>
      </c>
      <c r="D1154" s="220" t="s">
        <v>82</v>
      </c>
      <c r="E1154" s="165">
        <v>1650</v>
      </c>
    </row>
    <row r="1155" spans="1:5" x14ac:dyDescent="0.25">
      <c r="A1155" s="216" t="s">
        <v>2063</v>
      </c>
      <c r="B1155" s="218" t="s">
        <v>48</v>
      </c>
      <c r="C1155" s="220" t="s">
        <v>58</v>
      </c>
      <c r="D1155" s="220" t="s">
        <v>59</v>
      </c>
      <c r="E1155" s="165">
        <v>1648</v>
      </c>
    </row>
    <row r="1156" spans="1:5" x14ac:dyDescent="0.25">
      <c r="A1156" s="216" t="s">
        <v>1904</v>
      </c>
      <c r="B1156" s="218">
        <v>1</v>
      </c>
      <c r="C1156" s="220" t="s">
        <v>768</v>
      </c>
      <c r="D1156" s="220" t="s">
        <v>264</v>
      </c>
      <c r="E1156" s="165">
        <v>1648</v>
      </c>
    </row>
    <row r="1157" spans="1:5" x14ac:dyDescent="0.25">
      <c r="A1157" s="216" t="s">
        <v>1908</v>
      </c>
      <c r="B1157" s="218">
        <v>1</v>
      </c>
      <c r="C1157" s="220" t="s">
        <v>1909</v>
      </c>
      <c r="D1157" s="220" t="s">
        <v>56</v>
      </c>
      <c r="E1157" s="165">
        <v>1648</v>
      </c>
    </row>
    <row r="1158" spans="1:5" x14ac:dyDescent="0.25">
      <c r="A1158" s="216" t="s">
        <v>1979</v>
      </c>
      <c r="B1158" s="218" t="s">
        <v>48</v>
      </c>
      <c r="C1158" s="220" t="s">
        <v>1157</v>
      </c>
      <c r="D1158" s="220" t="s">
        <v>206</v>
      </c>
      <c r="E1158" s="165">
        <v>1645</v>
      </c>
    </row>
    <row r="1159" spans="1:5" x14ac:dyDescent="0.25">
      <c r="A1159" s="216" t="s">
        <v>2111</v>
      </c>
      <c r="B1159" s="218">
        <v>1</v>
      </c>
      <c r="C1159" s="220" t="s">
        <v>560</v>
      </c>
      <c r="D1159" s="220" t="s">
        <v>56</v>
      </c>
      <c r="E1159" s="165">
        <v>1641</v>
      </c>
    </row>
    <row r="1160" spans="1:5" x14ac:dyDescent="0.25">
      <c r="A1160" s="216" t="s">
        <v>1739</v>
      </c>
      <c r="B1160" s="218">
        <v>1</v>
      </c>
      <c r="C1160" s="220" t="s">
        <v>1740</v>
      </c>
      <c r="D1160" s="220" t="s">
        <v>87</v>
      </c>
      <c r="E1160" s="165">
        <v>1639</v>
      </c>
    </row>
    <row r="1161" spans="1:5" x14ac:dyDescent="0.25">
      <c r="A1161" s="216" t="s">
        <v>1791</v>
      </c>
      <c r="B1161" s="218" t="s">
        <v>48</v>
      </c>
      <c r="C1161" s="220" t="s">
        <v>1792</v>
      </c>
      <c r="D1161" s="220" t="s">
        <v>56</v>
      </c>
      <c r="E1161" s="165">
        <v>1637</v>
      </c>
    </row>
    <row r="1162" spans="1:5" x14ac:dyDescent="0.25">
      <c r="A1162" s="216" t="s">
        <v>1710</v>
      </c>
      <c r="B1162" s="218">
        <v>1</v>
      </c>
      <c r="C1162" s="220" t="s">
        <v>347</v>
      </c>
      <c r="D1162" s="220" t="s">
        <v>348</v>
      </c>
      <c r="E1162" s="165">
        <v>1633</v>
      </c>
    </row>
    <row r="1163" spans="1:5" x14ac:dyDescent="0.25">
      <c r="A1163" s="216" t="s">
        <v>1806</v>
      </c>
      <c r="B1163" s="218">
        <v>1</v>
      </c>
      <c r="C1163" s="220" t="s">
        <v>1807</v>
      </c>
      <c r="D1163" s="220" t="s">
        <v>222</v>
      </c>
      <c r="E1163" s="165">
        <v>1627</v>
      </c>
    </row>
    <row r="1164" spans="1:5" x14ac:dyDescent="0.25">
      <c r="A1164" s="216" t="s">
        <v>1726</v>
      </c>
      <c r="B1164" s="218" t="s">
        <v>48</v>
      </c>
      <c r="C1164" s="220" t="s">
        <v>1727</v>
      </c>
      <c r="D1164" s="220" t="s">
        <v>75</v>
      </c>
      <c r="E1164" s="165">
        <v>1627</v>
      </c>
    </row>
    <row r="1165" spans="1:5" x14ac:dyDescent="0.25">
      <c r="A1165" s="216" t="s">
        <v>1681</v>
      </c>
      <c r="B1165" s="218" t="s">
        <v>48</v>
      </c>
      <c r="C1165" s="220" t="s">
        <v>593</v>
      </c>
      <c r="D1165" s="220" t="s">
        <v>206</v>
      </c>
      <c r="E1165" s="165">
        <v>1625</v>
      </c>
    </row>
    <row r="1166" spans="1:5" x14ac:dyDescent="0.25">
      <c r="A1166" s="216" t="s">
        <v>1406</v>
      </c>
      <c r="B1166" s="218" t="s">
        <v>48</v>
      </c>
      <c r="C1166" s="220" t="s">
        <v>681</v>
      </c>
      <c r="D1166" s="220" t="s">
        <v>90</v>
      </c>
      <c r="E1166" s="165">
        <v>1621</v>
      </c>
    </row>
    <row r="1167" spans="1:5" x14ac:dyDescent="0.25">
      <c r="A1167" s="216" t="s">
        <v>384</v>
      </c>
      <c r="B1167" s="218">
        <v>1</v>
      </c>
      <c r="C1167" s="220" t="s">
        <v>385</v>
      </c>
      <c r="D1167" s="220" t="s">
        <v>192</v>
      </c>
      <c r="E1167" s="165">
        <v>1620</v>
      </c>
    </row>
    <row r="1168" spans="1:5" x14ac:dyDescent="0.25">
      <c r="A1168" s="216" t="s">
        <v>1952</v>
      </c>
      <c r="B1168" s="218" t="s">
        <v>48</v>
      </c>
      <c r="C1168" s="220" t="s">
        <v>1953</v>
      </c>
      <c r="D1168" s="220" t="s">
        <v>50</v>
      </c>
      <c r="E1168" s="165">
        <v>1620</v>
      </c>
    </row>
    <row r="1169" spans="1:5" x14ac:dyDescent="0.25">
      <c r="A1169" s="216" t="s">
        <v>1820</v>
      </c>
      <c r="B1169" s="218" t="s">
        <v>48</v>
      </c>
      <c r="C1169" s="220" t="s">
        <v>1821</v>
      </c>
      <c r="D1169" s="220" t="s">
        <v>56</v>
      </c>
      <c r="E1169" s="165">
        <v>1620</v>
      </c>
    </row>
    <row r="1170" spans="1:5" x14ac:dyDescent="0.25">
      <c r="A1170" s="216" t="s">
        <v>1917</v>
      </c>
      <c r="B1170" s="218">
        <v>1</v>
      </c>
      <c r="C1170" s="220" t="s">
        <v>65</v>
      </c>
      <c r="D1170" s="220" t="s">
        <v>66</v>
      </c>
      <c r="E1170" s="165">
        <v>1616</v>
      </c>
    </row>
    <row r="1171" spans="1:5" x14ac:dyDescent="0.25">
      <c r="A1171" s="216" t="s">
        <v>1735</v>
      </c>
      <c r="B1171" s="218">
        <v>1</v>
      </c>
      <c r="C1171" s="220" t="s">
        <v>279</v>
      </c>
      <c r="D1171" s="220" t="s">
        <v>127</v>
      </c>
      <c r="E1171" s="165">
        <v>1616</v>
      </c>
    </row>
    <row r="1172" spans="1:5" x14ac:dyDescent="0.25">
      <c r="A1172" s="216" t="s">
        <v>1896</v>
      </c>
      <c r="B1172" s="218">
        <v>1</v>
      </c>
      <c r="C1172" s="220" t="s">
        <v>1418</v>
      </c>
      <c r="D1172" s="220" t="s">
        <v>188</v>
      </c>
      <c r="E1172" s="165">
        <v>1609</v>
      </c>
    </row>
    <row r="1173" spans="1:5" x14ac:dyDescent="0.25">
      <c r="A1173" s="216" t="s">
        <v>2033</v>
      </c>
      <c r="B1173" s="218">
        <v>1</v>
      </c>
      <c r="C1173" s="220" t="s">
        <v>2034</v>
      </c>
      <c r="D1173" s="220" t="s">
        <v>139</v>
      </c>
      <c r="E1173" s="165">
        <v>1607</v>
      </c>
    </row>
    <row r="1174" spans="1:5" x14ac:dyDescent="0.25">
      <c r="A1174" s="216" t="s">
        <v>1841</v>
      </c>
      <c r="B1174" s="218" t="s">
        <v>48</v>
      </c>
      <c r="C1174" s="220" t="s">
        <v>1842</v>
      </c>
      <c r="D1174" s="220" t="s">
        <v>90</v>
      </c>
      <c r="E1174" s="165">
        <v>1606</v>
      </c>
    </row>
    <row r="1175" spans="1:5" x14ac:dyDescent="0.25">
      <c r="A1175" s="216" t="s">
        <v>1899</v>
      </c>
      <c r="B1175" s="218">
        <v>1</v>
      </c>
      <c r="C1175" s="220" t="s">
        <v>1567</v>
      </c>
      <c r="D1175" s="220" t="s">
        <v>56</v>
      </c>
      <c r="E1175" s="165">
        <v>1605</v>
      </c>
    </row>
    <row r="1176" spans="1:5" x14ac:dyDescent="0.25">
      <c r="A1176" s="216" t="s">
        <v>1901</v>
      </c>
      <c r="B1176" s="218">
        <v>1</v>
      </c>
      <c r="C1176" s="220" t="s">
        <v>1732</v>
      </c>
      <c r="D1176" s="220" t="s">
        <v>56</v>
      </c>
      <c r="E1176" s="165">
        <v>1605</v>
      </c>
    </row>
    <row r="1177" spans="1:5" x14ac:dyDescent="0.25">
      <c r="A1177" s="216" t="s">
        <v>3189</v>
      </c>
      <c r="B1177" s="218" t="s">
        <v>48</v>
      </c>
      <c r="C1177" s="220" t="s">
        <v>3190</v>
      </c>
      <c r="D1177" s="220" t="s">
        <v>75</v>
      </c>
      <c r="E1177" s="165">
        <v>1604</v>
      </c>
    </row>
    <row r="1178" spans="1:5" x14ac:dyDescent="0.25">
      <c r="A1178" s="216" t="s">
        <v>2444</v>
      </c>
      <c r="B1178" s="218" t="s">
        <v>48</v>
      </c>
      <c r="C1178" s="220" t="s">
        <v>2445</v>
      </c>
      <c r="D1178" s="220" t="s">
        <v>56</v>
      </c>
      <c r="E1178" s="165">
        <v>1600</v>
      </c>
    </row>
    <row r="1179" spans="1:5" x14ac:dyDescent="0.25">
      <c r="A1179" s="216" t="s">
        <v>2026</v>
      </c>
      <c r="B1179" s="218" t="s">
        <v>48</v>
      </c>
      <c r="C1179" s="220" t="s">
        <v>845</v>
      </c>
      <c r="D1179" s="220" t="s">
        <v>66</v>
      </c>
      <c r="E1179" s="165">
        <v>1600</v>
      </c>
    </row>
    <row r="1180" spans="1:5" x14ac:dyDescent="0.25">
      <c r="A1180" s="216" t="s">
        <v>2278</v>
      </c>
      <c r="B1180" s="218" t="s">
        <v>48</v>
      </c>
      <c r="C1180" s="220" t="s">
        <v>1017</v>
      </c>
      <c r="D1180" s="220" t="s">
        <v>337</v>
      </c>
      <c r="E1180" s="165">
        <v>1600</v>
      </c>
    </row>
    <row r="1181" spans="1:5" x14ac:dyDescent="0.25">
      <c r="A1181" s="216" t="s">
        <v>2001</v>
      </c>
      <c r="B1181" s="218" t="s">
        <v>48</v>
      </c>
      <c r="C1181" s="220" t="s">
        <v>2002</v>
      </c>
      <c r="D1181" s="220" t="s">
        <v>139</v>
      </c>
      <c r="E1181" s="165">
        <v>1600</v>
      </c>
    </row>
    <row r="1182" spans="1:5" x14ac:dyDescent="0.25">
      <c r="A1182" s="216" t="s">
        <v>1341</v>
      </c>
      <c r="B1182" s="218" t="s">
        <v>48</v>
      </c>
      <c r="C1182" s="220" t="s">
        <v>406</v>
      </c>
      <c r="D1182" s="220" t="s">
        <v>277</v>
      </c>
      <c r="E1182" s="165">
        <v>1600</v>
      </c>
    </row>
    <row r="1183" spans="1:5" x14ac:dyDescent="0.25">
      <c r="A1183" s="216" t="s">
        <v>5300</v>
      </c>
      <c r="B1183" s="218">
        <v>1</v>
      </c>
      <c r="C1183" s="220" t="s">
        <v>1513</v>
      </c>
      <c r="D1183" s="220" t="s">
        <v>188</v>
      </c>
      <c r="E1183" s="165">
        <v>1599</v>
      </c>
    </row>
    <row r="1184" spans="1:5" x14ac:dyDescent="0.25">
      <c r="A1184" s="216" t="s">
        <v>1964</v>
      </c>
      <c r="B1184" s="218">
        <v>1</v>
      </c>
      <c r="C1184" s="220" t="s">
        <v>1700</v>
      </c>
      <c r="D1184" s="220" t="s">
        <v>337</v>
      </c>
      <c r="E1184" s="165">
        <v>1596</v>
      </c>
    </row>
    <row r="1185" spans="1:5" x14ac:dyDescent="0.25">
      <c r="A1185" s="216" t="s">
        <v>1937</v>
      </c>
      <c r="B1185" s="218" t="s">
        <v>48</v>
      </c>
      <c r="C1185" s="220" t="s">
        <v>1938</v>
      </c>
      <c r="D1185" s="220" t="s">
        <v>78</v>
      </c>
      <c r="E1185" s="165">
        <v>1594</v>
      </c>
    </row>
    <row r="1186" spans="1:5" x14ac:dyDescent="0.25">
      <c r="A1186" s="216" t="s">
        <v>1958</v>
      </c>
      <c r="B1186" s="218" t="s">
        <v>48</v>
      </c>
      <c r="C1186" s="220" t="s">
        <v>1293</v>
      </c>
      <c r="D1186" s="220" t="s">
        <v>166</v>
      </c>
      <c r="E1186" s="165">
        <v>1593</v>
      </c>
    </row>
    <row r="1187" spans="1:5" x14ac:dyDescent="0.25">
      <c r="A1187" s="216" t="s">
        <v>2296</v>
      </c>
      <c r="B1187" s="218" t="s">
        <v>48</v>
      </c>
      <c r="C1187" s="220" t="s">
        <v>2297</v>
      </c>
      <c r="D1187" s="220" t="s">
        <v>78</v>
      </c>
      <c r="E1187" s="165">
        <v>1592</v>
      </c>
    </row>
    <row r="1188" spans="1:5" x14ac:dyDescent="0.25">
      <c r="A1188" s="216" t="s">
        <v>3292</v>
      </c>
      <c r="B1188" s="218">
        <v>1</v>
      </c>
      <c r="C1188" s="220" t="s">
        <v>3293</v>
      </c>
      <c r="D1188" s="220" t="s">
        <v>130</v>
      </c>
      <c r="E1188" s="165">
        <v>1592</v>
      </c>
    </row>
    <row r="1189" spans="1:5" x14ac:dyDescent="0.25">
      <c r="A1189" s="216" t="s">
        <v>1946</v>
      </c>
      <c r="B1189" s="218" t="s">
        <v>48</v>
      </c>
      <c r="C1189" s="220" t="s">
        <v>257</v>
      </c>
      <c r="D1189" s="220" t="s">
        <v>108</v>
      </c>
      <c r="E1189" s="165">
        <v>1589</v>
      </c>
    </row>
    <row r="1190" spans="1:5" x14ac:dyDescent="0.25">
      <c r="A1190" s="216" t="s">
        <v>4054</v>
      </c>
      <c r="B1190" s="218" t="s">
        <v>48</v>
      </c>
      <c r="C1190" s="220" t="s">
        <v>92</v>
      </c>
      <c r="D1190" s="220" t="s">
        <v>93</v>
      </c>
      <c r="E1190" s="165">
        <v>1589</v>
      </c>
    </row>
    <row r="1191" spans="1:5" x14ac:dyDescent="0.25">
      <c r="A1191" s="216" t="s">
        <v>2123</v>
      </c>
      <c r="B1191" s="218" t="s">
        <v>48</v>
      </c>
      <c r="C1191" s="220" t="s">
        <v>285</v>
      </c>
      <c r="D1191" s="220" t="s">
        <v>59</v>
      </c>
      <c r="E1191" s="165">
        <v>1585</v>
      </c>
    </row>
    <row r="1192" spans="1:5" x14ac:dyDescent="0.25">
      <c r="A1192" s="216" t="s">
        <v>1018</v>
      </c>
      <c r="B1192" s="218">
        <v>1</v>
      </c>
      <c r="C1192" s="220" t="s">
        <v>318</v>
      </c>
      <c r="D1192" s="220" t="s">
        <v>172</v>
      </c>
      <c r="E1192" s="165">
        <v>1579</v>
      </c>
    </row>
    <row r="1193" spans="1:5" x14ac:dyDescent="0.25">
      <c r="A1193" s="216" t="s">
        <v>2764</v>
      </c>
      <c r="B1193" s="218" t="s">
        <v>48</v>
      </c>
      <c r="C1193" s="220" t="s">
        <v>2765</v>
      </c>
      <c r="D1193" s="220" t="s">
        <v>337</v>
      </c>
      <c r="E1193" s="165">
        <v>1578</v>
      </c>
    </row>
    <row r="1194" spans="1:5" x14ac:dyDescent="0.25">
      <c r="A1194" s="216" t="s">
        <v>11010</v>
      </c>
      <c r="B1194" s="218">
        <v>1</v>
      </c>
      <c r="C1194" s="220" t="s">
        <v>179</v>
      </c>
      <c r="D1194" s="220" t="s">
        <v>66</v>
      </c>
      <c r="E1194" s="165">
        <v>1575</v>
      </c>
    </row>
    <row r="1195" spans="1:5" x14ac:dyDescent="0.25">
      <c r="A1195" s="216" t="s">
        <v>2093</v>
      </c>
      <c r="B1195" s="218" t="s">
        <v>48</v>
      </c>
      <c r="C1195" s="220" t="s">
        <v>1047</v>
      </c>
      <c r="D1195" s="220" t="s">
        <v>108</v>
      </c>
      <c r="E1195" s="165">
        <v>1575</v>
      </c>
    </row>
    <row r="1196" spans="1:5" x14ac:dyDescent="0.25">
      <c r="A1196" s="216" t="s">
        <v>1850</v>
      </c>
      <c r="B1196" s="218">
        <v>1</v>
      </c>
      <c r="C1196" s="220" t="s">
        <v>1504</v>
      </c>
      <c r="D1196" s="220" t="s">
        <v>523</v>
      </c>
      <c r="E1196" s="165">
        <v>1571</v>
      </c>
    </row>
    <row r="1197" spans="1:5" x14ac:dyDescent="0.25">
      <c r="A1197" s="216" t="s">
        <v>2729</v>
      </c>
      <c r="B1197" s="218" t="s">
        <v>48</v>
      </c>
      <c r="C1197" s="220" t="s">
        <v>350</v>
      </c>
      <c r="D1197" s="220" t="s">
        <v>69</v>
      </c>
      <c r="E1197" s="165">
        <v>1570</v>
      </c>
    </row>
    <row r="1198" spans="1:5" x14ac:dyDescent="0.25">
      <c r="A1198" s="216" t="s">
        <v>11011</v>
      </c>
      <c r="B1198" s="218" t="s">
        <v>48</v>
      </c>
      <c r="C1198" s="220" t="s">
        <v>5503</v>
      </c>
      <c r="D1198" s="220" t="s">
        <v>50</v>
      </c>
      <c r="E1198" s="165">
        <v>1564</v>
      </c>
    </row>
    <row r="1199" spans="1:5" x14ac:dyDescent="0.25">
      <c r="A1199" s="216" t="s">
        <v>2185</v>
      </c>
      <c r="B1199" s="218" t="s">
        <v>48</v>
      </c>
      <c r="C1199" s="220" t="s">
        <v>2186</v>
      </c>
      <c r="D1199" s="220" t="s">
        <v>50</v>
      </c>
      <c r="E1199" s="165">
        <v>1563</v>
      </c>
    </row>
    <row r="1200" spans="1:5" x14ac:dyDescent="0.25">
      <c r="A1200" s="216" t="s">
        <v>1531</v>
      </c>
      <c r="B1200" s="218" t="s">
        <v>48</v>
      </c>
      <c r="C1200" s="220" t="s">
        <v>89</v>
      </c>
      <c r="D1200" s="220" t="s">
        <v>90</v>
      </c>
      <c r="E1200" s="165">
        <v>1562</v>
      </c>
    </row>
    <row r="1201" spans="1:5" x14ac:dyDescent="0.25">
      <c r="A1201" s="216" t="s">
        <v>1911</v>
      </c>
      <c r="B1201" s="218" t="s">
        <v>48</v>
      </c>
      <c r="C1201" s="220" t="s">
        <v>1047</v>
      </c>
      <c r="D1201" s="220" t="s">
        <v>56</v>
      </c>
      <c r="E1201" s="165">
        <v>1561</v>
      </c>
    </row>
    <row r="1202" spans="1:5" x14ac:dyDescent="0.25">
      <c r="A1202" s="216" t="s">
        <v>10525</v>
      </c>
      <c r="B1202" s="218" t="s">
        <v>48</v>
      </c>
      <c r="C1202" s="220" t="s">
        <v>135</v>
      </c>
      <c r="D1202" s="220" t="s">
        <v>108</v>
      </c>
      <c r="E1202" s="165">
        <v>1560</v>
      </c>
    </row>
    <row r="1203" spans="1:5" x14ac:dyDescent="0.25">
      <c r="A1203" s="216" t="s">
        <v>3107</v>
      </c>
      <c r="B1203" s="218" t="s">
        <v>48</v>
      </c>
      <c r="C1203" s="220" t="s">
        <v>2121</v>
      </c>
      <c r="D1203" s="220" t="s">
        <v>59</v>
      </c>
      <c r="E1203" s="165">
        <v>1560</v>
      </c>
    </row>
    <row r="1204" spans="1:5" x14ac:dyDescent="0.25">
      <c r="A1204" s="216" t="s">
        <v>1814</v>
      </c>
      <c r="B1204" s="218" t="s">
        <v>48</v>
      </c>
      <c r="C1204" s="220" t="s">
        <v>1815</v>
      </c>
      <c r="D1204" s="220" t="s">
        <v>90</v>
      </c>
      <c r="E1204" s="165">
        <v>1557</v>
      </c>
    </row>
    <row r="1205" spans="1:5" x14ac:dyDescent="0.25">
      <c r="A1205" s="216" t="s">
        <v>1561</v>
      </c>
      <c r="B1205" s="218">
        <v>1</v>
      </c>
      <c r="C1205" s="220" t="s">
        <v>1562</v>
      </c>
      <c r="D1205" s="220" t="s">
        <v>201</v>
      </c>
      <c r="E1205" s="165">
        <v>1554</v>
      </c>
    </row>
    <row r="1206" spans="1:5" x14ac:dyDescent="0.25">
      <c r="A1206" s="216" t="s">
        <v>2042</v>
      </c>
      <c r="B1206" s="218" t="s">
        <v>48</v>
      </c>
      <c r="C1206" s="220" t="s">
        <v>406</v>
      </c>
      <c r="D1206" s="220" t="s">
        <v>277</v>
      </c>
      <c r="E1206" s="165">
        <v>1550</v>
      </c>
    </row>
    <row r="1207" spans="1:5" x14ac:dyDescent="0.25">
      <c r="A1207" s="216" t="s">
        <v>11012</v>
      </c>
      <c r="B1207" s="218" t="s">
        <v>48</v>
      </c>
      <c r="C1207" s="220" t="s">
        <v>947</v>
      </c>
      <c r="D1207" s="220" t="s">
        <v>56</v>
      </c>
      <c r="E1207" s="165">
        <v>1550</v>
      </c>
    </row>
    <row r="1208" spans="1:5" x14ac:dyDescent="0.25">
      <c r="A1208" s="216" t="s">
        <v>2018</v>
      </c>
      <c r="B1208" s="218" t="s">
        <v>48</v>
      </c>
      <c r="C1208" s="220" t="s">
        <v>2019</v>
      </c>
      <c r="D1208" s="220" t="s">
        <v>50</v>
      </c>
      <c r="E1208" s="165">
        <v>1550</v>
      </c>
    </row>
    <row r="1209" spans="1:5" x14ac:dyDescent="0.25">
      <c r="A1209" s="216" t="s">
        <v>2501</v>
      </c>
      <c r="B1209" s="218" t="s">
        <v>48</v>
      </c>
      <c r="C1209" s="220" t="s">
        <v>536</v>
      </c>
      <c r="D1209" s="220" t="s">
        <v>56</v>
      </c>
      <c r="E1209" s="165">
        <v>1550</v>
      </c>
    </row>
    <row r="1210" spans="1:5" x14ac:dyDescent="0.25">
      <c r="A1210" s="216" t="s">
        <v>1627</v>
      </c>
      <c r="B1210" s="218">
        <v>1</v>
      </c>
      <c r="C1210" s="220" t="s">
        <v>1628</v>
      </c>
      <c r="D1210" s="220" t="s">
        <v>56</v>
      </c>
      <c r="E1210" s="165">
        <v>1545</v>
      </c>
    </row>
    <row r="1211" spans="1:5" x14ac:dyDescent="0.25">
      <c r="A1211" s="216" t="s">
        <v>2076</v>
      </c>
      <c r="B1211" s="218">
        <v>1</v>
      </c>
      <c r="C1211" s="220" t="s">
        <v>138</v>
      </c>
      <c r="D1211" s="220" t="s">
        <v>139</v>
      </c>
      <c r="E1211" s="165">
        <v>1541</v>
      </c>
    </row>
    <row r="1212" spans="1:5" x14ac:dyDescent="0.25">
      <c r="A1212" s="216" t="s">
        <v>1970</v>
      </c>
      <c r="B1212" s="218" t="s">
        <v>48</v>
      </c>
      <c r="C1212" s="220" t="s">
        <v>1971</v>
      </c>
      <c r="D1212" s="220" t="s">
        <v>142</v>
      </c>
      <c r="E1212" s="165">
        <v>1536</v>
      </c>
    </row>
    <row r="1213" spans="1:5" x14ac:dyDescent="0.25">
      <c r="A1213" s="216" t="s">
        <v>2005</v>
      </c>
      <c r="B1213" s="218" t="s">
        <v>48</v>
      </c>
      <c r="C1213" s="220" t="s">
        <v>289</v>
      </c>
      <c r="D1213" s="220" t="s">
        <v>66</v>
      </c>
      <c r="E1213" s="165">
        <v>1536</v>
      </c>
    </row>
    <row r="1214" spans="1:5" x14ac:dyDescent="0.25">
      <c r="A1214" s="216" t="s">
        <v>1722</v>
      </c>
      <c r="B1214" s="218">
        <v>1</v>
      </c>
      <c r="C1214" s="220" t="s">
        <v>263</v>
      </c>
      <c r="D1214" s="220" t="s">
        <v>264</v>
      </c>
      <c r="E1214" s="165">
        <v>1533</v>
      </c>
    </row>
    <row r="1215" spans="1:5" x14ac:dyDescent="0.25">
      <c r="A1215" s="216" t="s">
        <v>1918</v>
      </c>
      <c r="B1215" s="218">
        <v>1</v>
      </c>
      <c r="C1215" s="220" t="s">
        <v>86</v>
      </c>
      <c r="D1215" s="220" t="s">
        <v>78</v>
      </c>
      <c r="E1215" s="165">
        <v>1532</v>
      </c>
    </row>
    <row r="1216" spans="1:5" x14ac:dyDescent="0.25">
      <c r="A1216" s="216" t="s">
        <v>1786</v>
      </c>
      <c r="B1216" s="218">
        <v>1</v>
      </c>
      <c r="C1216" s="220" t="s">
        <v>735</v>
      </c>
      <c r="D1216" s="220" t="s">
        <v>628</v>
      </c>
      <c r="E1216" s="165">
        <v>1529</v>
      </c>
    </row>
    <row r="1217" spans="1:5" x14ac:dyDescent="0.25">
      <c r="A1217" s="216" t="s">
        <v>1995</v>
      </c>
      <c r="B1217" s="218">
        <v>1</v>
      </c>
      <c r="C1217" s="220" t="s">
        <v>1996</v>
      </c>
      <c r="D1217" s="220" t="s">
        <v>192</v>
      </c>
      <c r="E1217" s="165">
        <v>1527</v>
      </c>
    </row>
    <row r="1218" spans="1:5" x14ac:dyDescent="0.25">
      <c r="A1218" s="216" t="s">
        <v>2099</v>
      </c>
      <c r="B1218" s="218" t="s">
        <v>48</v>
      </c>
      <c r="C1218" s="220" t="s">
        <v>2100</v>
      </c>
      <c r="D1218" s="220" t="s">
        <v>59</v>
      </c>
      <c r="E1218" s="165">
        <v>1527</v>
      </c>
    </row>
    <row r="1219" spans="1:5" x14ac:dyDescent="0.25">
      <c r="A1219" s="216" t="s">
        <v>2016</v>
      </c>
      <c r="B1219" s="218" t="s">
        <v>48</v>
      </c>
      <c r="C1219" s="220" t="s">
        <v>2017</v>
      </c>
      <c r="D1219" s="220" t="s">
        <v>166</v>
      </c>
      <c r="E1219" s="165">
        <v>1524</v>
      </c>
    </row>
    <row r="1220" spans="1:5" x14ac:dyDescent="0.25">
      <c r="A1220" s="216" t="s">
        <v>2357</v>
      </c>
      <c r="B1220" s="218">
        <v>1</v>
      </c>
      <c r="C1220" s="220" t="s">
        <v>2358</v>
      </c>
      <c r="D1220" s="220" t="s">
        <v>139</v>
      </c>
      <c r="E1220" s="165">
        <v>1518</v>
      </c>
    </row>
    <row r="1221" spans="1:5" x14ac:dyDescent="0.25">
      <c r="A1221" s="216" t="s">
        <v>2050</v>
      </c>
      <c r="B1221" s="218">
        <v>1</v>
      </c>
      <c r="C1221" s="220" t="s">
        <v>270</v>
      </c>
      <c r="D1221" s="220" t="s">
        <v>177</v>
      </c>
      <c r="E1221" s="165">
        <v>1517</v>
      </c>
    </row>
    <row r="1222" spans="1:5" x14ac:dyDescent="0.25">
      <c r="A1222" s="216" t="s">
        <v>1800</v>
      </c>
      <c r="B1222" s="218">
        <v>1</v>
      </c>
      <c r="C1222" s="220" t="s">
        <v>1801</v>
      </c>
      <c r="D1222" s="220" t="s">
        <v>1200</v>
      </c>
      <c r="E1222" s="165">
        <v>1513</v>
      </c>
    </row>
    <row r="1223" spans="1:5" x14ac:dyDescent="0.25">
      <c r="A1223" s="216" t="s">
        <v>2243</v>
      </c>
      <c r="B1223" s="218" t="s">
        <v>48</v>
      </c>
      <c r="C1223" s="220" t="s">
        <v>1521</v>
      </c>
      <c r="D1223" s="220" t="s">
        <v>517</v>
      </c>
      <c r="E1223" s="165">
        <v>1511</v>
      </c>
    </row>
    <row r="1224" spans="1:5" x14ac:dyDescent="0.25">
      <c r="A1224" s="216" t="s">
        <v>2072</v>
      </c>
      <c r="B1224" s="218">
        <v>1</v>
      </c>
      <c r="C1224" s="220" t="s">
        <v>2073</v>
      </c>
      <c r="D1224" s="220" t="s">
        <v>56</v>
      </c>
      <c r="E1224" s="165">
        <v>1505</v>
      </c>
    </row>
    <row r="1225" spans="1:5" x14ac:dyDescent="0.25">
      <c r="A1225" s="216" t="s">
        <v>2074</v>
      </c>
      <c r="B1225" s="218">
        <v>1</v>
      </c>
      <c r="C1225" s="220" t="s">
        <v>2075</v>
      </c>
      <c r="D1225" s="220" t="s">
        <v>56</v>
      </c>
      <c r="E1225" s="165">
        <v>1505</v>
      </c>
    </row>
    <row r="1226" spans="1:5" x14ac:dyDescent="0.25">
      <c r="A1226" s="216" t="s">
        <v>2431</v>
      </c>
      <c r="B1226" s="218" t="s">
        <v>48</v>
      </c>
      <c r="C1226" s="220" t="s">
        <v>2432</v>
      </c>
      <c r="D1226" s="220" t="s">
        <v>98</v>
      </c>
      <c r="E1226" s="165">
        <v>1500</v>
      </c>
    </row>
    <row r="1227" spans="1:5" x14ac:dyDescent="0.25">
      <c r="A1227" s="216" t="s">
        <v>2089</v>
      </c>
      <c r="B1227" s="218" t="s">
        <v>48</v>
      </c>
      <c r="C1227" s="220" t="s">
        <v>962</v>
      </c>
      <c r="D1227" s="220" t="s">
        <v>56</v>
      </c>
      <c r="E1227" s="165">
        <v>1500</v>
      </c>
    </row>
    <row r="1228" spans="1:5" x14ac:dyDescent="0.25">
      <c r="A1228" s="216" t="s">
        <v>4026</v>
      </c>
      <c r="B1228" s="218" t="s">
        <v>48</v>
      </c>
      <c r="C1228" s="220" t="s">
        <v>4027</v>
      </c>
      <c r="D1228" s="220" t="s">
        <v>139</v>
      </c>
      <c r="E1228" s="165">
        <v>1500</v>
      </c>
    </row>
    <row r="1229" spans="1:5" x14ac:dyDescent="0.25">
      <c r="A1229" s="216" t="s">
        <v>2361</v>
      </c>
      <c r="B1229" s="218" t="s">
        <v>48</v>
      </c>
      <c r="C1229" s="220" t="s">
        <v>879</v>
      </c>
      <c r="D1229" s="220" t="s">
        <v>337</v>
      </c>
      <c r="E1229" s="165">
        <v>1500</v>
      </c>
    </row>
    <row r="1230" spans="1:5" x14ac:dyDescent="0.25">
      <c r="A1230" s="216" t="s">
        <v>2205</v>
      </c>
      <c r="B1230" s="218" t="s">
        <v>48</v>
      </c>
      <c r="C1230" s="220" t="s">
        <v>2206</v>
      </c>
      <c r="D1230" s="220" t="s">
        <v>192</v>
      </c>
      <c r="E1230" s="165">
        <v>1500</v>
      </c>
    </row>
    <row r="1231" spans="1:5" x14ac:dyDescent="0.25">
      <c r="A1231" s="216" t="s">
        <v>1993</v>
      </c>
      <c r="B1231" s="218" t="s">
        <v>48</v>
      </c>
      <c r="C1231" s="220" t="s">
        <v>1994</v>
      </c>
      <c r="D1231" s="220" t="s">
        <v>56</v>
      </c>
      <c r="E1231" s="165">
        <v>1500</v>
      </c>
    </row>
    <row r="1232" spans="1:5" x14ac:dyDescent="0.25">
      <c r="A1232" s="216" t="s">
        <v>1552</v>
      </c>
      <c r="B1232" s="218" t="s">
        <v>48</v>
      </c>
      <c r="C1232" s="220" t="s">
        <v>1553</v>
      </c>
      <c r="D1232" s="220" t="s">
        <v>93</v>
      </c>
      <c r="E1232" s="165">
        <v>1500</v>
      </c>
    </row>
    <row r="1233" spans="1:5" x14ac:dyDescent="0.25">
      <c r="A1233" s="216" t="s">
        <v>975</v>
      </c>
      <c r="B1233" s="218" t="s">
        <v>48</v>
      </c>
      <c r="C1233" s="220" t="s">
        <v>976</v>
      </c>
      <c r="D1233" s="220" t="s">
        <v>130</v>
      </c>
      <c r="E1233" s="165">
        <v>1500</v>
      </c>
    </row>
    <row r="1234" spans="1:5" x14ac:dyDescent="0.25">
      <c r="A1234" s="216" t="s">
        <v>11013</v>
      </c>
      <c r="B1234" s="218" t="s">
        <v>48</v>
      </c>
      <c r="C1234" s="220" t="s">
        <v>777</v>
      </c>
      <c r="D1234" s="220" t="s">
        <v>56</v>
      </c>
      <c r="E1234" s="165">
        <v>1500</v>
      </c>
    </row>
    <row r="1235" spans="1:5" x14ac:dyDescent="0.25">
      <c r="A1235" s="216" t="s">
        <v>2181</v>
      </c>
      <c r="B1235" s="218" t="s">
        <v>48</v>
      </c>
      <c r="C1235" s="220" t="s">
        <v>1478</v>
      </c>
      <c r="D1235" s="220" t="s">
        <v>142</v>
      </c>
      <c r="E1235" s="165">
        <v>1500</v>
      </c>
    </row>
    <row r="1236" spans="1:5" x14ac:dyDescent="0.25">
      <c r="A1236" s="216" t="s">
        <v>2044</v>
      </c>
      <c r="B1236" s="218" t="s">
        <v>48</v>
      </c>
      <c r="C1236" s="220" t="s">
        <v>665</v>
      </c>
      <c r="D1236" s="220" t="s">
        <v>188</v>
      </c>
      <c r="E1236" s="165">
        <v>1500</v>
      </c>
    </row>
    <row r="1237" spans="1:5" x14ac:dyDescent="0.25">
      <c r="A1237" s="216" t="s">
        <v>1828</v>
      </c>
      <c r="B1237" s="218">
        <v>1</v>
      </c>
      <c r="C1237" s="220" t="s">
        <v>1829</v>
      </c>
      <c r="D1237" s="220" t="s">
        <v>139</v>
      </c>
      <c r="E1237" s="165">
        <v>1498</v>
      </c>
    </row>
    <row r="1238" spans="1:5" x14ac:dyDescent="0.25">
      <c r="A1238" s="216" t="s">
        <v>1987</v>
      </c>
      <c r="B1238" s="218">
        <v>1</v>
      </c>
      <c r="C1238" s="220" t="s">
        <v>1988</v>
      </c>
      <c r="D1238" s="220" t="s">
        <v>56</v>
      </c>
      <c r="E1238" s="165">
        <v>1498</v>
      </c>
    </row>
    <row r="1239" spans="1:5" x14ac:dyDescent="0.25">
      <c r="A1239" s="216" t="s">
        <v>2534</v>
      </c>
      <c r="B1239" s="218" t="s">
        <v>48</v>
      </c>
      <c r="C1239" s="220" t="s">
        <v>2535</v>
      </c>
      <c r="D1239" s="220" t="s">
        <v>75</v>
      </c>
      <c r="E1239" s="165">
        <v>1497</v>
      </c>
    </row>
    <row r="1240" spans="1:5" x14ac:dyDescent="0.25">
      <c r="A1240" s="216" t="s">
        <v>2452</v>
      </c>
      <c r="B1240" s="218" t="s">
        <v>48</v>
      </c>
      <c r="C1240" s="220" t="s">
        <v>2453</v>
      </c>
      <c r="D1240" s="220" t="s">
        <v>93</v>
      </c>
      <c r="E1240" s="165">
        <v>1495</v>
      </c>
    </row>
    <row r="1241" spans="1:5" x14ac:dyDescent="0.25">
      <c r="A1241" s="216" t="s">
        <v>2134</v>
      </c>
      <c r="B1241" s="218">
        <v>1</v>
      </c>
      <c r="C1241" s="220" t="s">
        <v>522</v>
      </c>
      <c r="D1241" s="220" t="s">
        <v>523</v>
      </c>
      <c r="E1241" s="165">
        <v>1495</v>
      </c>
    </row>
    <row r="1242" spans="1:5" x14ac:dyDescent="0.25">
      <c r="A1242" s="216" t="s">
        <v>2191</v>
      </c>
      <c r="B1242" s="218" t="s">
        <v>48</v>
      </c>
      <c r="C1242" s="220" t="s">
        <v>404</v>
      </c>
      <c r="D1242" s="220" t="s">
        <v>277</v>
      </c>
      <c r="E1242" s="165">
        <v>1494</v>
      </c>
    </row>
    <row r="1243" spans="1:5" x14ac:dyDescent="0.25">
      <c r="A1243" s="216" t="s">
        <v>1824</v>
      </c>
      <c r="B1243" s="218">
        <v>1</v>
      </c>
      <c r="C1243" s="220" t="s">
        <v>647</v>
      </c>
      <c r="D1243" s="220" t="s">
        <v>236</v>
      </c>
      <c r="E1243" s="165">
        <v>1493</v>
      </c>
    </row>
    <row r="1244" spans="1:5" x14ac:dyDescent="0.25">
      <c r="A1244" s="216" t="s">
        <v>2570</v>
      </c>
      <c r="B1244" s="218">
        <v>1</v>
      </c>
      <c r="C1244" s="220" t="s">
        <v>86</v>
      </c>
      <c r="D1244" s="220" t="s">
        <v>87</v>
      </c>
      <c r="E1244" s="165">
        <v>1493</v>
      </c>
    </row>
    <row r="1245" spans="1:5" x14ac:dyDescent="0.25">
      <c r="A1245" s="216" t="s">
        <v>2020</v>
      </c>
      <c r="B1245" s="218">
        <v>1</v>
      </c>
      <c r="C1245" s="220" t="s">
        <v>2021</v>
      </c>
      <c r="D1245" s="220" t="s">
        <v>66</v>
      </c>
      <c r="E1245" s="165">
        <v>1492</v>
      </c>
    </row>
    <row r="1246" spans="1:5" x14ac:dyDescent="0.25">
      <c r="A1246" s="216" t="s">
        <v>1743</v>
      </c>
      <c r="B1246" s="218">
        <v>1</v>
      </c>
      <c r="C1246" s="220" t="s">
        <v>259</v>
      </c>
      <c r="D1246" s="220" t="s">
        <v>50</v>
      </c>
      <c r="E1246" s="165">
        <v>1492</v>
      </c>
    </row>
    <row r="1247" spans="1:5" x14ac:dyDescent="0.25">
      <c r="A1247" s="216" t="s">
        <v>2617</v>
      </c>
      <c r="B1247" s="218">
        <v>1</v>
      </c>
      <c r="C1247" s="220" t="s">
        <v>2618</v>
      </c>
      <c r="D1247" s="220" t="s">
        <v>118</v>
      </c>
      <c r="E1247" s="165">
        <v>1492</v>
      </c>
    </row>
    <row r="1248" spans="1:5" x14ac:dyDescent="0.25">
      <c r="A1248" s="216" t="s">
        <v>1421</v>
      </c>
      <c r="B1248" s="218">
        <v>1</v>
      </c>
      <c r="C1248" s="220" t="s">
        <v>768</v>
      </c>
      <c r="D1248" s="220" t="s">
        <v>201</v>
      </c>
      <c r="E1248" s="165">
        <v>1491</v>
      </c>
    </row>
    <row r="1249" spans="1:5" x14ac:dyDescent="0.25">
      <c r="A1249" s="216" t="s">
        <v>2048</v>
      </c>
      <c r="B1249" s="218">
        <v>1</v>
      </c>
      <c r="C1249" s="220" t="s">
        <v>2049</v>
      </c>
      <c r="D1249" s="220" t="s">
        <v>63</v>
      </c>
      <c r="E1249" s="165">
        <v>1489</v>
      </c>
    </row>
    <row r="1250" spans="1:5" x14ac:dyDescent="0.25">
      <c r="A1250" s="216" t="s">
        <v>2387</v>
      </c>
      <c r="B1250" s="218">
        <v>1</v>
      </c>
      <c r="C1250" s="220" t="s">
        <v>138</v>
      </c>
      <c r="D1250" s="220" t="s">
        <v>139</v>
      </c>
      <c r="E1250" s="165">
        <v>1487</v>
      </c>
    </row>
    <row r="1251" spans="1:5" x14ac:dyDescent="0.25">
      <c r="A1251" s="216" t="s">
        <v>2710</v>
      </c>
      <c r="B1251" s="218" t="s">
        <v>48</v>
      </c>
      <c r="C1251" s="220" t="s">
        <v>2711</v>
      </c>
      <c r="D1251" s="220" t="s">
        <v>53</v>
      </c>
      <c r="E1251" s="165">
        <v>1487</v>
      </c>
    </row>
    <row r="1252" spans="1:5" x14ac:dyDescent="0.25">
      <c r="A1252" s="216" t="s">
        <v>2794</v>
      </c>
      <c r="B1252" s="218" t="s">
        <v>48</v>
      </c>
      <c r="C1252" s="220" t="s">
        <v>2324</v>
      </c>
      <c r="D1252" s="220" t="s">
        <v>56</v>
      </c>
      <c r="E1252" s="165">
        <v>1485</v>
      </c>
    </row>
    <row r="1253" spans="1:5" x14ac:dyDescent="0.25">
      <c r="A1253" s="216" t="s">
        <v>2326</v>
      </c>
      <c r="B1253" s="218" t="s">
        <v>48</v>
      </c>
      <c r="C1253" s="220" t="s">
        <v>2327</v>
      </c>
      <c r="D1253" s="220" t="s">
        <v>108</v>
      </c>
      <c r="E1253" s="165">
        <v>1484</v>
      </c>
    </row>
    <row r="1254" spans="1:5" x14ac:dyDescent="0.25">
      <c r="A1254" s="216" t="s">
        <v>2228</v>
      </c>
      <c r="B1254" s="218" t="s">
        <v>48</v>
      </c>
      <c r="C1254" s="220" t="s">
        <v>1287</v>
      </c>
      <c r="D1254" s="220" t="s">
        <v>710</v>
      </c>
      <c r="E1254" s="165">
        <v>1480</v>
      </c>
    </row>
    <row r="1255" spans="1:5" x14ac:dyDescent="0.25">
      <c r="A1255" s="216" t="s">
        <v>1878</v>
      </c>
      <c r="B1255" s="218" t="s">
        <v>48</v>
      </c>
      <c r="C1255" s="220" t="s">
        <v>1879</v>
      </c>
      <c r="D1255" s="220" t="s">
        <v>130</v>
      </c>
      <c r="E1255" s="165">
        <v>1479</v>
      </c>
    </row>
    <row r="1256" spans="1:5" x14ac:dyDescent="0.25">
      <c r="A1256" s="216" t="s">
        <v>1671</v>
      </c>
      <c r="B1256" s="218" t="s">
        <v>48</v>
      </c>
      <c r="C1256" s="220" t="s">
        <v>285</v>
      </c>
      <c r="D1256" s="220" t="s">
        <v>59</v>
      </c>
      <c r="E1256" s="165">
        <v>1479</v>
      </c>
    </row>
    <row r="1257" spans="1:5" x14ac:dyDescent="0.25">
      <c r="A1257" s="216" t="s">
        <v>2174</v>
      </c>
      <c r="B1257" s="218" t="s">
        <v>48</v>
      </c>
      <c r="C1257" s="220" t="s">
        <v>2175</v>
      </c>
      <c r="D1257" s="220" t="s">
        <v>53</v>
      </c>
      <c r="E1257" s="165">
        <v>1472</v>
      </c>
    </row>
    <row r="1258" spans="1:5" x14ac:dyDescent="0.25">
      <c r="A1258" s="216" t="s">
        <v>1956</v>
      </c>
      <c r="B1258" s="218">
        <v>1</v>
      </c>
      <c r="C1258" s="220" t="s">
        <v>1957</v>
      </c>
      <c r="D1258" s="220" t="s">
        <v>166</v>
      </c>
      <c r="E1258" s="165">
        <v>1469</v>
      </c>
    </row>
    <row r="1259" spans="1:5" x14ac:dyDescent="0.25">
      <c r="A1259" s="216" t="s">
        <v>2115</v>
      </c>
      <c r="B1259" s="218">
        <v>1</v>
      </c>
      <c r="C1259" s="220" t="s">
        <v>483</v>
      </c>
      <c r="D1259" s="220" t="s">
        <v>56</v>
      </c>
      <c r="E1259" s="165">
        <v>1468</v>
      </c>
    </row>
    <row r="1260" spans="1:5" x14ac:dyDescent="0.25">
      <c r="A1260" s="216" t="s">
        <v>3161</v>
      </c>
      <c r="B1260" s="218" t="s">
        <v>48</v>
      </c>
      <c r="C1260" s="220" t="s">
        <v>3162</v>
      </c>
      <c r="D1260" s="220" t="s">
        <v>192</v>
      </c>
      <c r="E1260" s="165">
        <v>1468</v>
      </c>
    </row>
    <row r="1261" spans="1:5" x14ac:dyDescent="0.25">
      <c r="A1261" s="216" t="s">
        <v>1770</v>
      </c>
      <c r="B1261" s="218">
        <v>1</v>
      </c>
      <c r="C1261" s="220" t="s">
        <v>1712</v>
      </c>
      <c r="D1261" s="220" t="s">
        <v>277</v>
      </c>
      <c r="E1261" s="165">
        <v>1468</v>
      </c>
    </row>
    <row r="1262" spans="1:5" x14ac:dyDescent="0.25">
      <c r="A1262" s="216" t="s">
        <v>2427</v>
      </c>
      <c r="B1262" s="218">
        <v>1</v>
      </c>
      <c r="C1262" s="220" t="s">
        <v>2428</v>
      </c>
      <c r="D1262" s="220" t="s">
        <v>523</v>
      </c>
      <c r="E1262" s="165">
        <v>1467</v>
      </c>
    </row>
    <row r="1263" spans="1:5" x14ac:dyDescent="0.25">
      <c r="A1263" s="216" t="s">
        <v>2350</v>
      </c>
      <c r="B1263" s="218" t="s">
        <v>48</v>
      </c>
      <c r="C1263" s="220" t="s">
        <v>2351</v>
      </c>
      <c r="D1263" s="220" t="s">
        <v>206</v>
      </c>
      <c r="E1263" s="165">
        <v>1464</v>
      </c>
    </row>
    <row r="1264" spans="1:5" x14ac:dyDescent="0.25">
      <c r="A1264" s="216" t="s">
        <v>2318</v>
      </c>
      <c r="B1264" s="218">
        <v>1</v>
      </c>
      <c r="C1264" s="220" t="s">
        <v>2165</v>
      </c>
      <c r="D1264" s="220" t="s">
        <v>63</v>
      </c>
      <c r="E1264" s="165">
        <v>1464</v>
      </c>
    </row>
    <row r="1265" spans="1:6" x14ac:dyDescent="0.25">
      <c r="A1265" s="216" t="s">
        <v>2230</v>
      </c>
      <c r="B1265" s="218" t="s">
        <v>48</v>
      </c>
      <c r="C1265" s="220" t="s">
        <v>65</v>
      </c>
      <c r="D1265" s="220" t="s">
        <v>66</v>
      </c>
      <c r="E1265" s="165">
        <v>1463</v>
      </c>
    </row>
    <row r="1266" spans="1:6" x14ac:dyDescent="0.25">
      <c r="A1266" s="216" t="s">
        <v>2139</v>
      </c>
      <c r="B1266" s="218" t="s">
        <v>48</v>
      </c>
      <c r="C1266" s="220" t="s">
        <v>257</v>
      </c>
      <c r="D1266" s="220" t="s">
        <v>108</v>
      </c>
      <c r="E1266" s="165">
        <v>1460</v>
      </c>
    </row>
    <row r="1267" spans="1:6" x14ac:dyDescent="0.25">
      <c r="A1267" s="216" t="s">
        <v>2254</v>
      </c>
      <c r="B1267" s="218" t="s">
        <v>48</v>
      </c>
      <c r="C1267" s="220" t="s">
        <v>144</v>
      </c>
      <c r="D1267" s="220" t="s">
        <v>59</v>
      </c>
      <c r="E1267" s="165">
        <v>1450</v>
      </c>
    </row>
    <row r="1268" spans="1:6" x14ac:dyDescent="0.25">
      <c r="A1268" s="216" t="s">
        <v>2362</v>
      </c>
      <c r="B1268" s="218" t="s">
        <v>48</v>
      </c>
      <c r="C1268" s="220" t="s">
        <v>251</v>
      </c>
      <c r="D1268" s="220" t="s">
        <v>98</v>
      </c>
      <c r="E1268" s="165">
        <v>1450</v>
      </c>
    </row>
    <row r="1269" spans="1:6" x14ac:dyDescent="0.25">
      <c r="A1269" s="216" t="s">
        <v>1869</v>
      </c>
      <c r="B1269" s="218" t="s">
        <v>48</v>
      </c>
      <c r="C1269" s="220" t="s">
        <v>1870</v>
      </c>
      <c r="D1269" s="220" t="s">
        <v>108</v>
      </c>
      <c r="E1269" s="165">
        <v>1449</v>
      </c>
    </row>
    <row r="1270" spans="1:6" x14ac:dyDescent="0.25">
      <c r="A1270" s="216" t="s">
        <v>2030</v>
      </c>
      <c r="B1270" s="218" t="s">
        <v>48</v>
      </c>
      <c r="C1270" s="220" t="s">
        <v>89</v>
      </c>
      <c r="D1270" s="220" t="s">
        <v>90</v>
      </c>
      <c r="E1270" s="165">
        <v>1447</v>
      </c>
    </row>
    <row r="1271" spans="1:6" x14ac:dyDescent="0.25">
      <c r="A1271" s="216" t="s">
        <v>2097</v>
      </c>
      <c r="B1271" s="218">
        <v>1</v>
      </c>
      <c r="C1271" s="220" t="s">
        <v>2098</v>
      </c>
      <c r="D1271" s="220" t="s">
        <v>63</v>
      </c>
      <c r="E1271" s="165">
        <v>1446</v>
      </c>
    </row>
    <row r="1272" spans="1:6" x14ac:dyDescent="0.25">
      <c r="A1272" s="216" t="s">
        <v>2045</v>
      </c>
      <c r="B1272" s="218">
        <v>1</v>
      </c>
      <c r="C1272" s="220" t="s">
        <v>1801</v>
      </c>
      <c r="D1272" s="220" t="s">
        <v>1200</v>
      </c>
      <c r="E1272" s="165">
        <v>1445</v>
      </c>
    </row>
    <row r="1273" spans="1:6" x14ac:dyDescent="0.25">
      <c r="A1273" s="216" t="s">
        <v>1760</v>
      </c>
      <c r="B1273" s="218" t="s">
        <v>48</v>
      </c>
      <c r="C1273" s="220" t="s">
        <v>1761</v>
      </c>
      <c r="D1273" s="220" t="s">
        <v>108</v>
      </c>
      <c r="E1273" s="165">
        <v>1444</v>
      </c>
    </row>
    <row r="1274" spans="1:6" x14ac:dyDescent="0.25">
      <c r="A1274" s="216" t="s">
        <v>2381</v>
      </c>
      <c r="B1274" s="218" t="s">
        <v>48</v>
      </c>
      <c r="C1274" s="220" t="s">
        <v>2382</v>
      </c>
      <c r="D1274" s="220" t="s">
        <v>108</v>
      </c>
      <c r="E1274" s="165">
        <v>1443</v>
      </c>
    </row>
    <row r="1275" spans="1:6" x14ac:dyDescent="0.25">
      <c r="A1275" s="216" t="s">
        <v>2264</v>
      </c>
      <c r="B1275" s="218" t="s">
        <v>48</v>
      </c>
      <c r="C1275" s="220" t="s">
        <v>2265</v>
      </c>
      <c r="D1275" s="220" t="s">
        <v>56</v>
      </c>
      <c r="E1275" s="165">
        <v>1438</v>
      </c>
    </row>
    <row r="1276" spans="1:6" x14ac:dyDescent="0.25">
      <c r="A1276" s="216" t="s">
        <v>2101</v>
      </c>
      <c r="B1276" s="218" t="s">
        <v>48</v>
      </c>
      <c r="C1276" s="220" t="s">
        <v>2102</v>
      </c>
      <c r="D1276" s="220" t="s">
        <v>69</v>
      </c>
      <c r="E1276" s="165">
        <v>1434</v>
      </c>
    </row>
    <row r="1277" spans="1:6" x14ac:dyDescent="0.25">
      <c r="A1277" s="216" t="s">
        <v>1965</v>
      </c>
      <c r="B1277" s="218" t="s">
        <v>48</v>
      </c>
      <c r="C1277" s="220" t="s">
        <v>1500</v>
      </c>
      <c r="D1277" s="220" t="s">
        <v>69</v>
      </c>
      <c r="E1277" s="165">
        <v>1434</v>
      </c>
    </row>
    <row r="1278" spans="1:6" x14ac:dyDescent="0.25">
      <c r="A1278" s="216" t="s">
        <v>2035</v>
      </c>
      <c r="B1278" s="218">
        <v>1</v>
      </c>
      <c r="C1278" s="220" t="s">
        <v>2036</v>
      </c>
      <c r="D1278" s="220" t="s">
        <v>56</v>
      </c>
      <c r="E1278" s="165">
        <v>1433</v>
      </c>
    </row>
    <row r="1279" spans="1:6" x14ac:dyDescent="0.25">
      <c r="A1279" s="216" t="s">
        <v>2202</v>
      </c>
      <c r="B1279" s="218" t="s">
        <v>48</v>
      </c>
      <c r="C1279" s="220" t="s">
        <v>2203</v>
      </c>
      <c r="D1279" s="220" t="s">
        <v>90</v>
      </c>
      <c r="E1279" s="165">
        <v>1432</v>
      </c>
      <c r="F1279" s="113"/>
    </row>
    <row r="1280" spans="1:6" x14ac:dyDescent="0.25">
      <c r="A1280" s="216" t="s">
        <v>2249</v>
      </c>
      <c r="B1280" s="218" t="s">
        <v>48</v>
      </c>
      <c r="C1280" s="220" t="s">
        <v>77</v>
      </c>
      <c r="D1280" s="220" t="s">
        <v>78</v>
      </c>
      <c r="E1280" s="165">
        <v>1429</v>
      </c>
    </row>
    <row r="1281" spans="1:5" x14ac:dyDescent="0.25">
      <c r="A1281" s="216" t="s">
        <v>3777</v>
      </c>
      <c r="B1281" s="218">
        <v>1</v>
      </c>
      <c r="C1281" s="220" t="s">
        <v>274</v>
      </c>
      <c r="D1281" s="220" t="s">
        <v>188</v>
      </c>
      <c r="E1281" s="165">
        <v>1428</v>
      </c>
    </row>
    <row r="1282" spans="1:5" x14ac:dyDescent="0.25">
      <c r="A1282" s="216" t="s">
        <v>2087</v>
      </c>
      <c r="B1282" s="218" t="s">
        <v>48</v>
      </c>
      <c r="C1282" s="220" t="s">
        <v>1391</v>
      </c>
      <c r="D1282" s="220" t="s">
        <v>56</v>
      </c>
      <c r="E1282" s="165">
        <v>1428</v>
      </c>
    </row>
    <row r="1283" spans="1:5" x14ac:dyDescent="0.25">
      <c r="A1283" s="216" t="s">
        <v>2112</v>
      </c>
      <c r="B1283" s="218">
        <v>1</v>
      </c>
      <c r="C1283" s="220" t="s">
        <v>927</v>
      </c>
      <c r="D1283" s="220" t="s">
        <v>63</v>
      </c>
      <c r="E1283" s="165">
        <v>1428</v>
      </c>
    </row>
    <row r="1284" spans="1:5" x14ac:dyDescent="0.25">
      <c r="A1284" s="216" t="s">
        <v>2011</v>
      </c>
      <c r="B1284" s="218">
        <v>1</v>
      </c>
      <c r="C1284" s="220" t="s">
        <v>877</v>
      </c>
      <c r="D1284" s="220" t="s">
        <v>78</v>
      </c>
      <c r="E1284" s="165">
        <v>1428</v>
      </c>
    </row>
    <row r="1285" spans="1:5" x14ac:dyDescent="0.25">
      <c r="A1285" s="216" t="s">
        <v>2037</v>
      </c>
      <c r="B1285" s="218">
        <v>1</v>
      </c>
      <c r="C1285" s="220" t="s">
        <v>289</v>
      </c>
      <c r="D1285" s="220" t="s">
        <v>69</v>
      </c>
      <c r="E1285" s="165">
        <v>1428</v>
      </c>
    </row>
    <row r="1286" spans="1:5" x14ac:dyDescent="0.25">
      <c r="A1286" s="216" t="s">
        <v>2260</v>
      </c>
      <c r="B1286" s="218" t="s">
        <v>48</v>
      </c>
      <c r="C1286" s="220" t="s">
        <v>2091</v>
      </c>
      <c r="D1286" s="220" t="s">
        <v>188</v>
      </c>
      <c r="E1286" s="165">
        <v>1427</v>
      </c>
    </row>
    <row r="1287" spans="1:5" x14ac:dyDescent="0.25">
      <c r="A1287" s="216" t="s">
        <v>2137</v>
      </c>
      <c r="B1287" s="218">
        <v>1</v>
      </c>
      <c r="C1287" s="220" t="s">
        <v>2138</v>
      </c>
      <c r="D1287" s="220" t="s">
        <v>394</v>
      </c>
      <c r="E1287" s="165">
        <v>1426</v>
      </c>
    </row>
    <row r="1288" spans="1:5" x14ac:dyDescent="0.25">
      <c r="A1288" s="216" t="s">
        <v>2171</v>
      </c>
      <c r="B1288" s="218">
        <v>1</v>
      </c>
      <c r="C1288" s="220" t="s">
        <v>2172</v>
      </c>
      <c r="D1288" s="220" t="s">
        <v>188</v>
      </c>
      <c r="E1288" s="165">
        <v>1426</v>
      </c>
    </row>
    <row r="1289" spans="1:5" x14ac:dyDescent="0.25">
      <c r="A1289" s="216" t="s">
        <v>2051</v>
      </c>
      <c r="B1289" s="218" t="s">
        <v>48</v>
      </c>
      <c r="C1289" s="220" t="s">
        <v>2052</v>
      </c>
      <c r="D1289" s="220" t="s">
        <v>523</v>
      </c>
      <c r="E1289" s="165">
        <v>1425</v>
      </c>
    </row>
    <row r="1290" spans="1:5" x14ac:dyDescent="0.25">
      <c r="A1290" s="216" t="s">
        <v>2536</v>
      </c>
      <c r="B1290" s="218" t="s">
        <v>48</v>
      </c>
      <c r="C1290" s="220" t="s">
        <v>2537</v>
      </c>
      <c r="D1290" s="220" t="s">
        <v>56</v>
      </c>
      <c r="E1290" s="165">
        <v>1424</v>
      </c>
    </row>
    <row r="1291" spans="1:5" x14ac:dyDescent="0.25">
      <c r="A1291" s="216" t="s">
        <v>2589</v>
      </c>
      <c r="B1291" s="218" t="s">
        <v>48</v>
      </c>
      <c r="C1291" s="220" t="s">
        <v>2487</v>
      </c>
      <c r="D1291" s="220" t="s">
        <v>66</v>
      </c>
      <c r="E1291" s="165">
        <v>1422</v>
      </c>
    </row>
    <row r="1292" spans="1:5" x14ac:dyDescent="0.25">
      <c r="A1292" s="216" t="s">
        <v>2117</v>
      </c>
      <c r="B1292" s="218">
        <v>1</v>
      </c>
      <c r="C1292" s="220" t="s">
        <v>68</v>
      </c>
      <c r="D1292" s="220" t="s">
        <v>63</v>
      </c>
      <c r="E1292" s="165">
        <v>1421</v>
      </c>
    </row>
    <row r="1293" spans="1:5" x14ac:dyDescent="0.25">
      <c r="A1293" s="216" t="s">
        <v>2141</v>
      </c>
      <c r="B1293" s="218">
        <v>1</v>
      </c>
      <c r="C1293" s="220" t="s">
        <v>257</v>
      </c>
      <c r="D1293" s="220" t="s">
        <v>108</v>
      </c>
      <c r="E1293" s="165">
        <v>1418</v>
      </c>
    </row>
    <row r="1294" spans="1:5" x14ac:dyDescent="0.25">
      <c r="A1294" s="216" t="s">
        <v>2560</v>
      </c>
      <c r="B1294" s="218" t="s">
        <v>48</v>
      </c>
      <c r="C1294" s="220" t="s">
        <v>727</v>
      </c>
      <c r="D1294" s="220" t="s">
        <v>66</v>
      </c>
      <c r="E1294" s="165">
        <v>1418</v>
      </c>
    </row>
    <row r="1295" spans="1:5" x14ac:dyDescent="0.25">
      <c r="A1295" s="216" t="s">
        <v>2208</v>
      </c>
      <c r="B1295" s="218">
        <v>1</v>
      </c>
      <c r="C1295" s="220" t="s">
        <v>2209</v>
      </c>
      <c r="D1295" s="220" t="s">
        <v>63</v>
      </c>
      <c r="E1295" s="165">
        <v>1416</v>
      </c>
    </row>
    <row r="1296" spans="1:5" x14ac:dyDescent="0.25">
      <c r="A1296" s="216" t="s">
        <v>2061</v>
      </c>
      <c r="B1296" s="218">
        <v>1</v>
      </c>
      <c r="C1296" s="220" t="s">
        <v>2062</v>
      </c>
      <c r="D1296" s="220" t="s">
        <v>56</v>
      </c>
      <c r="E1296" s="165">
        <v>1415</v>
      </c>
    </row>
    <row r="1297" spans="1:5" x14ac:dyDescent="0.25">
      <c r="A1297" s="216" t="s">
        <v>2287</v>
      </c>
      <c r="B1297" s="218" t="s">
        <v>48</v>
      </c>
      <c r="C1297" s="220" t="s">
        <v>766</v>
      </c>
      <c r="D1297" s="220" t="s">
        <v>108</v>
      </c>
      <c r="E1297" s="165">
        <v>1415</v>
      </c>
    </row>
    <row r="1298" spans="1:5" x14ac:dyDescent="0.25">
      <c r="A1298" s="216" t="s">
        <v>2126</v>
      </c>
      <c r="B1298" s="218">
        <v>1</v>
      </c>
      <c r="C1298" s="220" t="s">
        <v>1020</v>
      </c>
      <c r="D1298" s="220" t="s">
        <v>63</v>
      </c>
      <c r="E1298" s="165">
        <v>1414</v>
      </c>
    </row>
    <row r="1299" spans="1:5" x14ac:dyDescent="0.25">
      <c r="A1299" s="216" t="s">
        <v>2396</v>
      </c>
      <c r="B1299" s="218">
        <v>1</v>
      </c>
      <c r="C1299" s="220" t="s">
        <v>768</v>
      </c>
      <c r="D1299" s="220" t="s">
        <v>264</v>
      </c>
      <c r="E1299" s="165">
        <v>1413</v>
      </c>
    </row>
    <row r="1300" spans="1:5" x14ac:dyDescent="0.25">
      <c r="A1300" s="216" t="s">
        <v>1407</v>
      </c>
      <c r="B1300" s="218" t="s">
        <v>48</v>
      </c>
      <c r="C1300" s="220" t="s">
        <v>1408</v>
      </c>
      <c r="D1300" s="220" t="s">
        <v>166</v>
      </c>
      <c r="E1300" s="165">
        <v>1413</v>
      </c>
    </row>
    <row r="1301" spans="1:5" x14ac:dyDescent="0.25">
      <c r="A1301" s="216" t="s">
        <v>1564</v>
      </c>
      <c r="B1301" s="218" t="s">
        <v>48</v>
      </c>
      <c r="C1301" s="220" t="s">
        <v>1565</v>
      </c>
      <c r="D1301" s="220" t="s">
        <v>166</v>
      </c>
      <c r="E1301" s="165">
        <v>1413</v>
      </c>
    </row>
    <row r="1302" spans="1:5" x14ac:dyDescent="0.25">
      <c r="A1302" s="216" t="s">
        <v>2060</v>
      </c>
      <c r="B1302" s="218">
        <v>1</v>
      </c>
      <c r="C1302" s="220" t="s">
        <v>86</v>
      </c>
      <c r="D1302" s="220" t="s">
        <v>78</v>
      </c>
      <c r="E1302" s="165">
        <v>1412</v>
      </c>
    </row>
    <row r="1303" spans="1:5" x14ac:dyDescent="0.25">
      <c r="A1303" s="216" t="s">
        <v>1972</v>
      </c>
      <c r="B1303" s="218">
        <v>1</v>
      </c>
      <c r="C1303" s="220" t="s">
        <v>810</v>
      </c>
      <c r="D1303" s="220" t="s">
        <v>394</v>
      </c>
      <c r="E1303" s="165">
        <v>1412</v>
      </c>
    </row>
    <row r="1304" spans="1:5" x14ac:dyDescent="0.25">
      <c r="A1304" s="216" t="s">
        <v>778</v>
      </c>
      <c r="B1304" s="218" t="s">
        <v>48</v>
      </c>
      <c r="C1304" s="220" t="s">
        <v>779</v>
      </c>
      <c r="D1304" s="220" t="s">
        <v>585</v>
      </c>
      <c r="E1304" s="165">
        <v>1412</v>
      </c>
    </row>
    <row r="1305" spans="1:5" x14ac:dyDescent="0.25">
      <c r="A1305" s="216" t="s">
        <v>2585</v>
      </c>
      <c r="B1305" s="218" t="s">
        <v>48</v>
      </c>
      <c r="C1305" s="220" t="s">
        <v>289</v>
      </c>
      <c r="D1305" s="220" t="s">
        <v>69</v>
      </c>
      <c r="E1305" s="165">
        <v>1410</v>
      </c>
    </row>
    <row r="1306" spans="1:5" x14ac:dyDescent="0.25">
      <c r="A1306" s="216" t="s">
        <v>1928</v>
      </c>
      <c r="B1306" s="218">
        <v>1</v>
      </c>
      <c r="C1306" s="220" t="s">
        <v>1929</v>
      </c>
      <c r="D1306" s="220" t="s">
        <v>87</v>
      </c>
      <c r="E1306" s="165">
        <v>1410</v>
      </c>
    </row>
    <row r="1307" spans="1:5" x14ac:dyDescent="0.25">
      <c r="A1307" s="216" t="s">
        <v>2294</v>
      </c>
      <c r="B1307" s="218" t="s">
        <v>48</v>
      </c>
      <c r="C1307" s="220" t="s">
        <v>2295</v>
      </c>
      <c r="D1307" s="220" t="s">
        <v>628</v>
      </c>
      <c r="E1307" s="165">
        <v>1410</v>
      </c>
    </row>
    <row r="1308" spans="1:5" x14ac:dyDescent="0.25">
      <c r="A1308" s="216" t="s">
        <v>2198</v>
      </c>
      <c r="B1308" s="218" t="s">
        <v>48</v>
      </c>
      <c r="C1308" s="220" t="s">
        <v>452</v>
      </c>
      <c r="D1308" s="220" t="s">
        <v>90</v>
      </c>
      <c r="E1308" s="165">
        <v>1409</v>
      </c>
    </row>
    <row r="1309" spans="1:5" x14ac:dyDescent="0.25">
      <c r="A1309" s="216" t="s">
        <v>2405</v>
      </c>
      <c r="B1309" s="218">
        <v>1</v>
      </c>
      <c r="C1309" s="220" t="s">
        <v>1429</v>
      </c>
      <c r="D1309" s="220" t="s">
        <v>264</v>
      </c>
      <c r="E1309" s="165">
        <v>1408</v>
      </c>
    </row>
    <row r="1310" spans="1:5" x14ac:dyDescent="0.25">
      <c r="A1310" s="216" t="s">
        <v>2152</v>
      </c>
      <c r="B1310" s="218">
        <v>1</v>
      </c>
      <c r="C1310" s="220" t="s">
        <v>1337</v>
      </c>
      <c r="D1310" s="220" t="s">
        <v>394</v>
      </c>
      <c r="E1310" s="165">
        <v>1405</v>
      </c>
    </row>
    <row r="1311" spans="1:5" x14ac:dyDescent="0.25">
      <c r="A1311" s="216" t="s">
        <v>1661</v>
      </c>
      <c r="B1311" s="218">
        <v>1</v>
      </c>
      <c r="C1311" s="220" t="s">
        <v>71</v>
      </c>
      <c r="D1311" s="220" t="s">
        <v>201</v>
      </c>
      <c r="E1311" s="165">
        <v>1405</v>
      </c>
    </row>
    <row r="1312" spans="1:5" x14ac:dyDescent="0.25">
      <c r="A1312" s="216" t="s">
        <v>3245</v>
      </c>
      <c r="B1312" s="218" t="s">
        <v>48</v>
      </c>
      <c r="C1312" s="220" t="s">
        <v>2039</v>
      </c>
      <c r="D1312" s="220" t="s">
        <v>59</v>
      </c>
      <c r="E1312" s="165">
        <v>1400</v>
      </c>
    </row>
    <row r="1313" spans="1:5" x14ac:dyDescent="0.25">
      <c r="A1313" s="216" t="s">
        <v>2310</v>
      </c>
      <c r="B1313" s="218" t="s">
        <v>48</v>
      </c>
      <c r="C1313" s="220" t="s">
        <v>2311</v>
      </c>
      <c r="D1313" s="220" t="s">
        <v>56</v>
      </c>
      <c r="E1313" s="165">
        <v>1400</v>
      </c>
    </row>
    <row r="1314" spans="1:5" x14ac:dyDescent="0.25">
      <c r="A1314" s="216" t="s">
        <v>2457</v>
      </c>
      <c r="B1314" s="218" t="s">
        <v>48</v>
      </c>
      <c r="C1314" s="220" t="s">
        <v>2458</v>
      </c>
      <c r="D1314" s="220" t="s">
        <v>59</v>
      </c>
      <c r="E1314" s="165">
        <v>1400</v>
      </c>
    </row>
    <row r="1315" spans="1:5" x14ac:dyDescent="0.25">
      <c r="A1315" s="216" t="s">
        <v>2421</v>
      </c>
      <c r="B1315" s="218" t="s">
        <v>48</v>
      </c>
      <c r="C1315" s="220" t="s">
        <v>1757</v>
      </c>
      <c r="D1315" s="220" t="s">
        <v>66</v>
      </c>
      <c r="E1315" s="165">
        <v>1400</v>
      </c>
    </row>
    <row r="1316" spans="1:5" x14ac:dyDescent="0.25">
      <c r="A1316" s="216" t="s">
        <v>2666</v>
      </c>
      <c r="B1316" s="218" t="s">
        <v>48</v>
      </c>
      <c r="C1316" s="220" t="s">
        <v>102</v>
      </c>
      <c r="D1316" s="220" t="s">
        <v>93</v>
      </c>
      <c r="E1316" s="165">
        <v>1400</v>
      </c>
    </row>
    <row r="1317" spans="1:5" x14ac:dyDescent="0.25">
      <c r="A1317" s="216" t="s">
        <v>1861</v>
      </c>
      <c r="B1317" s="218" t="s">
        <v>48</v>
      </c>
      <c r="C1317" s="220" t="s">
        <v>287</v>
      </c>
      <c r="D1317" s="220" t="s">
        <v>82</v>
      </c>
      <c r="E1317" s="165">
        <v>1398</v>
      </c>
    </row>
    <row r="1318" spans="1:5" x14ac:dyDescent="0.25">
      <c r="A1318" s="216" t="s">
        <v>2022</v>
      </c>
      <c r="B1318" s="218" t="s">
        <v>48</v>
      </c>
      <c r="C1318" s="220" t="s">
        <v>2023</v>
      </c>
      <c r="D1318" s="220" t="s">
        <v>53</v>
      </c>
      <c r="E1318" s="165">
        <v>1397</v>
      </c>
    </row>
    <row r="1319" spans="1:5" x14ac:dyDescent="0.25">
      <c r="A1319" s="216" t="s">
        <v>2088</v>
      </c>
      <c r="B1319" s="218">
        <v>1</v>
      </c>
      <c r="C1319" s="220" t="s">
        <v>110</v>
      </c>
      <c r="D1319" s="220" t="s">
        <v>69</v>
      </c>
      <c r="E1319" s="165">
        <v>1397</v>
      </c>
    </row>
    <row r="1320" spans="1:5" x14ac:dyDescent="0.25">
      <c r="A1320" s="216" t="s">
        <v>1818</v>
      </c>
      <c r="B1320" s="218">
        <v>1</v>
      </c>
      <c r="C1320" s="220" t="s">
        <v>1819</v>
      </c>
      <c r="D1320" s="220" t="s">
        <v>277</v>
      </c>
      <c r="E1320" s="165">
        <v>1397</v>
      </c>
    </row>
    <row r="1321" spans="1:5" x14ac:dyDescent="0.25">
      <c r="A1321" s="216" t="s">
        <v>5573</v>
      </c>
      <c r="B1321" s="218">
        <v>1</v>
      </c>
      <c r="C1321" s="220" t="s">
        <v>5237</v>
      </c>
      <c r="D1321" s="220" t="s">
        <v>72</v>
      </c>
      <c r="E1321" s="165">
        <v>1395</v>
      </c>
    </row>
    <row r="1322" spans="1:5" x14ac:dyDescent="0.25">
      <c r="A1322" s="216" t="s">
        <v>3074</v>
      </c>
      <c r="B1322" s="218" t="s">
        <v>48</v>
      </c>
      <c r="C1322" s="220" t="s">
        <v>870</v>
      </c>
      <c r="D1322" s="220" t="s">
        <v>93</v>
      </c>
      <c r="E1322" s="165">
        <v>1393</v>
      </c>
    </row>
    <row r="1323" spans="1:5" x14ac:dyDescent="0.25">
      <c r="A1323" s="216" t="s">
        <v>3555</v>
      </c>
      <c r="B1323" s="218">
        <v>1</v>
      </c>
      <c r="C1323" s="220" t="s">
        <v>3556</v>
      </c>
      <c r="D1323" s="220" t="s">
        <v>56</v>
      </c>
      <c r="E1323" s="165">
        <v>1392</v>
      </c>
    </row>
    <row r="1324" spans="1:5" x14ac:dyDescent="0.25">
      <c r="A1324" s="216" t="s">
        <v>2142</v>
      </c>
      <c r="B1324" s="218">
        <v>1</v>
      </c>
      <c r="C1324" s="220" t="s">
        <v>2143</v>
      </c>
      <c r="D1324" s="220" t="s">
        <v>63</v>
      </c>
      <c r="E1324" s="165">
        <v>1390</v>
      </c>
    </row>
    <row r="1325" spans="1:5" x14ac:dyDescent="0.25">
      <c r="A1325" s="216" t="s">
        <v>3204</v>
      </c>
      <c r="B1325" s="218">
        <v>1</v>
      </c>
      <c r="C1325" s="220" t="s">
        <v>2938</v>
      </c>
      <c r="D1325" s="220" t="s">
        <v>56</v>
      </c>
      <c r="E1325" s="165">
        <v>1390</v>
      </c>
    </row>
    <row r="1326" spans="1:5" x14ac:dyDescent="0.25">
      <c r="A1326" s="216" t="s">
        <v>1922</v>
      </c>
      <c r="B1326" s="218">
        <v>1</v>
      </c>
      <c r="C1326" s="220" t="s">
        <v>138</v>
      </c>
      <c r="D1326" s="220" t="s">
        <v>139</v>
      </c>
      <c r="E1326" s="165">
        <v>1390</v>
      </c>
    </row>
    <row r="1327" spans="1:5" x14ac:dyDescent="0.25">
      <c r="A1327" s="216" t="s">
        <v>2161</v>
      </c>
      <c r="B1327" s="218">
        <v>1</v>
      </c>
      <c r="C1327" s="220" t="s">
        <v>1113</v>
      </c>
      <c r="D1327" s="220" t="s">
        <v>50</v>
      </c>
      <c r="E1327" s="165">
        <v>1390</v>
      </c>
    </row>
    <row r="1328" spans="1:5" x14ac:dyDescent="0.25">
      <c r="A1328" s="216" t="s">
        <v>2353</v>
      </c>
      <c r="B1328" s="218" t="s">
        <v>48</v>
      </c>
      <c r="C1328" s="220" t="s">
        <v>1038</v>
      </c>
      <c r="D1328" s="220" t="s">
        <v>87</v>
      </c>
      <c r="E1328" s="165">
        <v>1390</v>
      </c>
    </row>
    <row r="1329" spans="1:5" x14ac:dyDescent="0.25">
      <c r="A1329" s="216" t="s">
        <v>2065</v>
      </c>
      <c r="B1329" s="218">
        <v>1</v>
      </c>
      <c r="C1329" s="220" t="s">
        <v>1732</v>
      </c>
      <c r="D1329" s="220" t="s">
        <v>56</v>
      </c>
      <c r="E1329" s="165">
        <v>1389</v>
      </c>
    </row>
    <row r="1330" spans="1:5" x14ac:dyDescent="0.25">
      <c r="A1330" s="216" t="s">
        <v>2070</v>
      </c>
      <c r="B1330" s="218" t="s">
        <v>48</v>
      </c>
      <c r="C1330" s="220" t="s">
        <v>2071</v>
      </c>
      <c r="D1330" s="220" t="s">
        <v>56</v>
      </c>
      <c r="E1330" s="165">
        <v>1387</v>
      </c>
    </row>
    <row r="1331" spans="1:5" x14ac:dyDescent="0.25">
      <c r="A1331" s="216" t="s">
        <v>1912</v>
      </c>
      <c r="B1331" s="218">
        <v>1</v>
      </c>
      <c r="C1331" s="220" t="s">
        <v>1913</v>
      </c>
      <c r="D1331" s="220" t="s">
        <v>72</v>
      </c>
      <c r="E1331" s="165">
        <v>1387</v>
      </c>
    </row>
    <row r="1332" spans="1:5" x14ac:dyDescent="0.25">
      <c r="A1332" s="216" t="s">
        <v>1794</v>
      </c>
      <c r="B1332" s="218" t="s">
        <v>48</v>
      </c>
      <c r="C1332" s="220" t="s">
        <v>990</v>
      </c>
      <c r="D1332" s="220" t="s">
        <v>63</v>
      </c>
      <c r="E1332" s="165">
        <v>1387</v>
      </c>
    </row>
    <row r="1333" spans="1:5" x14ac:dyDescent="0.25">
      <c r="A1333" s="216" t="s">
        <v>1897</v>
      </c>
      <c r="B1333" s="218" t="s">
        <v>48</v>
      </c>
      <c r="C1333" s="220" t="s">
        <v>647</v>
      </c>
      <c r="D1333" s="220" t="s">
        <v>69</v>
      </c>
      <c r="E1333" s="165">
        <v>1386</v>
      </c>
    </row>
    <row r="1334" spans="1:5" x14ac:dyDescent="0.25">
      <c r="A1334" s="216" t="s">
        <v>2279</v>
      </c>
      <c r="B1334" s="218" t="s">
        <v>48</v>
      </c>
      <c r="C1334" s="220" t="s">
        <v>2280</v>
      </c>
      <c r="D1334" s="220" t="s">
        <v>87</v>
      </c>
      <c r="E1334" s="165">
        <v>1385</v>
      </c>
    </row>
    <row r="1335" spans="1:5" x14ac:dyDescent="0.25">
      <c r="A1335" s="216" t="s">
        <v>11014</v>
      </c>
      <c r="B1335" s="218">
        <v>1</v>
      </c>
      <c r="C1335" s="220" t="s">
        <v>1864</v>
      </c>
      <c r="D1335" s="220" t="s">
        <v>78</v>
      </c>
      <c r="E1335" s="165">
        <v>1385</v>
      </c>
    </row>
    <row r="1336" spans="1:5" x14ac:dyDescent="0.25">
      <c r="A1336" s="216" t="s">
        <v>2553</v>
      </c>
      <c r="B1336" s="218">
        <v>1</v>
      </c>
      <c r="C1336" s="220" t="s">
        <v>1399</v>
      </c>
      <c r="D1336" s="220" t="s">
        <v>188</v>
      </c>
      <c r="E1336" s="165">
        <v>1382</v>
      </c>
    </row>
    <row r="1337" spans="1:5" x14ac:dyDescent="0.25">
      <c r="A1337" s="216" t="s">
        <v>1873</v>
      </c>
      <c r="B1337" s="218" t="s">
        <v>48</v>
      </c>
      <c r="C1337" s="220" t="s">
        <v>490</v>
      </c>
      <c r="D1337" s="220" t="s">
        <v>66</v>
      </c>
      <c r="E1337" s="165">
        <v>1382</v>
      </c>
    </row>
    <row r="1338" spans="1:5" x14ac:dyDescent="0.25">
      <c r="A1338" s="216" t="s">
        <v>2305</v>
      </c>
      <c r="B1338" s="218">
        <v>1</v>
      </c>
      <c r="C1338" s="220" t="s">
        <v>2010</v>
      </c>
      <c r="D1338" s="220" t="s">
        <v>69</v>
      </c>
      <c r="E1338" s="165">
        <v>1381</v>
      </c>
    </row>
    <row r="1339" spans="1:5" x14ac:dyDescent="0.25">
      <c r="A1339" s="216" t="s">
        <v>1926</v>
      </c>
      <c r="B1339" s="218">
        <v>1</v>
      </c>
      <c r="C1339" s="220" t="s">
        <v>1927</v>
      </c>
      <c r="D1339" s="220" t="s">
        <v>802</v>
      </c>
      <c r="E1339" s="165">
        <v>1381</v>
      </c>
    </row>
    <row r="1340" spans="1:5" x14ac:dyDescent="0.25">
      <c r="A1340" s="216" t="s">
        <v>1859</v>
      </c>
      <c r="B1340" s="218">
        <v>1</v>
      </c>
      <c r="C1340" s="220" t="s">
        <v>263</v>
      </c>
      <c r="D1340" s="220" t="s">
        <v>264</v>
      </c>
      <c r="E1340" s="165">
        <v>1376</v>
      </c>
    </row>
    <row r="1341" spans="1:5" x14ac:dyDescent="0.25">
      <c r="A1341" s="216" t="s">
        <v>2705</v>
      </c>
      <c r="B1341" s="218">
        <v>1</v>
      </c>
      <c r="C1341" s="220" t="s">
        <v>2706</v>
      </c>
      <c r="D1341" s="220" t="s">
        <v>50</v>
      </c>
      <c r="E1341" s="165">
        <v>1374</v>
      </c>
    </row>
    <row r="1342" spans="1:5" x14ac:dyDescent="0.25">
      <c r="A1342" s="216" t="s">
        <v>2068</v>
      </c>
      <c r="B1342" s="218">
        <v>1</v>
      </c>
      <c r="C1342" s="220" t="s">
        <v>2069</v>
      </c>
      <c r="D1342" s="220" t="s">
        <v>124</v>
      </c>
      <c r="E1342" s="165">
        <v>1374</v>
      </c>
    </row>
    <row r="1343" spans="1:5" x14ac:dyDescent="0.25">
      <c r="A1343" s="216" t="s">
        <v>2239</v>
      </c>
      <c r="B1343" s="218" t="s">
        <v>48</v>
      </c>
      <c r="C1343" s="220" t="s">
        <v>2240</v>
      </c>
      <c r="D1343" s="220" t="s">
        <v>108</v>
      </c>
      <c r="E1343" s="165">
        <v>1372</v>
      </c>
    </row>
    <row r="1344" spans="1:5" x14ac:dyDescent="0.25">
      <c r="A1344" s="216" t="s">
        <v>2130</v>
      </c>
      <c r="B1344" s="218" t="s">
        <v>48</v>
      </c>
      <c r="C1344" s="220" t="s">
        <v>2131</v>
      </c>
      <c r="D1344" s="220" t="s">
        <v>63</v>
      </c>
      <c r="E1344" s="165">
        <v>1372</v>
      </c>
    </row>
    <row r="1345" spans="1:5" x14ac:dyDescent="0.25">
      <c r="A1345" s="216" t="s">
        <v>2625</v>
      </c>
      <c r="B1345" s="218" t="s">
        <v>48</v>
      </c>
      <c r="C1345" s="220" t="s">
        <v>121</v>
      </c>
      <c r="D1345" s="220" t="s">
        <v>56</v>
      </c>
      <c r="E1345" s="165">
        <v>1370</v>
      </c>
    </row>
    <row r="1346" spans="1:5" x14ac:dyDescent="0.25">
      <c r="A1346" s="216" t="s">
        <v>2120</v>
      </c>
      <c r="B1346" s="218">
        <v>1</v>
      </c>
      <c r="C1346" s="220" t="s">
        <v>2121</v>
      </c>
      <c r="D1346" s="220" t="s">
        <v>69</v>
      </c>
      <c r="E1346" s="165">
        <v>1369</v>
      </c>
    </row>
    <row r="1347" spans="1:5" x14ac:dyDescent="0.25">
      <c r="A1347" s="216" t="s">
        <v>2122</v>
      </c>
      <c r="B1347" s="218">
        <v>1</v>
      </c>
      <c r="C1347" s="220" t="s">
        <v>1500</v>
      </c>
      <c r="D1347" s="220" t="s">
        <v>69</v>
      </c>
      <c r="E1347" s="165">
        <v>1369</v>
      </c>
    </row>
    <row r="1348" spans="1:5" x14ac:dyDescent="0.25">
      <c r="A1348" s="216" t="s">
        <v>2178</v>
      </c>
      <c r="B1348" s="218" t="s">
        <v>48</v>
      </c>
      <c r="C1348" s="220" t="s">
        <v>2179</v>
      </c>
      <c r="D1348" s="220" t="s">
        <v>66</v>
      </c>
      <c r="E1348" s="165">
        <v>1367</v>
      </c>
    </row>
    <row r="1349" spans="1:5" x14ac:dyDescent="0.25">
      <c r="A1349" s="216" t="s">
        <v>2221</v>
      </c>
      <c r="B1349" s="218" t="s">
        <v>48</v>
      </c>
      <c r="C1349" s="220" t="s">
        <v>89</v>
      </c>
      <c r="D1349" s="220" t="s">
        <v>90</v>
      </c>
      <c r="E1349" s="165">
        <v>1365</v>
      </c>
    </row>
    <row r="1350" spans="1:5" x14ac:dyDescent="0.25">
      <c r="A1350" s="216" t="s">
        <v>2154</v>
      </c>
      <c r="B1350" s="218">
        <v>1</v>
      </c>
      <c r="C1350" s="220" t="s">
        <v>159</v>
      </c>
      <c r="D1350" s="220" t="s">
        <v>130</v>
      </c>
      <c r="E1350" s="165">
        <v>1365</v>
      </c>
    </row>
    <row r="1351" spans="1:5" x14ac:dyDescent="0.25">
      <c r="A1351" s="216" t="s">
        <v>2046</v>
      </c>
      <c r="B1351" s="218" t="s">
        <v>48</v>
      </c>
      <c r="C1351" s="220" t="s">
        <v>2047</v>
      </c>
      <c r="D1351" s="220" t="s">
        <v>486</v>
      </c>
      <c r="E1351" s="165">
        <v>1365</v>
      </c>
    </row>
    <row r="1352" spans="1:5" x14ac:dyDescent="0.25">
      <c r="A1352" s="216" t="s">
        <v>2187</v>
      </c>
      <c r="B1352" s="218" t="s">
        <v>48</v>
      </c>
      <c r="C1352" s="220" t="s">
        <v>71</v>
      </c>
      <c r="D1352" s="220" t="s">
        <v>93</v>
      </c>
      <c r="E1352" s="165">
        <v>1364</v>
      </c>
    </row>
    <row r="1353" spans="1:5" x14ac:dyDescent="0.25">
      <c r="A1353" s="216" t="s">
        <v>11015</v>
      </c>
      <c r="B1353" s="218" t="s">
        <v>48</v>
      </c>
      <c r="C1353" s="220" t="s">
        <v>4172</v>
      </c>
      <c r="D1353" s="220" t="s">
        <v>63</v>
      </c>
      <c r="E1353" s="165">
        <v>1361</v>
      </c>
    </row>
    <row r="1354" spans="1:5" x14ac:dyDescent="0.25">
      <c r="A1354" s="216" t="s">
        <v>2414</v>
      </c>
      <c r="B1354" s="218" t="s">
        <v>48</v>
      </c>
      <c r="C1354" s="220" t="s">
        <v>568</v>
      </c>
      <c r="D1354" s="220" t="s">
        <v>93</v>
      </c>
      <c r="E1354" s="165">
        <v>1360</v>
      </c>
    </row>
    <row r="1355" spans="1:5" x14ac:dyDescent="0.25">
      <c r="A1355" s="216" t="s">
        <v>2745</v>
      </c>
      <c r="B1355" s="218">
        <v>1</v>
      </c>
      <c r="C1355" s="220" t="s">
        <v>409</v>
      </c>
      <c r="D1355" s="220" t="s">
        <v>72</v>
      </c>
      <c r="E1355" s="165">
        <v>1356</v>
      </c>
    </row>
    <row r="1356" spans="1:5" x14ac:dyDescent="0.25">
      <c r="A1356" s="216" t="s">
        <v>2145</v>
      </c>
      <c r="B1356" s="218">
        <v>1</v>
      </c>
      <c r="C1356" s="220" t="s">
        <v>2146</v>
      </c>
      <c r="D1356" s="220" t="s">
        <v>192</v>
      </c>
      <c r="E1356" s="165">
        <v>1355</v>
      </c>
    </row>
    <row r="1357" spans="1:5" x14ac:dyDescent="0.25">
      <c r="A1357" s="216" t="s">
        <v>2315</v>
      </c>
      <c r="B1357" s="218" t="s">
        <v>48</v>
      </c>
      <c r="C1357" s="220" t="s">
        <v>2316</v>
      </c>
      <c r="D1357" s="220" t="s">
        <v>166</v>
      </c>
      <c r="E1357" s="165">
        <v>1354</v>
      </c>
    </row>
    <row r="1358" spans="1:5" x14ac:dyDescent="0.25">
      <c r="A1358" s="216" t="s">
        <v>2007</v>
      </c>
      <c r="B1358" s="218" t="s">
        <v>48</v>
      </c>
      <c r="C1358" s="220" t="s">
        <v>2008</v>
      </c>
      <c r="D1358" s="220" t="s">
        <v>166</v>
      </c>
      <c r="E1358" s="165">
        <v>1354</v>
      </c>
    </row>
    <row r="1359" spans="1:5" x14ac:dyDescent="0.25">
      <c r="A1359" s="216" t="s">
        <v>2079</v>
      </c>
      <c r="B1359" s="218">
        <v>1</v>
      </c>
      <c r="C1359" s="220" t="s">
        <v>2080</v>
      </c>
      <c r="D1359" s="220" t="s">
        <v>50</v>
      </c>
      <c r="E1359" s="165">
        <v>1352</v>
      </c>
    </row>
    <row r="1360" spans="1:5" x14ac:dyDescent="0.25">
      <c r="A1360" s="216" t="s">
        <v>2116</v>
      </c>
      <c r="B1360" s="218" t="s">
        <v>48</v>
      </c>
      <c r="C1360" s="220" t="s">
        <v>424</v>
      </c>
      <c r="D1360" s="220" t="s">
        <v>59</v>
      </c>
      <c r="E1360" s="165">
        <v>1352</v>
      </c>
    </row>
    <row r="1361" spans="1:5" x14ac:dyDescent="0.25">
      <c r="A1361" s="216" t="s">
        <v>2077</v>
      </c>
      <c r="B1361" s="218" t="s">
        <v>48</v>
      </c>
      <c r="C1361" s="220" t="s">
        <v>2078</v>
      </c>
      <c r="D1361" s="220" t="s">
        <v>277</v>
      </c>
      <c r="E1361" s="165">
        <v>1350</v>
      </c>
    </row>
    <row r="1362" spans="1:5" x14ac:dyDescent="0.25">
      <c r="A1362" s="216" t="s">
        <v>2640</v>
      </c>
      <c r="B1362" s="218">
        <v>1</v>
      </c>
      <c r="C1362" s="220" t="s">
        <v>2641</v>
      </c>
      <c r="D1362" s="220" t="s">
        <v>72</v>
      </c>
      <c r="E1362" s="165">
        <v>1345</v>
      </c>
    </row>
    <row r="1363" spans="1:5" x14ac:dyDescent="0.25">
      <c r="A1363" s="216" t="s">
        <v>2140</v>
      </c>
      <c r="B1363" s="218" t="s">
        <v>48</v>
      </c>
      <c r="C1363" s="220" t="s">
        <v>1906</v>
      </c>
      <c r="D1363" s="220" t="s">
        <v>66</v>
      </c>
      <c r="E1363" s="165">
        <v>1344</v>
      </c>
    </row>
    <row r="1364" spans="1:5" x14ac:dyDescent="0.25">
      <c r="A1364" s="216" t="s">
        <v>2268</v>
      </c>
      <c r="B1364" s="218" t="s">
        <v>48</v>
      </c>
      <c r="C1364" s="220" t="s">
        <v>2269</v>
      </c>
      <c r="D1364" s="220" t="s">
        <v>802</v>
      </c>
      <c r="E1364" s="165">
        <v>1344</v>
      </c>
    </row>
    <row r="1365" spans="1:5" x14ac:dyDescent="0.25">
      <c r="A1365" s="216" t="s">
        <v>2520</v>
      </c>
      <c r="B1365" s="218" t="s">
        <v>48</v>
      </c>
      <c r="C1365" s="220" t="s">
        <v>496</v>
      </c>
      <c r="D1365" s="220" t="s">
        <v>105</v>
      </c>
      <c r="E1365" s="165">
        <v>1344</v>
      </c>
    </row>
    <row r="1366" spans="1:5" x14ac:dyDescent="0.25">
      <c r="A1366" s="216" t="s">
        <v>2084</v>
      </c>
      <c r="B1366" s="218" t="s">
        <v>48</v>
      </c>
      <c r="C1366" s="220" t="s">
        <v>2085</v>
      </c>
      <c r="D1366" s="220" t="s">
        <v>75</v>
      </c>
      <c r="E1366" s="165">
        <v>1344</v>
      </c>
    </row>
    <row r="1367" spans="1:5" x14ac:dyDescent="0.25">
      <c r="A1367" s="216" t="s">
        <v>1234</v>
      </c>
      <c r="B1367" s="218" t="s">
        <v>48</v>
      </c>
      <c r="C1367" s="220" t="s">
        <v>1235</v>
      </c>
      <c r="D1367" s="220" t="s">
        <v>166</v>
      </c>
      <c r="E1367" s="165">
        <v>1343</v>
      </c>
    </row>
    <row r="1368" spans="1:5" x14ac:dyDescent="0.25">
      <c r="A1368" s="216" t="s">
        <v>1774</v>
      </c>
      <c r="B1368" s="218">
        <v>1</v>
      </c>
      <c r="C1368" s="220" t="s">
        <v>274</v>
      </c>
      <c r="D1368" s="220" t="s">
        <v>188</v>
      </c>
      <c r="E1368" s="165">
        <v>1340</v>
      </c>
    </row>
    <row r="1369" spans="1:5" x14ac:dyDescent="0.25">
      <c r="A1369" s="216" t="s">
        <v>2222</v>
      </c>
      <c r="B1369" s="218" t="s">
        <v>48</v>
      </c>
      <c r="C1369" s="220" t="s">
        <v>2223</v>
      </c>
      <c r="D1369" s="220" t="s">
        <v>277</v>
      </c>
      <c r="E1369" s="165">
        <v>1340</v>
      </c>
    </row>
    <row r="1370" spans="1:5" x14ac:dyDescent="0.25">
      <c r="A1370" s="216" t="s">
        <v>1423</v>
      </c>
      <c r="B1370" s="218" t="s">
        <v>48</v>
      </c>
      <c r="C1370" s="220" t="s">
        <v>605</v>
      </c>
      <c r="D1370" s="220" t="s">
        <v>585</v>
      </c>
      <c r="E1370" s="165">
        <v>1340</v>
      </c>
    </row>
    <row r="1371" spans="1:5" x14ac:dyDescent="0.25">
      <c r="A1371" s="216" t="s">
        <v>1951</v>
      </c>
      <c r="B1371" s="218" t="s">
        <v>48</v>
      </c>
      <c r="C1371" s="220" t="s">
        <v>1305</v>
      </c>
      <c r="D1371" s="220" t="s">
        <v>206</v>
      </c>
      <c r="E1371" s="165">
        <v>1338</v>
      </c>
    </row>
    <row r="1372" spans="1:5" x14ac:dyDescent="0.25">
      <c r="A1372" s="216" t="s">
        <v>1947</v>
      </c>
      <c r="B1372" s="218">
        <v>1</v>
      </c>
      <c r="C1372" s="220" t="s">
        <v>1948</v>
      </c>
      <c r="D1372" s="220" t="s">
        <v>69</v>
      </c>
      <c r="E1372" s="165">
        <v>1338</v>
      </c>
    </row>
    <row r="1373" spans="1:5" x14ac:dyDescent="0.25">
      <c r="A1373" s="216" t="s">
        <v>2306</v>
      </c>
      <c r="B1373" s="218">
        <v>1</v>
      </c>
      <c r="C1373" s="220" t="s">
        <v>2307</v>
      </c>
      <c r="D1373" s="220" t="s">
        <v>63</v>
      </c>
      <c r="E1373" s="165">
        <v>1333</v>
      </c>
    </row>
    <row r="1374" spans="1:5" x14ac:dyDescent="0.25">
      <c r="A1374" s="216" t="s">
        <v>1620</v>
      </c>
      <c r="B1374" s="218" t="s">
        <v>48</v>
      </c>
      <c r="C1374" s="220" t="s">
        <v>102</v>
      </c>
      <c r="D1374" s="220" t="s">
        <v>93</v>
      </c>
      <c r="E1374" s="165">
        <v>1333</v>
      </c>
    </row>
    <row r="1375" spans="1:5" x14ac:dyDescent="0.25">
      <c r="A1375" s="216" t="s">
        <v>2635</v>
      </c>
      <c r="B1375" s="218" t="s">
        <v>48</v>
      </c>
      <c r="C1375" s="220" t="s">
        <v>2592</v>
      </c>
      <c r="D1375" s="220" t="s">
        <v>59</v>
      </c>
      <c r="E1375" s="165">
        <v>1331</v>
      </c>
    </row>
    <row r="1376" spans="1:5" x14ac:dyDescent="0.25">
      <c r="A1376" s="216" t="s">
        <v>1892</v>
      </c>
      <c r="B1376" s="218">
        <v>1</v>
      </c>
      <c r="C1376" s="220" t="s">
        <v>1893</v>
      </c>
      <c r="D1376" s="220" t="s">
        <v>277</v>
      </c>
      <c r="E1376" s="165">
        <v>1329</v>
      </c>
    </row>
    <row r="1377" spans="1:5" x14ac:dyDescent="0.25">
      <c r="A1377" s="216" t="s">
        <v>2219</v>
      </c>
      <c r="B1377" s="218">
        <v>1</v>
      </c>
      <c r="C1377" s="220" t="s">
        <v>810</v>
      </c>
      <c r="D1377" s="220" t="s">
        <v>394</v>
      </c>
      <c r="E1377" s="165">
        <v>1326</v>
      </c>
    </row>
    <row r="1378" spans="1:5" x14ac:dyDescent="0.25">
      <c r="A1378" s="216" t="s">
        <v>1691</v>
      </c>
      <c r="B1378" s="218" t="s">
        <v>48</v>
      </c>
      <c r="C1378" s="220" t="s">
        <v>1411</v>
      </c>
      <c r="D1378" s="220" t="s">
        <v>63</v>
      </c>
      <c r="E1378" s="165">
        <v>1325</v>
      </c>
    </row>
    <row r="1379" spans="1:5" x14ac:dyDescent="0.25">
      <c r="A1379" s="216" t="s">
        <v>1975</v>
      </c>
      <c r="B1379" s="218">
        <v>1</v>
      </c>
      <c r="C1379" s="220" t="s">
        <v>1331</v>
      </c>
      <c r="D1379" s="220" t="s">
        <v>348</v>
      </c>
      <c r="E1379" s="165">
        <v>1324</v>
      </c>
    </row>
    <row r="1380" spans="1:5" x14ac:dyDescent="0.25">
      <c r="A1380" s="216" t="s">
        <v>1976</v>
      </c>
      <c r="B1380" s="218" t="s">
        <v>48</v>
      </c>
      <c r="C1380" s="220" t="s">
        <v>1977</v>
      </c>
      <c r="D1380" s="220" t="s">
        <v>59</v>
      </c>
      <c r="E1380" s="165">
        <v>1323</v>
      </c>
    </row>
    <row r="1381" spans="1:5" x14ac:dyDescent="0.25">
      <c r="A1381" s="216" t="s">
        <v>1803</v>
      </c>
      <c r="B1381" s="218">
        <v>1</v>
      </c>
      <c r="C1381" s="220" t="s">
        <v>599</v>
      </c>
      <c r="D1381" s="220" t="s">
        <v>517</v>
      </c>
      <c r="E1381" s="165">
        <v>1323</v>
      </c>
    </row>
    <row r="1382" spans="1:5" x14ac:dyDescent="0.25">
      <c r="A1382" s="216" t="s">
        <v>1558</v>
      </c>
      <c r="B1382" s="218" t="s">
        <v>48</v>
      </c>
      <c r="C1382" s="220" t="s">
        <v>89</v>
      </c>
      <c r="D1382" s="220" t="s">
        <v>90</v>
      </c>
      <c r="E1382" s="165">
        <v>1321</v>
      </c>
    </row>
    <row r="1383" spans="1:5" x14ac:dyDescent="0.25">
      <c r="A1383" s="216" t="s">
        <v>2118</v>
      </c>
      <c r="B1383" s="218">
        <v>1</v>
      </c>
      <c r="C1383" s="220" t="s">
        <v>2119</v>
      </c>
      <c r="D1383" s="220" t="s">
        <v>277</v>
      </c>
      <c r="E1383" s="165">
        <v>1318</v>
      </c>
    </row>
    <row r="1384" spans="1:5" x14ac:dyDescent="0.25">
      <c r="A1384" s="216" t="s">
        <v>1804</v>
      </c>
      <c r="B1384" s="218" t="s">
        <v>48</v>
      </c>
      <c r="C1384" s="220" t="s">
        <v>1805</v>
      </c>
      <c r="D1384" s="220" t="s">
        <v>82</v>
      </c>
      <c r="E1384" s="165">
        <v>1317</v>
      </c>
    </row>
    <row r="1385" spans="1:5" x14ac:dyDescent="0.25">
      <c r="A1385" s="216" t="s">
        <v>3466</v>
      </c>
      <c r="B1385" s="218" t="s">
        <v>48</v>
      </c>
      <c r="C1385" s="220" t="s">
        <v>289</v>
      </c>
      <c r="D1385" s="220" t="s">
        <v>69</v>
      </c>
      <c r="E1385" s="165">
        <v>1316</v>
      </c>
    </row>
    <row r="1386" spans="1:5" x14ac:dyDescent="0.25">
      <c r="A1386" s="216" t="s">
        <v>3552</v>
      </c>
      <c r="B1386" s="218" t="s">
        <v>48</v>
      </c>
      <c r="C1386" s="220" t="s">
        <v>615</v>
      </c>
      <c r="D1386" s="220" t="s">
        <v>63</v>
      </c>
      <c r="E1386" s="165">
        <v>1315</v>
      </c>
    </row>
    <row r="1387" spans="1:5" x14ac:dyDescent="0.25">
      <c r="A1387" s="216" t="s">
        <v>11016</v>
      </c>
      <c r="B1387" s="218">
        <v>1</v>
      </c>
      <c r="C1387" s="220" t="s">
        <v>63</v>
      </c>
      <c r="D1387" s="220" t="s">
        <v>63</v>
      </c>
      <c r="E1387" s="165">
        <v>1313</v>
      </c>
    </row>
    <row r="1388" spans="1:5" x14ac:dyDescent="0.25">
      <c r="A1388" s="216" t="s">
        <v>10869</v>
      </c>
      <c r="B1388" s="218" t="s">
        <v>48</v>
      </c>
      <c r="C1388" s="220" t="s">
        <v>5536</v>
      </c>
      <c r="D1388" s="220" t="s">
        <v>139</v>
      </c>
      <c r="E1388" s="165">
        <v>1312</v>
      </c>
    </row>
    <row r="1389" spans="1:5" x14ac:dyDescent="0.25">
      <c r="A1389" s="216" t="s">
        <v>2190</v>
      </c>
      <c r="B1389" s="218">
        <v>1</v>
      </c>
      <c r="C1389" s="220" t="s">
        <v>289</v>
      </c>
      <c r="D1389" s="220" t="s">
        <v>69</v>
      </c>
      <c r="E1389" s="165">
        <v>1307</v>
      </c>
    </row>
    <row r="1390" spans="1:5" x14ac:dyDescent="0.25">
      <c r="A1390" s="216" t="s">
        <v>1930</v>
      </c>
      <c r="B1390" s="218">
        <v>1</v>
      </c>
      <c r="C1390" s="220" t="s">
        <v>1931</v>
      </c>
      <c r="D1390" s="220" t="s">
        <v>98</v>
      </c>
      <c r="E1390" s="165">
        <v>1306</v>
      </c>
    </row>
    <row r="1391" spans="1:5" x14ac:dyDescent="0.25">
      <c r="A1391" s="216" t="s">
        <v>2257</v>
      </c>
      <c r="B1391" s="218" t="s">
        <v>48</v>
      </c>
      <c r="C1391" s="220" t="s">
        <v>200</v>
      </c>
      <c r="D1391" s="220" t="s">
        <v>201</v>
      </c>
      <c r="E1391" s="165">
        <v>1305</v>
      </c>
    </row>
    <row r="1392" spans="1:5" x14ac:dyDescent="0.25">
      <c r="A1392" s="216" t="s">
        <v>2333</v>
      </c>
      <c r="B1392" s="218" t="s">
        <v>48</v>
      </c>
      <c r="C1392" s="220" t="s">
        <v>2334</v>
      </c>
      <c r="D1392" s="220" t="s">
        <v>50</v>
      </c>
      <c r="E1392" s="165">
        <v>1303</v>
      </c>
    </row>
    <row r="1393" spans="1:5" x14ac:dyDescent="0.25">
      <c r="A1393" s="216" t="s">
        <v>2083</v>
      </c>
      <c r="B1393" s="218">
        <v>1</v>
      </c>
      <c r="C1393" s="220" t="s">
        <v>516</v>
      </c>
      <c r="D1393" s="220" t="s">
        <v>517</v>
      </c>
      <c r="E1393" s="165">
        <v>1301</v>
      </c>
    </row>
    <row r="1394" spans="1:5" x14ac:dyDescent="0.25">
      <c r="A1394" s="216" t="s">
        <v>2252</v>
      </c>
      <c r="B1394" s="218" t="s">
        <v>48</v>
      </c>
      <c r="C1394" s="220" t="s">
        <v>2253</v>
      </c>
      <c r="D1394" s="220" t="s">
        <v>192</v>
      </c>
      <c r="E1394" s="165">
        <v>1300</v>
      </c>
    </row>
    <row r="1395" spans="1:5" x14ac:dyDescent="0.25">
      <c r="A1395" s="216" t="s">
        <v>2902</v>
      </c>
      <c r="B1395" s="218" t="s">
        <v>48</v>
      </c>
      <c r="C1395" s="220" t="s">
        <v>1429</v>
      </c>
      <c r="D1395" s="220" t="s">
        <v>264</v>
      </c>
      <c r="E1395" s="165">
        <v>1300</v>
      </c>
    </row>
    <row r="1396" spans="1:5" x14ac:dyDescent="0.25">
      <c r="A1396" s="216" t="s">
        <v>2086</v>
      </c>
      <c r="B1396" s="218" t="s">
        <v>48</v>
      </c>
      <c r="C1396" s="220" t="s">
        <v>466</v>
      </c>
      <c r="D1396" s="220" t="s">
        <v>206</v>
      </c>
      <c r="E1396" s="165">
        <v>1300</v>
      </c>
    </row>
    <row r="1397" spans="1:5" x14ac:dyDescent="0.25">
      <c r="A1397" s="216" t="s">
        <v>3938</v>
      </c>
      <c r="B1397" s="218" t="s">
        <v>48</v>
      </c>
      <c r="C1397" s="220" t="s">
        <v>3939</v>
      </c>
      <c r="D1397" s="220" t="s">
        <v>93</v>
      </c>
      <c r="E1397" s="165">
        <v>1300</v>
      </c>
    </row>
    <row r="1398" spans="1:5" x14ac:dyDescent="0.25">
      <c r="A1398" s="216" t="s">
        <v>2695</v>
      </c>
      <c r="B1398" s="218" t="s">
        <v>48</v>
      </c>
      <c r="C1398" s="220" t="s">
        <v>2696</v>
      </c>
      <c r="D1398" s="220" t="s">
        <v>394</v>
      </c>
      <c r="E1398" s="165">
        <v>1300</v>
      </c>
    </row>
    <row r="1399" spans="1:5" x14ac:dyDescent="0.25">
      <c r="A1399" s="216" t="s">
        <v>1167</v>
      </c>
      <c r="B1399" s="218" t="s">
        <v>48</v>
      </c>
      <c r="C1399" s="220" t="s">
        <v>1168</v>
      </c>
      <c r="D1399" s="220" t="s">
        <v>192</v>
      </c>
      <c r="E1399" s="165">
        <v>1300</v>
      </c>
    </row>
    <row r="1400" spans="1:5" x14ac:dyDescent="0.25">
      <c r="A1400" s="216" t="s">
        <v>2183</v>
      </c>
      <c r="B1400" s="218">
        <v>1</v>
      </c>
      <c r="C1400" s="220" t="s">
        <v>2184</v>
      </c>
      <c r="D1400" s="220" t="s">
        <v>56</v>
      </c>
      <c r="E1400" s="165">
        <v>1299</v>
      </c>
    </row>
    <row r="1401" spans="1:5" x14ac:dyDescent="0.25">
      <c r="A1401" s="216" t="s">
        <v>2241</v>
      </c>
      <c r="B1401" s="218">
        <v>1</v>
      </c>
      <c r="C1401" s="220" t="s">
        <v>2242</v>
      </c>
      <c r="D1401" s="220" t="s">
        <v>192</v>
      </c>
      <c r="E1401" s="165">
        <v>1298</v>
      </c>
    </row>
    <row r="1402" spans="1:5" x14ac:dyDescent="0.25">
      <c r="A1402" s="216" t="s">
        <v>2176</v>
      </c>
      <c r="B1402" s="218">
        <v>1</v>
      </c>
      <c r="C1402" s="220" t="s">
        <v>2177</v>
      </c>
      <c r="D1402" s="220" t="s">
        <v>188</v>
      </c>
      <c r="E1402" s="165">
        <v>1295</v>
      </c>
    </row>
    <row r="1403" spans="1:5" x14ac:dyDescent="0.25">
      <c r="A1403" s="216" t="s">
        <v>2127</v>
      </c>
      <c r="B1403" s="218" t="s">
        <v>48</v>
      </c>
      <c r="C1403" s="220" t="s">
        <v>2128</v>
      </c>
      <c r="D1403" s="220" t="s">
        <v>75</v>
      </c>
      <c r="E1403" s="165">
        <v>1293</v>
      </c>
    </row>
    <row r="1404" spans="1:5" x14ac:dyDescent="0.25">
      <c r="A1404" s="216" t="s">
        <v>2110</v>
      </c>
      <c r="B1404" s="218" t="s">
        <v>48</v>
      </c>
      <c r="C1404" s="220" t="s">
        <v>1117</v>
      </c>
      <c r="D1404" s="220" t="s">
        <v>53</v>
      </c>
      <c r="E1404" s="165">
        <v>1292</v>
      </c>
    </row>
    <row r="1405" spans="1:5" x14ac:dyDescent="0.25">
      <c r="A1405" s="216" t="s">
        <v>2346</v>
      </c>
      <c r="B1405" s="218">
        <v>1</v>
      </c>
      <c r="C1405" s="220" t="s">
        <v>2347</v>
      </c>
      <c r="D1405" s="220" t="s">
        <v>63</v>
      </c>
      <c r="E1405" s="165">
        <v>1292</v>
      </c>
    </row>
    <row r="1406" spans="1:5" x14ac:dyDescent="0.25">
      <c r="A1406" s="216" t="s">
        <v>2861</v>
      </c>
      <c r="B1406" s="218" t="s">
        <v>48</v>
      </c>
      <c r="C1406" s="220" t="s">
        <v>1214</v>
      </c>
      <c r="D1406" s="220" t="s">
        <v>75</v>
      </c>
      <c r="E1406" s="165">
        <v>1291</v>
      </c>
    </row>
    <row r="1407" spans="1:5" x14ac:dyDescent="0.25">
      <c r="A1407" s="216" t="s">
        <v>2476</v>
      </c>
      <c r="B1407" s="218" t="s">
        <v>48</v>
      </c>
      <c r="C1407" s="220" t="s">
        <v>1513</v>
      </c>
      <c r="D1407" s="220" t="s">
        <v>188</v>
      </c>
      <c r="E1407" s="165">
        <v>1291</v>
      </c>
    </row>
    <row r="1408" spans="1:5" x14ac:dyDescent="0.25">
      <c r="A1408" s="216" t="s">
        <v>2135</v>
      </c>
      <c r="B1408" s="218" t="s">
        <v>48</v>
      </c>
      <c r="C1408" s="220" t="s">
        <v>2136</v>
      </c>
      <c r="D1408" s="220" t="s">
        <v>75</v>
      </c>
      <c r="E1408" s="165">
        <v>1290</v>
      </c>
    </row>
    <row r="1409" spans="1:5" x14ac:dyDescent="0.25">
      <c r="A1409" s="216" t="s">
        <v>1559</v>
      </c>
      <c r="B1409" s="218" t="s">
        <v>48</v>
      </c>
      <c r="C1409" s="220" t="s">
        <v>1560</v>
      </c>
      <c r="D1409" s="220" t="s">
        <v>90</v>
      </c>
      <c r="E1409" s="165">
        <v>1289</v>
      </c>
    </row>
    <row r="1410" spans="1:5" x14ac:dyDescent="0.25">
      <c r="A1410" s="216" t="s">
        <v>2229</v>
      </c>
      <c r="B1410" s="218">
        <v>1</v>
      </c>
      <c r="C1410" s="220" t="s">
        <v>179</v>
      </c>
      <c r="D1410" s="220" t="s">
        <v>66</v>
      </c>
      <c r="E1410" s="165">
        <v>1288</v>
      </c>
    </row>
    <row r="1411" spans="1:5" x14ac:dyDescent="0.25">
      <c r="A1411" s="216" t="s">
        <v>2024</v>
      </c>
      <c r="B1411" s="218">
        <v>1</v>
      </c>
      <c r="C1411" s="220" t="s">
        <v>2025</v>
      </c>
      <c r="D1411" s="220" t="s">
        <v>139</v>
      </c>
      <c r="E1411" s="165">
        <v>1287</v>
      </c>
    </row>
    <row r="1412" spans="1:5" x14ac:dyDescent="0.25">
      <c r="A1412" s="216" t="s">
        <v>2262</v>
      </c>
      <c r="B1412" s="218">
        <v>1</v>
      </c>
      <c r="C1412" s="220" t="s">
        <v>2263</v>
      </c>
      <c r="D1412" s="220" t="s">
        <v>192</v>
      </c>
      <c r="E1412" s="165">
        <v>1285</v>
      </c>
    </row>
    <row r="1413" spans="1:5" x14ac:dyDescent="0.25">
      <c r="A1413" s="216" t="s">
        <v>2094</v>
      </c>
      <c r="B1413" s="218">
        <v>1</v>
      </c>
      <c r="C1413" s="220" t="s">
        <v>2095</v>
      </c>
      <c r="D1413" s="220" t="s">
        <v>394</v>
      </c>
      <c r="E1413" s="165">
        <v>1284</v>
      </c>
    </row>
    <row r="1414" spans="1:5" x14ac:dyDescent="0.25">
      <c r="A1414" s="216" t="s">
        <v>10875</v>
      </c>
      <c r="B1414" s="218" t="s">
        <v>48</v>
      </c>
      <c r="C1414" s="220" t="s">
        <v>11017</v>
      </c>
      <c r="D1414" s="220" t="s">
        <v>222</v>
      </c>
      <c r="E1414" s="165">
        <v>1283</v>
      </c>
    </row>
    <row r="1415" spans="1:5" x14ac:dyDescent="0.25">
      <c r="A1415" s="216" t="s">
        <v>2518</v>
      </c>
      <c r="B1415" s="218" t="s">
        <v>48</v>
      </c>
      <c r="C1415" s="220" t="s">
        <v>2519</v>
      </c>
      <c r="D1415" s="220" t="s">
        <v>523</v>
      </c>
      <c r="E1415" s="165">
        <v>1282</v>
      </c>
    </row>
    <row r="1416" spans="1:5" x14ac:dyDescent="0.25">
      <c r="A1416" s="216" t="s">
        <v>2454</v>
      </c>
      <c r="B1416" s="218">
        <v>1</v>
      </c>
      <c r="C1416" s="220" t="s">
        <v>121</v>
      </c>
      <c r="D1416" s="220" t="s">
        <v>56</v>
      </c>
      <c r="E1416" s="165">
        <v>1279</v>
      </c>
    </row>
    <row r="1417" spans="1:5" x14ac:dyDescent="0.25">
      <c r="A1417" s="216" t="s">
        <v>2149</v>
      </c>
      <c r="B1417" s="218">
        <v>1</v>
      </c>
      <c r="C1417" s="220" t="s">
        <v>1275</v>
      </c>
      <c r="D1417" s="220" t="s">
        <v>78</v>
      </c>
      <c r="E1417" s="165">
        <v>1278</v>
      </c>
    </row>
    <row r="1418" spans="1:5" x14ac:dyDescent="0.25">
      <c r="A1418" s="216" t="s">
        <v>2325</v>
      </c>
      <c r="B1418" s="218" t="s">
        <v>48</v>
      </c>
      <c r="C1418" s="220" t="s">
        <v>129</v>
      </c>
      <c r="D1418" s="220" t="s">
        <v>93</v>
      </c>
      <c r="E1418" s="165">
        <v>1278</v>
      </c>
    </row>
    <row r="1419" spans="1:5" x14ac:dyDescent="0.25">
      <c r="A1419" s="216" t="s">
        <v>2006</v>
      </c>
      <c r="B1419" s="218" t="s">
        <v>48</v>
      </c>
      <c r="C1419" s="220" t="s">
        <v>805</v>
      </c>
      <c r="D1419" s="220" t="s">
        <v>75</v>
      </c>
      <c r="E1419" s="165">
        <v>1276</v>
      </c>
    </row>
    <row r="1420" spans="1:5" x14ac:dyDescent="0.25">
      <c r="A1420" s="216" t="s">
        <v>2029</v>
      </c>
      <c r="B1420" s="218">
        <v>1</v>
      </c>
      <c r="C1420" s="220" t="s">
        <v>647</v>
      </c>
      <c r="D1420" s="220" t="s">
        <v>236</v>
      </c>
      <c r="E1420" s="165">
        <v>1275</v>
      </c>
    </row>
    <row r="1421" spans="1:5" x14ac:dyDescent="0.25">
      <c r="A1421" s="216" t="s">
        <v>10568</v>
      </c>
      <c r="B1421" s="218" t="s">
        <v>48</v>
      </c>
      <c r="C1421" s="220" t="s">
        <v>11018</v>
      </c>
      <c r="D1421" s="220" t="s">
        <v>87</v>
      </c>
      <c r="E1421" s="165">
        <v>1274</v>
      </c>
    </row>
    <row r="1422" spans="1:5" x14ac:dyDescent="0.25">
      <c r="A1422" s="216" t="s">
        <v>2213</v>
      </c>
      <c r="B1422" s="218">
        <v>1</v>
      </c>
      <c r="C1422" s="220" t="s">
        <v>1945</v>
      </c>
      <c r="D1422" s="220" t="s">
        <v>56</v>
      </c>
      <c r="E1422" s="165">
        <v>1274</v>
      </c>
    </row>
    <row r="1423" spans="1:5" x14ac:dyDescent="0.25">
      <c r="A1423" s="216" t="s">
        <v>2591</v>
      </c>
      <c r="B1423" s="218" t="s">
        <v>48</v>
      </c>
      <c r="C1423" s="220" t="s">
        <v>2592</v>
      </c>
      <c r="D1423" s="220" t="s">
        <v>59</v>
      </c>
      <c r="E1423" s="165">
        <v>1270</v>
      </c>
    </row>
    <row r="1424" spans="1:5" x14ac:dyDescent="0.25">
      <c r="A1424" s="216" t="s">
        <v>2595</v>
      </c>
      <c r="B1424" s="218" t="s">
        <v>48</v>
      </c>
      <c r="C1424" s="220" t="s">
        <v>2596</v>
      </c>
      <c r="D1424" s="220" t="s">
        <v>188</v>
      </c>
      <c r="E1424" s="165">
        <v>1270</v>
      </c>
    </row>
    <row r="1425" spans="1:5" x14ac:dyDescent="0.25">
      <c r="A1425" s="216" t="s">
        <v>1634</v>
      </c>
      <c r="B1425" s="218">
        <v>1</v>
      </c>
      <c r="C1425" s="220" t="s">
        <v>129</v>
      </c>
      <c r="D1425" s="220" t="s">
        <v>130</v>
      </c>
      <c r="E1425" s="165">
        <v>1269</v>
      </c>
    </row>
    <row r="1426" spans="1:5" x14ac:dyDescent="0.25">
      <c r="A1426" s="216" t="s">
        <v>2053</v>
      </c>
      <c r="B1426" s="218">
        <v>1</v>
      </c>
      <c r="C1426" s="220" t="s">
        <v>1038</v>
      </c>
      <c r="D1426" s="220" t="s">
        <v>87</v>
      </c>
      <c r="E1426" s="165">
        <v>1267</v>
      </c>
    </row>
    <row r="1427" spans="1:5" x14ac:dyDescent="0.25">
      <c r="A1427" s="216" t="s">
        <v>2220</v>
      </c>
      <c r="B1427" s="218">
        <v>1</v>
      </c>
      <c r="C1427" s="220" t="s">
        <v>270</v>
      </c>
      <c r="D1427" s="220" t="s">
        <v>177</v>
      </c>
      <c r="E1427" s="165">
        <v>1267</v>
      </c>
    </row>
    <row r="1428" spans="1:5" x14ac:dyDescent="0.25">
      <c r="A1428" s="216" t="s">
        <v>1920</v>
      </c>
      <c r="B1428" s="218" t="s">
        <v>48</v>
      </c>
      <c r="C1428" s="220" t="s">
        <v>1921</v>
      </c>
      <c r="D1428" s="220" t="s">
        <v>188</v>
      </c>
      <c r="E1428" s="165">
        <v>1263</v>
      </c>
    </row>
    <row r="1429" spans="1:5" x14ac:dyDescent="0.25">
      <c r="A1429" s="216" t="s">
        <v>2153</v>
      </c>
      <c r="B1429" s="218">
        <v>1</v>
      </c>
      <c r="C1429" s="220" t="s">
        <v>1241</v>
      </c>
      <c r="D1429" s="220" t="s">
        <v>11019</v>
      </c>
      <c r="E1429" s="165">
        <v>1262</v>
      </c>
    </row>
    <row r="1430" spans="1:5" x14ac:dyDescent="0.25">
      <c r="A1430" s="216" t="s">
        <v>2302</v>
      </c>
      <c r="B1430" s="218">
        <v>1</v>
      </c>
      <c r="C1430" s="220" t="s">
        <v>1140</v>
      </c>
      <c r="D1430" s="220" t="s">
        <v>394</v>
      </c>
      <c r="E1430" s="165">
        <v>1259</v>
      </c>
    </row>
    <row r="1431" spans="1:5" x14ac:dyDescent="0.25">
      <c r="A1431" s="216" t="s">
        <v>11020</v>
      </c>
      <c r="B1431" s="218" t="s">
        <v>48</v>
      </c>
      <c r="C1431" s="220" t="s">
        <v>538</v>
      </c>
      <c r="D1431" s="220" t="s">
        <v>90</v>
      </c>
      <c r="E1431" s="165">
        <v>1259</v>
      </c>
    </row>
    <row r="1432" spans="1:5" x14ac:dyDescent="0.25">
      <c r="A1432" s="216" t="s">
        <v>2226</v>
      </c>
      <c r="B1432" s="218">
        <v>1</v>
      </c>
      <c r="C1432" s="220" t="s">
        <v>238</v>
      </c>
      <c r="D1432" s="220" t="s">
        <v>98</v>
      </c>
      <c r="E1432" s="165">
        <v>1258</v>
      </c>
    </row>
    <row r="1433" spans="1:5" x14ac:dyDescent="0.25">
      <c r="A1433" s="216" t="s">
        <v>2620</v>
      </c>
      <c r="B1433" s="218">
        <v>1</v>
      </c>
      <c r="C1433" s="220" t="s">
        <v>657</v>
      </c>
      <c r="D1433" s="220" t="s">
        <v>264</v>
      </c>
      <c r="E1433" s="165">
        <v>1256</v>
      </c>
    </row>
    <row r="1434" spans="1:5" x14ac:dyDescent="0.25">
      <c r="A1434" s="216" t="s">
        <v>2371</v>
      </c>
      <c r="B1434" s="218">
        <v>1</v>
      </c>
      <c r="C1434" s="220" t="s">
        <v>274</v>
      </c>
      <c r="D1434" s="220" t="s">
        <v>188</v>
      </c>
      <c r="E1434" s="165">
        <v>1254</v>
      </c>
    </row>
    <row r="1435" spans="1:5" x14ac:dyDescent="0.25">
      <c r="A1435" s="216" t="s">
        <v>2250</v>
      </c>
      <c r="B1435" s="218">
        <v>1</v>
      </c>
      <c r="C1435" s="220" t="s">
        <v>2251</v>
      </c>
      <c r="D1435" s="220" t="s">
        <v>56</v>
      </c>
      <c r="E1435" s="165">
        <v>1254</v>
      </c>
    </row>
    <row r="1436" spans="1:5" x14ac:dyDescent="0.25">
      <c r="A1436" s="216" t="s">
        <v>2227</v>
      </c>
      <c r="B1436" s="218">
        <v>1</v>
      </c>
      <c r="C1436" s="220" t="s">
        <v>622</v>
      </c>
      <c r="D1436" s="220" t="s">
        <v>124</v>
      </c>
      <c r="E1436" s="165">
        <v>1252</v>
      </c>
    </row>
    <row r="1437" spans="1:5" x14ac:dyDescent="0.25">
      <c r="A1437" s="216" t="s">
        <v>2494</v>
      </c>
      <c r="B1437" s="218" t="s">
        <v>48</v>
      </c>
      <c r="C1437" s="220" t="s">
        <v>988</v>
      </c>
      <c r="D1437" s="220" t="s">
        <v>69</v>
      </c>
      <c r="E1437" s="165">
        <v>1251</v>
      </c>
    </row>
    <row r="1438" spans="1:5" x14ac:dyDescent="0.25">
      <c r="A1438" s="216" t="s">
        <v>2331</v>
      </c>
      <c r="B1438" s="218" t="s">
        <v>48</v>
      </c>
      <c r="C1438" s="220" t="s">
        <v>768</v>
      </c>
      <c r="D1438" s="220" t="s">
        <v>264</v>
      </c>
      <c r="E1438" s="165">
        <v>1250</v>
      </c>
    </row>
    <row r="1439" spans="1:5" x14ac:dyDescent="0.25">
      <c r="A1439" s="216" t="s">
        <v>8108</v>
      </c>
      <c r="B1439" s="218" t="s">
        <v>48</v>
      </c>
      <c r="C1439" s="220" t="s">
        <v>102</v>
      </c>
      <c r="D1439" s="220" t="s">
        <v>93</v>
      </c>
      <c r="E1439" s="165">
        <v>1250</v>
      </c>
    </row>
    <row r="1440" spans="1:5" x14ac:dyDescent="0.25">
      <c r="A1440" s="216" t="s">
        <v>2335</v>
      </c>
      <c r="B1440" s="218" t="s">
        <v>48</v>
      </c>
      <c r="C1440" s="220" t="s">
        <v>2336</v>
      </c>
      <c r="D1440" s="220" t="s">
        <v>82</v>
      </c>
      <c r="E1440" s="165">
        <v>1250</v>
      </c>
    </row>
    <row r="1441" spans="1:5" x14ac:dyDescent="0.25">
      <c r="A1441" s="216" t="s">
        <v>2462</v>
      </c>
      <c r="B1441" s="218" t="s">
        <v>48</v>
      </c>
      <c r="C1441" s="220" t="s">
        <v>1022</v>
      </c>
      <c r="D1441" s="220" t="s">
        <v>277</v>
      </c>
      <c r="E1441" s="165">
        <v>1250</v>
      </c>
    </row>
    <row r="1442" spans="1:5" x14ac:dyDescent="0.25">
      <c r="A1442" s="216" t="s">
        <v>2031</v>
      </c>
      <c r="B1442" s="218" t="s">
        <v>48</v>
      </c>
      <c r="C1442" s="220" t="s">
        <v>2032</v>
      </c>
      <c r="D1442" s="220" t="s">
        <v>75</v>
      </c>
      <c r="E1442" s="165">
        <v>1249</v>
      </c>
    </row>
    <row r="1443" spans="1:5" x14ac:dyDescent="0.25">
      <c r="A1443" s="216" t="s">
        <v>2373</v>
      </c>
      <c r="B1443" s="218">
        <v>1</v>
      </c>
      <c r="C1443" s="220" t="s">
        <v>2374</v>
      </c>
      <c r="D1443" s="220" t="s">
        <v>188</v>
      </c>
      <c r="E1443" s="165">
        <v>1249</v>
      </c>
    </row>
    <row r="1444" spans="1:5" x14ac:dyDescent="0.25">
      <c r="A1444" s="216" t="s">
        <v>2593</v>
      </c>
      <c r="B1444" s="218">
        <v>1</v>
      </c>
      <c r="C1444" s="220" t="s">
        <v>2594</v>
      </c>
      <c r="D1444" s="220" t="s">
        <v>105</v>
      </c>
      <c r="E1444" s="165">
        <v>1247</v>
      </c>
    </row>
    <row r="1445" spans="1:5" x14ac:dyDescent="0.25">
      <c r="A1445" s="216" t="s">
        <v>2402</v>
      </c>
      <c r="B1445" s="218">
        <v>1</v>
      </c>
      <c r="C1445" s="220" t="s">
        <v>927</v>
      </c>
      <c r="D1445" s="220" t="s">
        <v>63</v>
      </c>
      <c r="E1445" s="165">
        <v>1246</v>
      </c>
    </row>
    <row r="1446" spans="1:5" x14ac:dyDescent="0.25">
      <c r="A1446" s="216" t="s">
        <v>1989</v>
      </c>
      <c r="B1446" s="218" t="s">
        <v>48</v>
      </c>
      <c r="C1446" s="220" t="s">
        <v>150</v>
      </c>
      <c r="D1446" s="220" t="s">
        <v>66</v>
      </c>
      <c r="E1446" s="165">
        <v>1246</v>
      </c>
    </row>
    <row r="1447" spans="1:5" x14ac:dyDescent="0.25">
      <c r="A1447" s="216" t="s">
        <v>1352</v>
      </c>
      <c r="B1447" s="218" t="s">
        <v>48</v>
      </c>
      <c r="C1447" s="220" t="s">
        <v>473</v>
      </c>
      <c r="D1447" s="220" t="s">
        <v>82</v>
      </c>
      <c r="E1447" s="165">
        <v>1245</v>
      </c>
    </row>
    <row r="1448" spans="1:5" x14ac:dyDescent="0.25">
      <c r="A1448" s="216" t="s">
        <v>1949</v>
      </c>
      <c r="B1448" s="218">
        <v>1</v>
      </c>
      <c r="C1448" s="220" t="s">
        <v>1950</v>
      </c>
      <c r="D1448" s="220" t="s">
        <v>523</v>
      </c>
      <c r="E1448" s="165">
        <v>1244</v>
      </c>
    </row>
    <row r="1449" spans="1:5" x14ac:dyDescent="0.25">
      <c r="A1449" s="216" t="s">
        <v>2867</v>
      </c>
      <c r="B1449" s="218">
        <v>1</v>
      </c>
      <c r="C1449" s="220" t="s">
        <v>2541</v>
      </c>
      <c r="D1449" s="220" t="s">
        <v>69</v>
      </c>
      <c r="E1449" s="165">
        <v>1243</v>
      </c>
    </row>
    <row r="1450" spans="1:5" x14ac:dyDescent="0.25">
      <c r="A1450" s="216" t="s">
        <v>2376</v>
      </c>
      <c r="B1450" s="218" t="s">
        <v>48</v>
      </c>
      <c r="C1450" s="220" t="s">
        <v>257</v>
      </c>
      <c r="D1450" s="220" t="s">
        <v>108</v>
      </c>
      <c r="E1450" s="165">
        <v>1243</v>
      </c>
    </row>
    <row r="1451" spans="1:5" x14ac:dyDescent="0.25">
      <c r="A1451" s="216" t="s">
        <v>2416</v>
      </c>
      <c r="B1451" s="218" t="s">
        <v>48</v>
      </c>
      <c r="C1451" s="220" t="s">
        <v>2417</v>
      </c>
      <c r="D1451" s="220" t="s">
        <v>53</v>
      </c>
      <c r="E1451" s="165">
        <v>1243</v>
      </c>
    </row>
    <row r="1452" spans="1:5" x14ac:dyDescent="0.25">
      <c r="A1452" s="216" t="s">
        <v>2429</v>
      </c>
      <c r="B1452" s="218" t="s">
        <v>48</v>
      </c>
      <c r="C1452" s="220" t="s">
        <v>1562</v>
      </c>
      <c r="D1452" s="220" t="s">
        <v>201</v>
      </c>
      <c r="E1452" s="165">
        <v>1242</v>
      </c>
    </row>
    <row r="1453" spans="1:5" x14ac:dyDescent="0.25">
      <c r="A1453" s="216" t="s">
        <v>1797</v>
      </c>
      <c r="B1453" s="218">
        <v>1</v>
      </c>
      <c r="C1453" s="220" t="s">
        <v>1798</v>
      </c>
      <c r="D1453" s="220" t="s">
        <v>201</v>
      </c>
      <c r="E1453" s="165">
        <v>1242</v>
      </c>
    </row>
    <row r="1454" spans="1:5" x14ac:dyDescent="0.25">
      <c r="A1454" s="216" t="s">
        <v>2058</v>
      </c>
      <c r="B1454" s="218">
        <v>1</v>
      </c>
      <c r="C1454" s="220" t="s">
        <v>1111</v>
      </c>
      <c r="D1454" s="220" t="s">
        <v>118</v>
      </c>
      <c r="E1454" s="165">
        <v>1240</v>
      </c>
    </row>
    <row r="1455" spans="1:5" x14ac:dyDescent="0.25">
      <c r="A1455" s="216" t="s">
        <v>10852</v>
      </c>
      <c r="B1455" s="218" t="s">
        <v>48</v>
      </c>
      <c r="C1455" s="220" t="s">
        <v>4355</v>
      </c>
      <c r="D1455" s="220" t="s">
        <v>53</v>
      </c>
      <c r="E1455" s="165">
        <v>1240</v>
      </c>
    </row>
    <row r="1456" spans="1:5" x14ac:dyDescent="0.25">
      <c r="A1456" s="216" t="s">
        <v>2455</v>
      </c>
      <c r="B1456" s="218" t="s">
        <v>48</v>
      </c>
      <c r="C1456" s="220" t="s">
        <v>2456</v>
      </c>
      <c r="D1456" s="220" t="s">
        <v>139</v>
      </c>
      <c r="E1456" s="165">
        <v>1240</v>
      </c>
    </row>
    <row r="1457" spans="1:5" x14ac:dyDescent="0.25">
      <c r="A1457" s="216" t="s">
        <v>2283</v>
      </c>
      <c r="B1457" s="218">
        <v>1</v>
      </c>
      <c r="C1457" s="220" t="s">
        <v>157</v>
      </c>
      <c r="D1457" s="220" t="s">
        <v>56</v>
      </c>
      <c r="E1457" s="165">
        <v>1238</v>
      </c>
    </row>
    <row r="1458" spans="1:5" x14ac:dyDescent="0.25">
      <c r="A1458" s="216" t="s">
        <v>2819</v>
      </c>
      <c r="B1458" s="218" t="s">
        <v>48</v>
      </c>
      <c r="C1458" s="220" t="s">
        <v>263</v>
      </c>
      <c r="D1458" s="220" t="s">
        <v>264</v>
      </c>
      <c r="E1458" s="165">
        <v>1238</v>
      </c>
    </row>
    <row r="1459" spans="1:5" x14ac:dyDescent="0.25">
      <c r="A1459" s="216" t="s">
        <v>2688</v>
      </c>
      <c r="B1459" s="218" t="s">
        <v>48</v>
      </c>
      <c r="C1459" s="220" t="s">
        <v>2689</v>
      </c>
      <c r="D1459" s="220" t="s">
        <v>69</v>
      </c>
      <c r="E1459" s="165">
        <v>1237</v>
      </c>
    </row>
    <row r="1460" spans="1:5" x14ac:dyDescent="0.25">
      <c r="A1460" s="216" t="s">
        <v>3141</v>
      </c>
      <c r="B1460" s="218">
        <v>1</v>
      </c>
      <c r="C1460" s="220" t="s">
        <v>3142</v>
      </c>
      <c r="D1460" s="220" t="s">
        <v>264</v>
      </c>
      <c r="E1460" s="165">
        <v>1235</v>
      </c>
    </row>
    <row r="1461" spans="1:5" x14ac:dyDescent="0.25">
      <c r="A1461" s="216" t="s">
        <v>2512</v>
      </c>
      <c r="B1461" s="218" t="s">
        <v>48</v>
      </c>
      <c r="C1461" s="220" t="s">
        <v>891</v>
      </c>
      <c r="D1461" s="220" t="s">
        <v>56</v>
      </c>
      <c r="E1461" s="165">
        <v>1233</v>
      </c>
    </row>
    <row r="1462" spans="1:5" x14ac:dyDescent="0.25">
      <c r="A1462" s="216" t="s">
        <v>2328</v>
      </c>
      <c r="B1462" s="218">
        <v>1</v>
      </c>
      <c r="C1462" s="220" t="s">
        <v>797</v>
      </c>
      <c r="D1462" s="220" t="s">
        <v>130</v>
      </c>
      <c r="E1462" s="165">
        <v>1231</v>
      </c>
    </row>
    <row r="1463" spans="1:5" x14ac:dyDescent="0.25">
      <c r="A1463" s="216" t="s">
        <v>2513</v>
      </c>
      <c r="B1463" s="218" t="s">
        <v>48</v>
      </c>
      <c r="C1463" s="220" t="s">
        <v>2514</v>
      </c>
      <c r="D1463" s="220" t="s">
        <v>177</v>
      </c>
      <c r="E1463" s="165">
        <v>1231</v>
      </c>
    </row>
    <row r="1464" spans="1:5" x14ac:dyDescent="0.25">
      <c r="A1464" s="216" t="s">
        <v>2300</v>
      </c>
      <c r="B1464" s="218">
        <v>1</v>
      </c>
      <c r="C1464" s="220" t="s">
        <v>2301</v>
      </c>
      <c r="D1464" s="220" t="s">
        <v>192</v>
      </c>
      <c r="E1464" s="165">
        <v>1230</v>
      </c>
    </row>
    <row r="1465" spans="1:5" x14ac:dyDescent="0.25">
      <c r="A1465" s="216" t="s">
        <v>2224</v>
      </c>
      <c r="B1465" s="218" t="s">
        <v>48</v>
      </c>
      <c r="C1465" s="220" t="s">
        <v>2225</v>
      </c>
      <c r="D1465" s="220" t="s">
        <v>90</v>
      </c>
      <c r="E1465" s="165">
        <v>1230</v>
      </c>
    </row>
    <row r="1466" spans="1:5" x14ac:dyDescent="0.25">
      <c r="A1466" s="216" t="s">
        <v>2492</v>
      </c>
      <c r="B1466" s="218" t="s">
        <v>48</v>
      </c>
      <c r="C1466" s="220" t="s">
        <v>2493</v>
      </c>
      <c r="D1466" s="220" t="s">
        <v>59</v>
      </c>
      <c r="E1466" s="165">
        <v>1227</v>
      </c>
    </row>
    <row r="1467" spans="1:5" x14ac:dyDescent="0.25">
      <c r="A1467" s="216" t="s">
        <v>11021</v>
      </c>
      <c r="B1467" s="218" t="s">
        <v>48</v>
      </c>
      <c r="C1467" s="220" t="s">
        <v>1087</v>
      </c>
      <c r="D1467" s="220" t="s">
        <v>188</v>
      </c>
      <c r="E1467" s="165">
        <v>1227</v>
      </c>
    </row>
    <row r="1468" spans="1:5" x14ac:dyDescent="0.25">
      <c r="A1468" s="216" t="s">
        <v>2480</v>
      </c>
      <c r="B1468" s="218">
        <v>1</v>
      </c>
      <c r="C1468" s="220" t="s">
        <v>574</v>
      </c>
      <c r="D1468" s="220" t="s">
        <v>575</v>
      </c>
      <c r="E1468" s="165">
        <v>1226</v>
      </c>
    </row>
    <row r="1469" spans="1:5" x14ac:dyDescent="0.25">
      <c r="A1469" s="216" t="s">
        <v>2379</v>
      </c>
      <c r="B1469" s="218">
        <v>1</v>
      </c>
      <c r="C1469" s="220" t="s">
        <v>2380</v>
      </c>
      <c r="D1469" s="220" t="s">
        <v>188</v>
      </c>
      <c r="E1469" s="165">
        <v>1226</v>
      </c>
    </row>
    <row r="1470" spans="1:5" x14ac:dyDescent="0.25">
      <c r="A1470" s="216" t="s">
        <v>2397</v>
      </c>
      <c r="B1470" s="218">
        <v>1</v>
      </c>
      <c r="C1470" s="220" t="s">
        <v>2398</v>
      </c>
      <c r="D1470" s="220" t="s">
        <v>56</v>
      </c>
      <c r="E1470" s="165">
        <v>1225</v>
      </c>
    </row>
    <row r="1471" spans="1:5" x14ac:dyDescent="0.25">
      <c r="A1471" s="216" t="s">
        <v>2498</v>
      </c>
      <c r="B1471" s="218" t="s">
        <v>48</v>
      </c>
      <c r="C1471" s="220" t="s">
        <v>2499</v>
      </c>
      <c r="D1471" s="220" t="s">
        <v>139</v>
      </c>
      <c r="E1471" s="165">
        <v>1225</v>
      </c>
    </row>
    <row r="1472" spans="1:5" x14ac:dyDescent="0.25">
      <c r="A1472" s="216" t="s">
        <v>2286</v>
      </c>
      <c r="B1472" s="218" t="s">
        <v>48</v>
      </c>
      <c r="C1472" s="220" t="s">
        <v>102</v>
      </c>
      <c r="D1472" s="220" t="s">
        <v>93</v>
      </c>
      <c r="E1472" s="165">
        <v>1224</v>
      </c>
    </row>
    <row r="1473" spans="1:5" x14ac:dyDescent="0.25">
      <c r="A1473" s="216" t="s">
        <v>2261</v>
      </c>
      <c r="B1473" s="218" t="s">
        <v>48</v>
      </c>
      <c r="C1473" s="220" t="s">
        <v>289</v>
      </c>
      <c r="D1473" s="220" t="s">
        <v>69</v>
      </c>
      <c r="E1473" s="165">
        <v>1222</v>
      </c>
    </row>
    <row r="1474" spans="1:5" x14ac:dyDescent="0.25">
      <c r="A1474" s="216" t="s">
        <v>2180</v>
      </c>
      <c r="B1474" s="218">
        <v>1</v>
      </c>
      <c r="C1474" s="220" t="s">
        <v>713</v>
      </c>
      <c r="D1474" s="220" t="s">
        <v>142</v>
      </c>
      <c r="E1474" s="165">
        <v>1221</v>
      </c>
    </row>
    <row r="1475" spans="1:5" x14ac:dyDescent="0.25">
      <c r="A1475" s="216" t="s">
        <v>2147</v>
      </c>
      <c r="B1475" s="218">
        <v>1</v>
      </c>
      <c r="C1475" s="220" t="s">
        <v>638</v>
      </c>
      <c r="D1475" s="220" t="s">
        <v>87</v>
      </c>
      <c r="E1475" s="165">
        <v>1220</v>
      </c>
    </row>
    <row r="1476" spans="1:5" x14ac:dyDescent="0.25">
      <c r="A1476" s="216" t="s">
        <v>3055</v>
      </c>
      <c r="B1476" s="218" t="s">
        <v>48</v>
      </c>
      <c r="C1476" s="220" t="s">
        <v>3056</v>
      </c>
      <c r="D1476" s="220" t="s">
        <v>90</v>
      </c>
      <c r="E1476" s="165">
        <v>1218</v>
      </c>
    </row>
    <row r="1477" spans="1:5" x14ac:dyDescent="0.25">
      <c r="A1477" s="216" t="s">
        <v>2342</v>
      </c>
      <c r="B1477" s="218">
        <v>1</v>
      </c>
      <c r="C1477" s="220" t="s">
        <v>2343</v>
      </c>
      <c r="D1477" s="220" t="s">
        <v>98</v>
      </c>
      <c r="E1477" s="165">
        <v>1217</v>
      </c>
    </row>
    <row r="1478" spans="1:5" x14ac:dyDescent="0.25">
      <c r="A1478" s="216" t="s">
        <v>2356</v>
      </c>
      <c r="B1478" s="218">
        <v>1</v>
      </c>
      <c r="C1478" s="220" t="s">
        <v>611</v>
      </c>
      <c r="D1478" s="220" t="s">
        <v>63</v>
      </c>
      <c r="E1478" s="165">
        <v>1216</v>
      </c>
    </row>
    <row r="1479" spans="1:5" x14ac:dyDescent="0.25">
      <c r="A1479" s="216" t="s">
        <v>2194</v>
      </c>
      <c r="B1479" s="218">
        <v>1</v>
      </c>
      <c r="C1479" s="220" t="s">
        <v>2195</v>
      </c>
      <c r="D1479" s="220" t="s">
        <v>69</v>
      </c>
      <c r="E1479" s="165">
        <v>1214</v>
      </c>
    </row>
    <row r="1480" spans="1:5" x14ac:dyDescent="0.25">
      <c r="A1480" s="216" t="s">
        <v>2308</v>
      </c>
      <c r="B1480" s="218">
        <v>1</v>
      </c>
      <c r="C1480" s="220" t="s">
        <v>2309</v>
      </c>
      <c r="D1480" s="220" t="s">
        <v>56</v>
      </c>
      <c r="E1480" s="165">
        <v>1213</v>
      </c>
    </row>
    <row r="1481" spans="1:5" x14ac:dyDescent="0.25">
      <c r="A1481" s="216" t="s">
        <v>10707</v>
      </c>
      <c r="B1481" s="218">
        <v>1</v>
      </c>
      <c r="C1481" s="220" t="s">
        <v>761</v>
      </c>
      <c r="D1481" s="220" t="s">
        <v>188</v>
      </c>
      <c r="E1481" s="165">
        <v>1212</v>
      </c>
    </row>
    <row r="1482" spans="1:5" x14ac:dyDescent="0.25">
      <c r="A1482" s="216" t="s">
        <v>1802</v>
      </c>
      <c r="B1482" s="218" t="s">
        <v>48</v>
      </c>
      <c r="C1482" s="220" t="s">
        <v>511</v>
      </c>
      <c r="D1482" s="220" t="s">
        <v>82</v>
      </c>
      <c r="E1482" s="165">
        <v>1211</v>
      </c>
    </row>
    <row r="1483" spans="1:5" x14ac:dyDescent="0.25">
      <c r="A1483" s="216" t="s">
        <v>2338</v>
      </c>
      <c r="B1483" s="218" t="s">
        <v>48</v>
      </c>
      <c r="C1483" s="220" t="s">
        <v>135</v>
      </c>
      <c r="D1483" s="220" t="s">
        <v>108</v>
      </c>
      <c r="E1483" s="165">
        <v>1210</v>
      </c>
    </row>
    <row r="1484" spans="1:5" x14ac:dyDescent="0.25">
      <c r="A1484" s="216" t="s">
        <v>2420</v>
      </c>
      <c r="B1484" s="218" t="s">
        <v>48</v>
      </c>
      <c r="C1484" s="220" t="s">
        <v>511</v>
      </c>
      <c r="D1484" s="220" t="s">
        <v>523</v>
      </c>
      <c r="E1484" s="165">
        <v>1210</v>
      </c>
    </row>
    <row r="1485" spans="1:5" x14ac:dyDescent="0.25">
      <c r="A1485" s="216" t="s">
        <v>3000</v>
      </c>
      <c r="B1485" s="218">
        <v>1</v>
      </c>
      <c r="C1485" s="220" t="s">
        <v>3001</v>
      </c>
      <c r="D1485" s="220" t="s">
        <v>575</v>
      </c>
      <c r="E1485" s="165">
        <v>1210</v>
      </c>
    </row>
    <row r="1486" spans="1:5" x14ac:dyDescent="0.25">
      <c r="A1486" s="216" t="s">
        <v>2267</v>
      </c>
      <c r="B1486" s="218">
        <v>1</v>
      </c>
      <c r="C1486" s="220" t="s">
        <v>1164</v>
      </c>
      <c r="D1486" s="220" t="s">
        <v>277</v>
      </c>
      <c r="E1486" s="165">
        <v>1210</v>
      </c>
    </row>
    <row r="1487" spans="1:5" x14ac:dyDescent="0.25">
      <c r="A1487" s="216" t="s">
        <v>2399</v>
      </c>
      <c r="B1487" s="218" t="s">
        <v>48</v>
      </c>
      <c r="C1487" s="220" t="s">
        <v>2400</v>
      </c>
      <c r="D1487" s="220" t="s">
        <v>124</v>
      </c>
      <c r="E1487" s="165">
        <v>1209</v>
      </c>
    </row>
    <row r="1488" spans="1:5" x14ac:dyDescent="0.25">
      <c r="A1488" s="216" t="s">
        <v>629</v>
      </c>
      <c r="B1488" s="218">
        <v>1</v>
      </c>
      <c r="C1488" s="220" t="s">
        <v>159</v>
      </c>
      <c r="D1488" s="220" t="s">
        <v>130</v>
      </c>
      <c r="E1488" s="165">
        <v>1209</v>
      </c>
    </row>
    <row r="1489" spans="1:5" x14ac:dyDescent="0.25">
      <c r="A1489" s="216" t="s">
        <v>2613</v>
      </c>
      <c r="B1489" s="218">
        <v>1</v>
      </c>
      <c r="C1489" s="220" t="s">
        <v>647</v>
      </c>
      <c r="D1489" s="220" t="s">
        <v>236</v>
      </c>
      <c r="E1489" s="165">
        <v>1208</v>
      </c>
    </row>
    <row r="1490" spans="1:5" x14ac:dyDescent="0.25">
      <c r="A1490" s="216" t="s">
        <v>2422</v>
      </c>
      <c r="B1490" s="218">
        <v>1</v>
      </c>
      <c r="C1490" s="220" t="s">
        <v>2423</v>
      </c>
      <c r="D1490" s="220" t="s">
        <v>188</v>
      </c>
      <c r="E1490" s="165">
        <v>1207</v>
      </c>
    </row>
    <row r="1491" spans="1:5" x14ac:dyDescent="0.25">
      <c r="A1491" s="216" t="s">
        <v>2271</v>
      </c>
      <c r="B1491" s="218">
        <v>1</v>
      </c>
      <c r="C1491" s="220" t="s">
        <v>2272</v>
      </c>
      <c r="D1491" s="220" t="s">
        <v>50</v>
      </c>
      <c r="E1491" s="165">
        <v>1207</v>
      </c>
    </row>
    <row r="1492" spans="1:5" x14ac:dyDescent="0.25">
      <c r="A1492" s="216" t="s">
        <v>2368</v>
      </c>
      <c r="B1492" s="218">
        <v>1</v>
      </c>
      <c r="C1492" s="220" t="s">
        <v>289</v>
      </c>
      <c r="D1492" s="220" t="s">
        <v>69</v>
      </c>
      <c r="E1492" s="165">
        <v>1205</v>
      </c>
    </row>
    <row r="1493" spans="1:5" x14ac:dyDescent="0.25">
      <c r="A1493" s="216" t="s">
        <v>2081</v>
      </c>
      <c r="B1493" s="218">
        <v>1</v>
      </c>
      <c r="C1493" s="220" t="s">
        <v>141</v>
      </c>
      <c r="D1493" s="220" t="s">
        <v>142</v>
      </c>
      <c r="E1493" s="165">
        <v>1204</v>
      </c>
    </row>
    <row r="1494" spans="1:5" x14ac:dyDescent="0.25">
      <c r="A1494" s="216" t="s">
        <v>2303</v>
      </c>
      <c r="B1494" s="218">
        <v>1</v>
      </c>
      <c r="C1494" s="220" t="s">
        <v>2304</v>
      </c>
      <c r="D1494" s="220" t="s">
        <v>56</v>
      </c>
      <c r="E1494" s="165">
        <v>1204</v>
      </c>
    </row>
    <row r="1495" spans="1:5" x14ac:dyDescent="0.25">
      <c r="A1495" s="216" t="s">
        <v>11022</v>
      </c>
      <c r="B1495" s="218">
        <v>1</v>
      </c>
      <c r="C1495" s="220" t="s">
        <v>11023</v>
      </c>
      <c r="D1495" s="220" t="s">
        <v>63</v>
      </c>
      <c r="E1495" s="165">
        <v>1203</v>
      </c>
    </row>
    <row r="1496" spans="1:5" x14ac:dyDescent="0.25">
      <c r="A1496" s="216" t="s">
        <v>9905</v>
      </c>
      <c r="B1496" s="218" t="s">
        <v>48</v>
      </c>
      <c r="C1496" s="220" t="s">
        <v>679</v>
      </c>
      <c r="D1496" s="220" t="s">
        <v>206</v>
      </c>
      <c r="E1496" s="165">
        <v>1202</v>
      </c>
    </row>
    <row r="1497" spans="1:5" x14ac:dyDescent="0.25">
      <c r="A1497" s="216" t="s">
        <v>2409</v>
      </c>
      <c r="B1497" s="218" t="s">
        <v>48</v>
      </c>
      <c r="C1497" s="220" t="s">
        <v>283</v>
      </c>
      <c r="D1497" s="220" t="s">
        <v>59</v>
      </c>
      <c r="E1497" s="165">
        <v>1200</v>
      </c>
    </row>
    <row r="1498" spans="1:5" x14ac:dyDescent="0.25">
      <c r="A1498" s="216" t="s">
        <v>2434</v>
      </c>
      <c r="B1498" s="218" t="s">
        <v>48</v>
      </c>
      <c r="C1498" s="220" t="s">
        <v>845</v>
      </c>
      <c r="D1498" s="220" t="s">
        <v>66</v>
      </c>
      <c r="E1498" s="165">
        <v>1200</v>
      </c>
    </row>
    <row r="1499" spans="1:5" x14ac:dyDescent="0.25">
      <c r="A1499" s="216" t="s">
        <v>2312</v>
      </c>
      <c r="B1499" s="218">
        <v>1</v>
      </c>
      <c r="C1499" s="220" t="s">
        <v>2313</v>
      </c>
      <c r="D1499" s="220" t="s">
        <v>56</v>
      </c>
      <c r="E1499" s="165">
        <v>1200</v>
      </c>
    </row>
    <row r="1500" spans="1:5" x14ac:dyDescent="0.25">
      <c r="A1500" s="216" t="s">
        <v>11024</v>
      </c>
      <c r="B1500" s="218" t="s">
        <v>48</v>
      </c>
      <c r="C1500" s="220" t="s">
        <v>11025</v>
      </c>
      <c r="D1500" s="220" t="s">
        <v>201</v>
      </c>
      <c r="E1500" s="165">
        <v>1200</v>
      </c>
    </row>
    <row r="1501" spans="1:5" x14ac:dyDescent="0.25">
      <c r="A1501" s="216" t="s">
        <v>2674</v>
      </c>
      <c r="B1501" s="218" t="s">
        <v>48</v>
      </c>
      <c r="C1501" s="220" t="s">
        <v>375</v>
      </c>
      <c r="D1501" s="220" t="s">
        <v>118</v>
      </c>
      <c r="E1501" s="165">
        <v>1200</v>
      </c>
    </row>
    <row r="1502" spans="1:5" x14ac:dyDescent="0.25">
      <c r="A1502" s="216" t="s">
        <v>2846</v>
      </c>
      <c r="B1502" s="218" t="s">
        <v>48</v>
      </c>
      <c r="C1502" s="220" t="s">
        <v>2847</v>
      </c>
      <c r="D1502" s="220" t="s">
        <v>264</v>
      </c>
      <c r="E1502" s="165">
        <v>1200</v>
      </c>
    </row>
    <row r="1503" spans="1:5" x14ac:dyDescent="0.25">
      <c r="A1503" s="216" t="s">
        <v>7410</v>
      </c>
      <c r="B1503" s="218" t="s">
        <v>48</v>
      </c>
      <c r="C1503" s="220" t="s">
        <v>956</v>
      </c>
      <c r="D1503" s="220" t="s">
        <v>93</v>
      </c>
      <c r="E1503" s="165">
        <v>1200</v>
      </c>
    </row>
    <row r="1504" spans="1:5" x14ac:dyDescent="0.25">
      <c r="A1504" s="216" t="s">
        <v>3028</v>
      </c>
      <c r="B1504" s="218" t="s">
        <v>48</v>
      </c>
      <c r="C1504" s="220" t="s">
        <v>3029</v>
      </c>
      <c r="D1504" s="220" t="s">
        <v>113</v>
      </c>
      <c r="E1504" s="165">
        <v>1200</v>
      </c>
    </row>
    <row r="1505" spans="1:5" x14ac:dyDescent="0.25">
      <c r="A1505" s="216" t="s">
        <v>2364</v>
      </c>
      <c r="B1505" s="218">
        <v>1</v>
      </c>
      <c r="C1505" s="220" t="s">
        <v>2365</v>
      </c>
      <c r="D1505" s="220" t="s">
        <v>130</v>
      </c>
      <c r="E1505" s="165">
        <v>1200</v>
      </c>
    </row>
    <row r="1506" spans="1:5" x14ac:dyDescent="0.25">
      <c r="A1506" s="216" t="s">
        <v>10768</v>
      </c>
      <c r="B1506" s="218" t="s">
        <v>48</v>
      </c>
      <c r="C1506" s="220" t="s">
        <v>11026</v>
      </c>
      <c r="D1506" s="220" t="s">
        <v>82</v>
      </c>
      <c r="E1506" s="165">
        <v>1200</v>
      </c>
    </row>
    <row r="1507" spans="1:5" x14ac:dyDescent="0.25">
      <c r="A1507" s="216" t="s">
        <v>11027</v>
      </c>
      <c r="B1507" s="218" t="s">
        <v>48</v>
      </c>
      <c r="C1507" s="220" t="s">
        <v>86</v>
      </c>
      <c r="D1507" s="220" t="s">
        <v>78</v>
      </c>
      <c r="E1507" s="165">
        <v>1200</v>
      </c>
    </row>
    <row r="1508" spans="1:5" x14ac:dyDescent="0.25">
      <c r="A1508" s="216" t="s">
        <v>11028</v>
      </c>
      <c r="B1508" s="218" t="s">
        <v>48</v>
      </c>
      <c r="C1508" s="220" t="s">
        <v>1887</v>
      </c>
      <c r="D1508" s="220" t="s">
        <v>523</v>
      </c>
      <c r="E1508" s="165">
        <v>1200</v>
      </c>
    </row>
    <row r="1509" spans="1:5" x14ac:dyDescent="0.25">
      <c r="A1509" s="216" t="s">
        <v>3651</v>
      </c>
      <c r="B1509" s="218" t="s">
        <v>48</v>
      </c>
      <c r="C1509" s="220" t="s">
        <v>251</v>
      </c>
      <c r="D1509" s="220" t="s">
        <v>98</v>
      </c>
      <c r="E1509" s="165">
        <v>1200</v>
      </c>
    </row>
    <row r="1510" spans="1:5" x14ac:dyDescent="0.25">
      <c r="A1510" s="216" t="s">
        <v>2905</v>
      </c>
      <c r="B1510" s="218" t="s">
        <v>48</v>
      </c>
      <c r="C1510" s="220" t="s">
        <v>2906</v>
      </c>
      <c r="D1510" s="220" t="s">
        <v>523</v>
      </c>
      <c r="E1510" s="165">
        <v>1200</v>
      </c>
    </row>
    <row r="1511" spans="1:5" x14ac:dyDescent="0.25">
      <c r="A1511" s="216" t="s">
        <v>2238</v>
      </c>
      <c r="B1511" s="218" t="s">
        <v>48</v>
      </c>
      <c r="C1511" s="220" t="s">
        <v>925</v>
      </c>
      <c r="D1511" s="220" t="s">
        <v>394</v>
      </c>
      <c r="E1511" s="165">
        <v>1199</v>
      </c>
    </row>
    <row r="1512" spans="1:5" x14ac:dyDescent="0.25">
      <c r="A1512" s="216" t="s">
        <v>2433</v>
      </c>
      <c r="B1512" s="218">
        <v>1</v>
      </c>
      <c r="C1512" s="220" t="s">
        <v>289</v>
      </c>
      <c r="D1512" s="220" t="s">
        <v>69</v>
      </c>
      <c r="E1512" s="165">
        <v>1193</v>
      </c>
    </row>
    <row r="1513" spans="1:5" x14ac:dyDescent="0.25">
      <c r="A1513" s="216" t="s">
        <v>1982</v>
      </c>
      <c r="B1513" s="218" t="s">
        <v>48</v>
      </c>
      <c r="C1513" s="220" t="s">
        <v>1680</v>
      </c>
      <c r="D1513" s="220" t="s">
        <v>59</v>
      </c>
      <c r="E1513" s="165">
        <v>1193</v>
      </c>
    </row>
    <row r="1514" spans="1:5" x14ac:dyDescent="0.25">
      <c r="A1514" s="216" t="s">
        <v>2235</v>
      </c>
      <c r="B1514" s="218">
        <v>1</v>
      </c>
      <c r="C1514" s="220" t="s">
        <v>522</v>
      </c>
      <c r="D1514" s="220" t="s">
        <v>523</v>
      </c>
      <c r="E1514" s="165">
        <v>1192</v>
      </c>
    </row>
    <row r="1515" spans="1:5" x14ac:dyDescent="0.25">
      <c r="A1515" s="216" t="s">
        <v>2290</v>
      </c>
      <c r="B1515" s="218">
        <v>1</v>
      </c>
      <c r="C1515" s="220" t="s">
        <v>2291</v>
      </c>
      <c r="D1515" s="220" t="s">
        <v>50</v>
      </c>
      <c r="E1515" s="165">
        <v>1189</v>
      </c>
    </row>
    <row r="1516" spans="1:5" x14ac:dyDescent="0.25">
      <c r="A1516" s="216" t="s">
        <v>2612</v>
      </c>
      <c r="B1516" s="218" t="s">
        <v>48</v>
      </c>
      <c r="C1516" s="220" t="s">
        <v>636</v>
      </c>
      <c r="D1516" s="220" t="s">
        <v>69</v>
      </c>
      <c r="E1516" s="165">
        <v>1188</v>
      </c>
    </row>
    <row r="1517" spans="1:5" x14ac:dyDescent="0.25">
      <c r="A1517" s="216" t="s">
        <v>749</v>
      </c>
      <c r="B1517" s="218">
        <v>1</v>
      </c>
      <c r="C1517" s="220" t="s">
        <v>727</v>
      </c>
      <c r="D1517" s="220" t="s">
        <v>66</v>
      </c>
      <c r="E1517" s="165">
        <v>1188</v>
      </c>
    </row>
    <row r="1518" spans="1:5" x14ac:dyDescent="0.25">
      <c r="A1518" s="216" t="s">
        <v>10607</v>
      </c>
      <c r="B1518" s="218">
        <v>1</v>
      </c>
      <c r="C1518" s="220" t="s">
        <v>6160</v>
      </c>
      <c r="D1518" s="220" t="s">
        <v>188</v>
      </c>
      <c r="E1518" s="165">
        <v>1185</v>
      </c>
    </row>
    <row r="1519" spans="1:5" x14ac:dyDescent="0.25">
      <c r="A1519" s="216" t="s">
        <v>2266</v>
      </c>
      <c r="B1519" s="218">
        <v>1</v>
      </c>
      <c r="C1519" s="220" t="s">
        <v>466</v>
      </c>
      <c r="D1519" s="220" t="s">
        <v>206</v>
      </c>
      <c r="E1519" s="165">
        <v>1184</v>
      </c>
    </row>
    <row r="1520" spans="1:5" x14ac:dyDescent="0.25">
      <c r="A1520" s="216" t="s">
        <v>2401</v>
      </c>
      <c r="B1520" s="218" t="s">
        <v>48</v>
      </c>
      <c r="C1520" s="220" t="s">
        <v>1950</v>
      </c>
      <c r="D1520" s="220" t="s">
        <v>277</v>
      </c>
      <c r="E1520" s="165">
        <v>1183</v>
      </c>
    </row>
    <row r="1521" spans="1:5" x14ac:dyDescent="0.25">
      <c r="A1521" s="216" t="s">
        <v>2270</v>
      </c>
      <c r="B1521" s="218">
        <v>1</v>
      </c>
      <c r="C1521" s="220" t="s">
        <v>466</v>
      </c>
      <c r="D1521" s="220" t="s">
        <v>206</v>
      </c>
      <c r="E1521" s="165">
        <v>1182</v>
      </c>
    </row>
    <row r="1522" spans="1:5" x14ac:dyDescent="0.25">
      <c r="A1522" s="216" t="s">
        <v>2360</v>
      </c>
      <c r="B1522" s="218">
        <v>1</v>
      </c>
      <c r="C1522" s="220" t="s">
        <v>845</v>
      </c>
      <c r="D1522" s="220" t="s">
        <v>66</v>
      </c>
      <c r="E1522" s="165">
        <v>1181</v>
      </c>
    </row>
    <row r="1523" spans="1:5" x14ac:dyDescent="0.25">
      <c r="A1523" s="216" t="s">
        <v>1784</v>
      </c>
      <c r="B1523" s="218" t="s">
        <v>48</v>
      </c>
      <c r="C1523" s="220" t="s">
        <v>289</v>
      </c>
      <c r="D1523" s="220" t="s">
        <v>69</v>
      </c>
      <c r="E1523" s="165">
        <v>1181</v>
      </c>
    </row>
    <row r="1524" spans="1:5" x14ac:dyDescent="0.25">
      <c r="A1524" s="216" t="s">
        <v>2329</v>
      </c>
      <c r="B1524" s="218">
        <v>1</v>
      </c>
      <c r="C1524" s="220" t="s">
        <v>2330</v>
      </c>
      <c r="D1524" s="220" t="s">
        <v>56</v>
      </c>
      <c r="E1524" s="165">
        <v>1180</v>
      </c>
    </row>
    <row r="1525" spans="1:5" x14ac:dyDescent="0.25">
      <c r="A1525" s="216" t="s">
        <v>2697</v>
      </c>
      <c r="B1525" s="218" t="s">
        <v>48</v>
      </c>
      <c r="C1525" s="220" t="s">
        <v>2698</v>
      </c>
      <c r="D1525" s="220" t="s">
        <v>277</v>
      </c>
      <c r="E1525" s="165">
        <v>1180</v>
      </c>
    </row>
    <row r="1526" spans="1:5" x14ac:dyDescent="0.25">
      <c r="A1526" s="216" t="s">
        <v>11029</v>
      </c>
      <c r="B1526" s="218">
        <v>1</v>
      </c>
      <c r="C1526" s="220" t="s">
        <v>1567</v>
      </c>
      <c r="D1526" s="220" t="s">
        <v>69</v>
      </c>
      <c r="E1526" s="165">
        <v>1178</v>
      </c>
    </row>
    <row r="1527" spans="1:5" x14ac:dyDescent="0.25">
      <c r="A1527" s="216" t="s">
        <v>3462</v>
      </c>
      <c r="B1527" s="218" t="s">
        <v>48</v>
      </c>
      <c r="C1527" s="220" t="s">
        <v>424</v>
      </c>
      <c r="D1527" s="220" t="s">
        <v>59</v>
      </c>
      <c r="E1527" s="165">
        <v>1176</v>
      </c>
    </row>
    <row r="1528" spans="1:5" x14ac:dyDescent="0.25">
      <c r="A1528" s="216" t="s">
        <v>2842</v>
      </c>
      <c r="B1528" s="218" t="s">
        <v>48</v>
      </c>
      <c r="C1528" s="220" t="s">
        <v>2843</v>
      </c>
      <c r="D1528" s="220" t="s">
        <v>108</v>
      </c>
      <c r="E1528" s="165">
        <v>1176</v>
      </c>
    </row>
    <row r="1529" spans="1:5" x14ac:dyDescent="0.25">
      <c r="A1529" s="216" t="s">
        <v>2255</v>
      </c>
      <c r="B1529" s="218">
        <v>1</v>
      </c>
      <c r="C1529" s="220" t="s">
        <v>2256</v>
      </c>
      <c r="D1529" s="220" t="s">
        <v>69</v>
      </c>
      <c r="E1529" s="165">
        <v>1175</v>
      </c>
    </row>
    <row r="1530" spans="1:5" x14ac:dyDescent="0.25">
      <c r="A1530" s="216" t="s">
        <v>2727</v>
      </c>
      <c r="B1530" s="218" t="s">
        <v>48</v>
      </c>
      <c r="C1530" s="220" t="s">
        <v>289</v>
      </c>
      <c r="D1530" s="220" t="s">
        <v>69</v>
      </c>
      <c r="E1530" s="165">
        <v>1174</v>
      </c>
    </row>
    <row r="1531" spans="1:5" x14ac:dyDescent="0.25">
      <c r="A1531" s="216" t="s">
        <v>2323</v>
      </c>
      <c r="B1531" s="218" t="s">
        <v>48</v>
      </c>
      <c r="C1531" s="220" t="s">
        <v>1323</v>
      </c>
      <c r="D1531" s="220" t="s">
        <v>75</v>
      </c>
      <c r="E1531" s="165">
        <v>1174</v>
      </c>
    </row>
    <row r="1532" spans="1:5" x14ac:dyDescent="0.25">
      <c r="A1532" s="216" t="s">
        <v>11030</v>
      </c>
      <c r="B1532" s="218" t="s">
        <v>48</v>
      </c>
      <c r="C1532" s="220" t="s">
        <v>1730</v>
      </c>
      <c r="D1532" s="220" t="s">
        <v>585</v>
      </c>
      <c r="E1532" s="165">
        <v>1172</v>
      </c>
    </row>
    <row r="1533" spans="1:5" x14ac:dyDescent="0.25">
      <c r="A1533" s="216" t="s">
        <v>2390</v>
      </c>
      <c r="B1533" s="218">
        <v>1</v>
      </c>
      <c r="C1533" s="220" t="s">
        <v>2391</v>
      </c>
      <c r="D1533" s="220" t="s">
        <v>192</v>
      </c>
      <c r="E1533" s="165">
        <v>1170</v>
      </c>
    </row>
    <row r="1534" spans="1:5" x14ac:dyDescent="0.25">
      <c r="A1534" s="216" t="s">
        <v>11031</v>
      </c>
      <c r="B1534" s="218" t="s">
        <v>48</v>
      </c>
      <c r="C1534" s="220" t="s">
        <v>2324</v>
      </c>
      <c r="D1534" s="220" t="s">
        <v>56</v>
      </c>
      <c r="E1534" s="165">
        <v>1170</v>
      </c>
    </row>
    <row r="1535" spans="1:5" x14ac:dyDescent="0.25">
      <c r="A1535" s="216" t="s">
        <v>10782</v>
      </c>
      <c r="B1535" s="218">
        <v>1</v>
      </c>
      <c r="C1535" s="220" t="s">
        <v>634</v>
      </c>
      <c r="D1535" s="220" t="s">
        <v>264</v>
      </c>
      <c r="E1535" s="165">
        <v>1170</v>
      </c>
    </row>
    <row r="1536" spans="1:5" x14ac:dyDescent="0.25">
      <c r="A1536" s="216" t="s">
        <v>2680</v>
      </c>
      <c r="B1536" s="218" t="s">
        <v>48</v>
      </c>
      <c r="C1536" s="220" t="s">
        <v>2681</v>
      </c>
      <c r="D1536" s="220" t="s">
        <v>166</v>
      </c>
      <c r="E1536" s="165">
        <v>1168</v>
      </c>
    </row>
    <row r="1537" spans="1:5" x14ac:dyDescent="0.25">
      <c r="A1537" s="216" t="s">
        <v>2874</v>
      </c>
      <c r="B1537" s="218" t="s">
        <v>48</v>
      </c>
      <c r="C1537" s="220" t="s">
        <v>2875</v>
      </c>
      <c r="D1537" s="220" t="s">
        <v>523</v>
      </c>
      <c r="E1537" s="165">
        <v>1167</v>
      </c>
    </row>
    <row r="1538" spans="1:5" x14ac:dyDescent="0.25">
      <c r="A1538" s="216" t="s">
        <v>2377</v>
      </c>
      <c r="B1538" s="218" t="s">
        <v>48</v>
      </c>
      <c r="C1538" s="220" t="s">
        <v>2378</v>
      </c>
      <c r="D1538" s="220" t="s">
        <v>93</v>
      </c>
      <c r="E1538" s="165">
        <v>1166</v>
      </c>
    </row>
    <row r="1539" spans="1:5" x14ac:dyDescent="0.25">
      <c r="A1539" s="216" t="s">
        <v>2516</v>
      </c>
      <c r="B1539" s="218" t="s">
        <v>48</v>
      </c>
      <c r="C1539" s="220" t="s">
        <v>283</v>
      </c>
      <c r="D1539" s="220" t="s">
        <v>59</v>
      </c>
      <c r="E1539" s="165">
        <v>1165</v>
      </c>
    </row>
    <row r="1540" spans="1:5" x14ac:dyDescent="0.25">
      <c r="A1540" s="216" t="s">
        <v>2526</v>
      </c>
      <c r="B1540" s="218">
        <v>1</v>
      </c>
      <c r="C1540" s="220" t="s">
        <v>2527</v>
      </c>
      <c r="D1540" s="220" t="s">
        <v>139</v>
      </c>
      <c r="E1540" s="165">
        <v>1165</v>
      </c>
    </row>
    <row r="1541" spans="1:5" x14ac:dyDescent="0.25">
      <c r="A1541" s="216" t="s">
        <v>2385</v>
      </c>
      <c r="B1541" s="218">
        <v>1</v>
      </c>
      <c r="C1541" s="220" t="s">
        <v>2386</v>
      </c>
      <c r="D1541" s="220" t="s">
        <v>56</v>
      </c>
      <c r="E1541" s="165">
        <v>1164</v>
      </c>
    </row>
    <row r="1542" spans="1:5" x14ac:dyDescent="0.25">
      <c r="A1542" s="216" t="s">
        <v>1207</v>
      </c>
      <c r="B1542" s="218" t="s">
        <v>48</v>
      </c>
      <c r="C1542" s="220" t="s">
        <v>144</v>
      </c>
      <c r="D1542" s="220" t="s">
        <v>59</v>
      </c>
      <c r="E1542" s="165">
        <v>1162</v>
      </c>
    </row>
    <row r="1543" spans="1:5" x14ac:dyDescent="0.25">
      <c r="A1543" s="216" t="s">
        <v>2339</v>
      </c>
      <c r="B1543" s="218">
        <v>1</v>
      </c>
      <c r="C1543" s="220" t="s">
        <v>2340</v>
      </c>
      <c r="D1543" s="220" t="s">
        <v>124</v>
      </c>
      <c r="E1543" s="165">
        <v>1161</v>
      </c>
    </row>
    <row r="1544" spans="1:5" x14ac:dyDescent="0.25">
      <c r="A1544" s="216" t="s">
        <v>2064</v>
      </c>
      <c r="B1544" s="218">
        <v>1</v>
      </c>
      <c r="C1544" s="220" t="s">
        <v>221</v>
      </c>
      <c r="D1544" s="220" t="s">
        <v>264</v>
      </c>
      <c r="E1544" s="165">
        <v>1159</v>
      </c>
    </row>
    <row r="1545" spans="1:5" x14ac:dyDescent="0.25">
      <c r="A1545" s="216" t="s">
        <v>2488</v>
      </c>
      <c r="B1545" s="218">
        <v>1</v>
      </c>
      <c r="C1545" s="220" t="s">
        <v>2489</v>
      </c>
      <c r="D1545" s="220" t="s">
        <v>56</v>
      </c>
      <c r="E1545" s="165">
        <v>1158</v>
      </c>
    </row>
    <row r="1546" spans="1:5" x14ac:dyDescent="0.25">
      <c r="A1546" s="216" t="s">
        <v>2288</v>
      </c>
      <c r="B1546" s="218">
        <v>1</v>
      </c>
      <c r="C1546" s="220" t="s">
        <v>522</v>
      </c>
      <c r="D1546" s="220" t="s">
        <v>523</v>
      </c>
      <c r="E1546" s="165">
        <v>1155</v>
      </c>
    </row>
    <row r="1547" spans="1:5" x14ac:dyDescent="0.25">
      <c r="A1547" s="216" t="s">
        <v>6649</v>
      </c>
      <c r="B1547" s="218">
        <v>1</v>
      </c>
      <c r="C1547" s="220" t="s">
        <v>634</v>
      </c>
      <c r="D1547" s="220" t="s">
        <v>264</v>
      </c>
      <c r="E1547" s="165">
        <v>1154</v>
      </c>
    </row>
    <row r="1548" spans="1:5" x14ac:dyDescent="0.25">
      <c r="A1548" s="216" t="s">
        <v>4252</v>
      </c>
      <c r="B1548" s="218">
        <v>1</v>
      </c>
      <c r="C1548" s="220" t="s">
        <v>221</v>
      </c>
      <c r="D1548" s="220" t="s">
        <v>802</v>
      </c>
      <c r="E1548" s="165">
        <v>1153</v>
      </c>
    </row>
    <row r="1549" spans="1:5" x14ac:dyDescent="0.25">
      <c r="A1549" s="216" t="s">
        <v>2169</v>
      </c>
      <c r="B1549" s="218">
        <v>1</v>
      </c>
      <c r="C1549" s="220" t="s">
        <v>138</v>
      </c>
      <c r="D1549" s="220" t="s">
        <v>139</v>
      </c>
      <c r="E1549" s="165">
        <v>1152</v>
      </c>
    </row>
    <row r="1550" spans="1:5" x14ac:dyDescent="0.25">
      <c r="A1550" s="216" t="s">
        <v>3244</v>
      </c>
      <c r="B1550" s="218" t="s">
        <v>48</v>
      </c>
      <c r="C1550" s="220" t="s">
        <v>390</v>
      </c>
      <c r="D1550" s="220" t="s">
        <v>75</v>
      </c>
      <c r="E1550" s="165">
        <v>1152</v>
      </c>
    </row>
    <row r="1551" spans="1:5" x14ac:dyDescent="0.25">
      <c r="A1551" s="216" t="s">
        <v>2500</v>
      </c>
      <c r="B1551" s="218">
        <v>1</v>
      </c>
      <c r="C1551" s="220" t="s">
        <v>121</v>
      </c>
      <c r="D1551" s="220" t="s">
        <v>56</v>
      </c>
      <c r="E1551" s="165">
        <v>1151</v>
      </c>
    </row>
    <row r="1552" spans="1:5" x14ac:dyDescent="0.25">
      <c r="A1552" s="216" t="s">
        <v>11032</v>
      </c>
      <c r="B1552" s="218">
        <v>1</v>
      </c>
      <c r="C1552" s="220" t="s">
        <v>388</v>
      </c>
      <c r="D1552" s="220" t="s">
        <v>56</v>
      </c>
      <c r="E1552" s="165">
        <v>1151</v>
      </c>
    </row>
    <row r="1553" spans="1:5" x14ac:dyDescent="0.25">
      <c r="A1553" s="216" t="s">
        <v>2466</v>
      </c>
      <c r="B1553" s="218" t="s">
        <v>48</v>
      </c>
      <c r="C1553" s="220" t="s">
        <v>63</v>
      </c>
      <c r="D1553" s="220" t="s">
        <v>63</v>
      </c>
      <c r="E1553" s="165">
        <v>1150</v>
      </c>
    </row>
    <row r="1554" spans="1:5" x14ac:dyDescent="0.25">
      <c r="A1554" s="216" t="s">
        <v>2173</v>
      </c>
      <c r="B1554" s="218">
        <v>1</v>
      </c>
      <c r="C1554" s="220" t="s">
        <v>429</v>
      </c>
      <c r="D1554" s="220" t="s">
        <v>139</v>
      </c>
      <c r="E1554" s="165">
        <v>1150</v>
      </c>
    </row>
    <row r="1555" spans="1:5" x14ac:dyDescent="0.25">
      <c r="A1555" s="216" t="s">
        <v>2469</v>
      </c>
      <c r="B1555" s="218" t="s">
        <v>48</v>
      </c>
      <c r="C1555" s="220" t="s">
        <v>2378</v>
      </c>
      <c r="D1555" s="220" t="s">
        <v>93</v>
      </c>
      <c r="E1555" s="165">
        <v>1150</v>
      </c>
    </row>
    <row r="1556" spans="1:5" x14ac:dyDescent="0.25">
      <c r="A1556" s="216" t="s">
        <v>2372</v>
      </c>
      <c r="B1556" s="218">
        <v>1</v>
      </c>
      <c r="C1556" s="220" t="s">
        <v>558</v>
      </c>
      <c r="D1556" s="220" t="s">
        <v>56</v>
      </c>
      <c r="E1556" s="165">
        <v>1148</v>
      </c>
    </row>
    <row r="1557" spans="1:5" x14ac:dyDescent="0.25">
      <c r="A1557" s="216" t="s">
        <v>2507</v>
      </c>
      <c r="B1557" s="218">
        <v>1</v>
      </c>
      <c r="C1557" s="220" t="s">
        <v>121</v>
      </c>
      <c r="D1557" s="220" t="s">
        <v>56</v>
      </c>
      <c r="E1557" s="165">
        <v>1148</v>
      </c>
    </row>
    <row r="1558" spans="1:5" x14ac:dyDescent="0.25">
      <c r="A1558" s="216" t="s">
        <v>2650</v>
      </c>
      <c r="B1558" s="218" t="s">
        <v>48</v>
      </c>
      <c r="C1558" s="220" t="s">
        <v>144</v>
      </c>
      <c r="D1558" s="220" t="s">
        <v>59</v>
      </c>
      <c r="E1558" s="165">
        <v>1148</v>
      </c>
    </row>
    <row r="1559" spans="1:5" x14ac:dyDescent="0.25">
      <c r="A1559" s="216" t="s">
        <v>2200</v>
      </c>
      <c r="B1559" s="218">
        <v>1</v>
      </c>
      <c r="C1559" s="220" t="s">
        <v>2201</v>
      </c>
      <c r="D1559" s="220" t="s">
        <v>93</v>
      </c>
      <c r="E1559" s="165">
        <v>1147</v>
      </c>
    </row>
    <row r="1560" spans="1:5" x14ac:dyDescent="0.25">
      <c r="A1560" s="216" t="s">
        <v>2244</v>
      </c>
      <c r="B1560" s="218">
        <v>1</v>
      </c>
      <c r="C1560" s="220" t="s">
        <v>2245</v>
      </c>
      <c r="D1560" s="220" t="s">
        <v>272</v>
      </c>
      <c r="E1560" s="165">
        <v>1146</v>
      </c>
    </row>
    <row r="1561" spans="1:5" x14ac:dyDescent="0.25">
      <c r="A1561" s="216" t="s">
        <v>3907</v>
      </c>
      <c r="B1561" s="218" t="s">
        <v>48</v>
      </c>
      <c r="C1561" s="220" t="s">
        <v>3908</v>
      </c>
      <c r="D1561" s="220" t="s">
        <v>82</v>
      </c>
      <c r="E1561" s="165">
        <v>1146</v>
      </c>
    </row>
    <row r="1562" spans="1:5" x14ac:dyDescent="0.25">
      <c r="A1562" s="216" t="s">
        <v>1944</v>
      </c>
      <c r="B1562" s="218">
        <v>1</v>
      </c>
      <c r="C1562" s="220" t="s">
        <v>1945</v>
      </c>
      <c r="D1562" s="220" t="s">
        <v>56</v>
      </c>
      <c r="E1562" s="165">
        <v>1146</v>
      </c>
    </row>
    <row r="1563" spans="1:5" x14ac:dyDescent="0.25">
      <c r="A1563" s="216" t="s">
        <v>3167</v>
      </c>
      <c r="B1563" s="218" t="s">
        <v>48</v>
      </c>
      <c r="C1563" s="220" t="s">
        <v>3168</v>
      </c>
      <c r="D1563" s="220" t="s">
        <v>63</v>
      </c>
      <c r="E1563" s="165">
        <v>1144</v>
      </c>
    </row>
    <row r="1564" spans="1:5" x14ac:dyDescent="0.25">
      <c r="A1564" s="216" t="s">
        <v>2549</v>
      </c>
      <c r="B1564" s="218">
        <v>1</v>
      </c>
      <c r="C1564" s="220" t="s">
        <v>2550</v>
      </c>
      <c r="D1564" s="220" t="s">
        <v>63</v>
      </c>
      <c r="E1564" s="165">
        <v>1142</v>
      </c>
    </row>
    <row r="1565" spans="1:5" x14ac:dyDescent="0.25">
      <c r="A1565" s="216" t="s">
        <v>2388</v>
      </c>
      <c r="B1565" s="218">
        <v>1</v>
      </c>
      <c r="C1565" s="220" t="s">
        <v>2389</v>
      </c>
      <c r="D1565" s="220" t="s">
        <v>56</v>
      </c>
      <c r="E1565" s="165">
        <v>1139</v>
      </c>
    </row>
    <row r="1566" spans="1:5" x14ac:dyDescent="0.25">
      <c r="A1566" s="216" t="s">
        <v>2193</v>
      </c>
      <c r="B1566" s="218">
        <v>1</v>
      </c>
      <c r="C1566" s="220" t="s">
        <v>799</v>
      </c>
      <c r="D1566" s="220" t="s">
        <v>113</v>
      </c>
      <c r="E1566" s="165">
        <v>1134</v>
      </c>
    </row>
    <row r="1567" spans="1:5" x14ac:dyDescent="0.25">
      <c r="A1567" s="216" t="s">
        <v>2210</v>
      </c>
      <c r="B1567" s="218" t="s">
        <v>48</v>
      </c>
      <c r="C1567" s="220" t="s">
        <v>2211</v>
      </c>
      <c r="D1567" s="220" t="s">
        <v>53</v>
      </c>
      <c r="E1567" s="165">
        <v>1134</v>
      </c>
    </row>
    <row r="1568" spans="1:5" x14ac:dyDescent="0.25">
      <c r="A1568" s="216" t="s">
        <v>2354</v>
      </c>
      <c r="B1568" s="218">
        <v>1</v>
      </c>
      <c r="C1568" s="220" t="s">
        <v>2355</v>
      </c>
      <c r="D1568" s="220" t="s">
        <v>272</v>
      </c>
      <c r="E1568" s="165">
        <v>1134</v>
      </c>
    </row>
    <row r="1569" spans="1:5" x14ac:dyDescent="0.25">
      <c r="A1569" s="216" t="s">
        <v>2517</v>
      </c>
      <c r="B1569" s="218">
        <v>1</v>
      </c>
      <c r="C1569" s="220" t="s">
        <v>289</v>
      </c>
      <c r="D1569" s="220" t="s">
        <v>69</v>
      </c>
      <c r="E1569" s="165">
        <v>1131</v>
      </c>
    </row>
    <row r="1570" spans="1:5" x14ac:dyDescent="0.25">
      <c r="A1570" s="216" t="s">
        <v>5570</v>
      </c>
      <c r="B1570" s="218" t="s">
        <v>48</v>
      </c>
      <c r="C1570" s="220" t="s">
        <v>135</v>
      </c>
      <c r="D1570" s="220" t="s">
        <v>108</v>
      </c>
      <c r="E1570" s="165">
        <v>1129</v>
      </c>
    </row>
    <row r="1571" spans="1:5" x14ac:dyDescent="0.25">
      <c r="A1571" s="216" t="s">
        <v>2659</v>
      </c>
      <c r="B1571" s="218">
        <v>1</v>
      </c>
      <c r="C1571" s="220" t="s">
        <v>2660</v>
      </c>
      <c r="D1571" s="220" t="s">
        <v>394</v>
      </c>
      <c r="E1571" s="165">
        <v>1128</v>
      </c>
    </row>
    <row r="1572" spans="1:5" x14ac:dyDescent="0.25">
      <c r="A1572" s="216" t="s">
        <v>1578</v>
      </c>
      <c r="B1572" s="218" t="s">
        <v>48</v>
      </c>
      <c r="C1572" s="220" t="s">
        <v>90</v>
      </c>
      <c r="D1572" s="220" t="s">
        <v>441</v>
      </c>
      <c r="E1572" s="165">
        <v>1128</v>
      </c>
    </row>
    <row r="1573" spans="1:5" x14ac:dyDescent="0.25">
      <c r="A1573" s="216" t="s">
        <v>2647</v>
      </c>
      <c r="B1573" s="218" t="s">
        <v>48</v>
      </c>
      <c r="C1573" s="220" t="s">
        <v>2648</v>
      </c>
      <c r="D1573" s="220" t="s">
        <v>98</v>
      </c>
      <c r="E1573" s="165">
        <v>1127</v>
      </c>
    </row>
    <row r="1574" spans="1:5" x14ac:dyDescent="0.25">
      <c r="A1574" s="216" t="s">
        <v>4408</v>
      </c>
      <c r="B1574" s="218" t="s">
        <v>48</v>
      </c>
      <c r="C1574" s="220" t="s">
        <v>4409</v>
      </c>
      <c r="D1574" s="220" t="s">
        <v>59</v>
      </c>
      <c r="E1574" s="165">
        <v>1125</v>
      </c>
    </row>
    <row r="1575" spans="1:5" x14ac:dyDescent="0.25">
      <c r="A1575" s="216" t="s">
        <v>2741</v>
      </c>
      <c r="B1575" s="218" t="s">
        <v>48</v>
      </c>
      <c r="C1575" s="220" t="s">
        <v>65</v>
      </c>
      <c r="D1575" s="220" t="s">
        <v>66</v>
      </c>
      <c r="E1575" s="165">
        <v>1125</v>
      </c>
    </row>
    <row r="1576" spans="1:5" x14ac:dyDescent="0.25">
      <c r="A1576" s="216" t="s">
        <v>11033</v>
      </c>
      <c r="B1576" s="218" t="s">
        <v>48</v>
      </c>
      <c r="C1576" s="220" t="s">
        <v>2778</v>
      </c>
      <c r="D1576" s="220" t="s">
        <v>75</v>
      </c>
      <c r="E1576" s="165">
        <v>1123</v>
      </c>
    </row>
    <row r="1577" spans="1:5" x14ac:dyDescent="0.25">
      <c r="A1577" s="216" t="s">
        <v>2459</v>
      </c>
      <c r="B1577" s="218">
        <v>1</v>
      </c>
      <c r="C1577" s="220" t="s">
        <v>2460</v>
      </c>
      <c r="D1577" s="220" t="s">
        <v>66</v>
      </c>
      <c r="E1577" s="165">
        <v>1121</v>
      </c>
    </row>
    <row r="1578" spans="1:5" x14ac:dyDescent="0.25">
      <c r="A1578" s="216" t="s">
        <v>8030</v>
      </c>
      <c r="B1578" s="218" t="s">
        <v>48</v>
      </c>
      <c r="C1578" s="220" t="s">
        <v>1628</v>
      </c>
      <c r="D1578" s="220" t="s">
        <v>56</v>
      </c>
      <c r="E1578" s="165">
        <v>1121</v>
      </c>
    </row>
    <row r="1579" spans="1:5" x14ac:dyDescent="0.25">
      <c r="A1579" s="216" t="s">
        <v>3658</v>
      </c>
      <c r="B1579" s="218" t="s">
        <v>48</v>
      </c>
      <c r="C1579" s="220" t="s">
        <v>1788</v>
      </c>
      <c r="D1579" s="220" t="s">
        <v>59</v>
      </c>
      <c r="E1579" s="165">
        <v>1120</v>
      </c>
    </row>
    <row r="1580" spans="1:5" x14ac:dyDescent="0.25">
      <c r="A1580" s="216" t="s">
        <v>2540</v>
      </c>
      <c r="B1580" s="218">
        <v>1</v>
      </c>
      <c r="C1580" s="220" t="s">
        <v>2541</v>
      </c>
      <c r="D1580" s="220" t="s">
        <v>69</v>
      </c>
      <c r="E1580" s="165">
        <v>1118</v>
      </c>
    </row>
    <row r="1581" spans="1:5" x14ac:dyDescent="0.25">
      <c r="A1581" s="216" t="s">
        <v>2275</v>
      </c>
      <c r="B1581" s="218" t="s">
        <v>48</v>
      </c>
      <c r="C1581" s="220" t="s">
        <v>733</v>
      </c>
      <c r="D1581" s="220" t="s">
        <v>53</v>
      </c>
      <c r="E1581" s="165">
        <v>1116</v>
      </c>
    </row>
    <row r="1582" spans="1:5" x14ac:dyDescent="0.25">
      <c r="A1582" s="216" t="s">
        <v>2441</v>
      </c>
      <c r="B1582" s="218">
        <v>1</v>
      </c>
      <c r="C1582" s="220" t="s">
        <v>198</v>
      </c>
      <c r="D1582" s="220" t="s">
        <v>56</v>
      </c>
      <c r="E1582" s="165">
        <v>1114</v>
      </c>
    </row>
    <row r="1583" spans="1:5" x14ac:dyDescent="0.25">
      <c r="A1583" s="216" t="s">
        <v>2170</v>
      </c>
      <c r="B1583" s="218" t="s">
        <v>48</v>
      </c>
      <c r="C1583" s="220" t="s">
        <v>271</v>
      </c>
      <c r="D1583" s="220" t="s">
        <v>277</v>
      </c>
      <c r="E1583" s="165">
        <v>1114</v>
      </c>
    </row>
    <row r="1584" spans="1:5" x14ac:dyDescent="0.25">
      <c r="A1584" s="216" t="s">
        <v>3153</v>
      </c>
      <c r="B1584" s="218" t="s">
        <v>48</v>
      </c>
      <c r="C1584" s="220" t="s">
        <v>3154</v>
      </c>
      <c r="D1584" s="220" t="s">
        <v>166</v>
      </c>
      <c r="E1584" s="165">
        <v>1112</v>
      </c>
    </row>
    <row r="1585" spans="1:5" x14ac:dyDescent="0.25">
      <c r="A1585" s="216" t="s">
        <v>4238</v>
      </c>
      <c r="B1585" s="218">
        <v>1</v>
      </c>
      <c r="C1585" s="220" t="s">
        <v>4239</v>
      </c>
      <c r="D1585" s="220" t="s">
        <v>78</v>
      </c>
      <c r="E1585" s="165">
        <v>1111</v>
      </c>
    </row>
    <row r="1586" spans="1:5" x14ac:dyDescent="0.25">
      <c r="A1586" s="216" t="s">
        <v>2367</v>
      </c>
      <c r="B1586" s="218">
        <v>1</v>
      </c>
      <c r="C1586" s="220" t="s">
        <v>235</v>
      </c>
      <c r="D1586" s="220" t="s">
        <v>236</v>
      </c>
      <c r="E1586" s="165">
        <v>1110</v>
      </c>
    </row>
    <row r="1587" spans="1:5" x14ac:dyDescent="0.25">
      <c r="A1587" s="216" t="s">
        <v>2568</v>
      </c>
      <c r="B1587" s="218" t="s">
        <v>48</v>
      </c>
      <c r="C1587" s="220" t="s">
        <v>2569</v>
      </c>
      <c r="D1587" s="220" t="s">
        <v>63</v>
      </c>
      <c r="E1587" s="165">
        <v>1108</v>
      </c>
    </row>
    <row r="1588" spans="1:5" x14ac:dyDescent="0.25">
      <c r="A1588" s="216" t="s">
        <v>2425</v>
      </c>
      <c r="B1588" s="218">
        <v>1</v>
      </c>
      <c r="C1588" s="220" t="s">
        <v>1877</v>
      </c>
      <c r="D1588" s="220" t="s">
        <v>56</v>
      </c>
      <c r="E1588" s="165">
        <v>1108</v>
      </c>
    </row>
    <row r="1589" spans="1:5" x14ac:dyDescent="0.25">
      <c r="A1589" s="216" t="s">
        <v>2233</v>
      </c>
      <c r="B1589" s="218" t="s">
        <v>48</v>
      </c>
      <c r="C1589" s="220" t="s">
        <v>2234</v>
      </c>
      <c r="D1589" s="220" t="s">
        <v>108</v>
      </c>
      <c r="E1589" s="165">
        <v>1106</v>
      </c>
    </row>
    <row r="1590" spans="1:5" x14ac:dyDescent="0.25">
      <c r="A1590" s="216" t="s">
        <v>2236</v>
      </c>
      <c r="B1590" s="218" t="s">
        <v>48</v>
      </c>
      <c r="C1590" s="220" t="s">
        <v>2237</v>
      </c>
      <c r="D1590" s="220" t="s">
        <v>63</v>
      </c>
      <c r="E1590" s="165">
        <v>1106</v>
      </c>
    </row>
    <row r="1591" spans="1:5" x14ac:dyDescent="0.25">
      <c r="A1591" s="216" t="s">
        <v>2468</v>
      </c>
      <c r="B1591" s="218">
        <v>1</v>
      </c>
      <c r="C1591" s="220" t="s">
        <v>1199</v>
      </c>
      <c r="D1591" s="220" t="s">
        <v>1200</v>
      </c>
      <c r="E1591" s="165">
        <v>1105</v>
      </c>
    </row>
    <row r="1592" spans="1:5" x14ac:dyDescent="0.25">
      <c r="A1592" s="216" t="s">
        <v>2470</v>
      </c>
      <c r="B1592" s="218">
        <v>1</v>
      </c>
      <c r="C1592" s="220" t="s">
        <v>2471</v>
      </c>
      <c r="D1592" s="220" t="s">
        <v>105</v>
      </c>
      <c r="E1592" s="165">
        <v>1105</v>
      </c>
    </row>
    <row r="1593" spans="1:5" x14ac:dyDescent="0.25">
      <c r="A1593" s="216" t="s">
        <v>2352</v>
      </c>
      <c r="B1593" s="218">
        <v>1</v>
      </c>
      <c r="C1593" s="220" t="s">
        <v>843</v>
      </c>
      <c r="D1593" s="220" t="s">
        <v>172</v>
      </c>
      <c r="E1593" s="165">
        <v>1104</v>
      </c>
    </row>
    <row r="1594" spans="1:5" x14ac:dyDescent="0.25">
      <c r="A1594" s="216" t="s">
        <v>4507</v>
      </c>
      <c r="B1594" s="218">
        <v>1</v>
      </c>
      <c r="C1594" s="220" t="s">
        <v>1856</v>
      </c>
      <c r="D1594" s="220" t="s">
        <v>56</v>
      </c>
      <c r="E1594" s="165">
        <v>1104</v>
      </c>
    </row>
    <row r="1595" spans="1:5" x14ac:dyDescent="0.25">
      <c r="A1595" s="216" t="s">
        <v>2581</v>
      </c>
      <c r="B1595" s="218">
        <v>1</v>
      </c>
      <c r="C1595" s="220" t="s">
        <v>2582</v>
      </c>
      <c r="D1595" s="220" t="s">
        <v>56</v>
      </c>
      <c r="E1595" s="165">
        <v>1103</v>
      </c>
    </row>
    <row r="1596" spans="1:5" x14ac:dyDescent="0.25">
      <c r="A1596" s="216" t="s">
        <v>2109</v>
      </c>
      <c r="B1596" s="218">
        <v>1</v>
      </c>
      <c r="C1596" s="220" t="s">
        <v>522</v>
      </c>
      <c r="D1596" s="220" t="s">
        <v>523</v>
      </c>
      <c r="E1596" s="165">
        <v>1102</v>
      </c>
    </row>
    <row r="1597" spans="1:5" x14ac:dyDescent="0.25">
      <c r="A1597" s="216" t="s">
        <v>2833</v>
      </c>
      <c r="B1597" s="218">
        <v>1</v>
      </c>
      <c r="C1597" s="220" t="s">
        <v>2834</v>
      </c>
      <c r="D1597" s="220" t="s">
        <v>105</v>
      </c>
      <c r="E1597" s="165">
        <v>1101</v>
      </c>
    </row>
    <row r="1598" spans="1:5" x14ac:dyDescent="0.25">
      <c r="A1598" s="216" t="s">
        <v>10488</v>
      </c>
      <c r="B1598" s="218" t="s">
        <v>48</v>
      </c>
      <c r="C1598" s="220" t="s">
        <v>8571</v>
      </c>
      <c r="D1598" s="220" t="s">
        <v>56</v>
      </c>
      <c r="E1598" s="165">
        <v>1100</v>
      </c>
    </row>
    <row r="1599" spans="1:5" x14ac:dyDescent="0.25">
      <c r="A1599" s="216" t="s">
        <v>3539</v>
      </c>
      <c r="B1599" s="218" t="s">
        <v>48</v>
      </c>
      <c r="C1599" s="220" t="s">
        <v>891</v>
      </c>
      <c r="D1599" s="220" t="s">
        <v>56</v>
      </c>
      <c r="E1599" s="165">
        <v>1100</v>
      </c>
    </row>
    <row r="1600" spans="1:5" x14ac:dyDescent="0.25">
      <c r="A1600" s="216" t="s">
        <v>2337</v>
      </c>
      <c r="B1600" s="218">
        <v>1</v>
      </c>
      <c r="C1600" s="220" t="s">
        <v>428</v>
      </c>
      <c r="D1600" s="220" t="s">
        <v>394</v>
      </c>
      <c r="E1600" s="165">
        <v>1100</v>
      </c>
    </row>
    <row r="1601" spans="1:5" x14ac:dyDescent="0.25">
      <c r="A1601" s="216" t="s">
        <v>1692</v>
      </c>
      <c r="B1601" s="218" t="s">
        <v>48</v>
      </c>
      <c r="C1601" s="220" t="s">
        <v>1693</v>
      </c>
      <c r="D1601" s="220" t="s">
        <v>139</v>
      </c>
      <c r="E1601" s="165">
        <v>1100</v>
      </c>
    </row>
    <row r="1602" spans="1:5" x14ac:dyDescent="0.25">
      <c r="A1602" s="216" t="s">
        <v>2728</v>
      </c>
      <c r="B1602" s="218" t="s">
        <v>48</v>
      </c>
      <c r="C1602" s="220" t="s">
        <v>496</v>
      </c>
      <c r="D1602" s="220" t="s">
        <v>272</v>
      </c>
      <c r="E1602" s="165">
        <v>1100</v>
      </c>
    </row>
    <row r="1603" spans="1:5" x14ac:dyDescent="0.25">
      <c r="A1603" s="216" t="s">
        <v>2758</v>
      </c>
      <c r="B1603" s="218" t="s">
        <v>48</v>
      </c>
      <c r="C1603" s="220" t="s">
        <v>2759</v>
      </c>
      <c r="D1603" s="220" t="s">
        <v>50</v>
      </c>
      <c r="E1603" s="165">
        <v>1100</v>
      </c>
    </row>
    <row r="1604" spans="1:5" x14ac:dyDescent="0.25">
      <c r="A1604" s="216" t="s">
        <v>2652</v>
      </c>
      <c r="B1604" s="218" t="s">
        <v>48</v>
      </c>
      <c r="C1604" s="220" t="s">
        <v>11034</v>
      </c>
      <c r="D1604" s="220" t="s">
        <v>192</v>
      </c>
      <c r="E1604" s="165">
        <v>1100</v>
      </c>
    </row>
    <row r="1605" spans="1:5" x14ac:dyDescent="0.25">
      <c r="A1605" s="216" t="s">
        <v>2933</v>
      </c>
      <c r="B1605" s="218" t="s">
        <v>48</v>
      </c>
      <c r="C1605" s="220" t="s">
        <v>2934</v>
      </c>
      <c r="D1605" s="220" t="s">
        <v>206</v>
      </c>
      <c r="E1605" s="165">
        <v>1098</v>
      </c>
    </row>
    <row r="1606" spans="1:5" x14ac:dyDescent="0.25">
      <c r="A1606" s="216" t="s">
        <v>2712</v>
      </c>
      <c r="B1606" s="218">
        <v>1</v>
      </c>
      <c r="C1606" s="220" t="s">
        <v>323</v>
      </c>
      <c r="D1606" s="220" t="s">
        <v>118</v>
      </c>
      <c r="E1606" s="165">
        <v>1098</v>
      </c>
    </row>
    <row r="1607" spans="1:5" x14ac:dyDescent="0.25">
      <c r="A1607" s="216" t="s">
        <v>2247</v>
      </c>
      <c r="B1607" s="218">
        <v>1</v>
      </c>
      <c r="C1607" s="220" t="s">
        <v>2248</v>
      </c>
      <c r="D1607" s="220" t="s">
        <v>72</v>
      </c>
      <c r="E1607" s="165">
        <v>1095</v>
      </c>
    </row>
    <row r="1608" spans="1:5" x14ac:dyDescent="0.25">
      <c r="A1608" s="216" t="s">
        <v>11035</v>
      </c>
      <c r="B1608" s="218">
        <v>1</v>
      </c>
      <c r="C1608" s="220" t="s">
        <v>11036</v>
      </c>
      <c r="D1608" s="220" t="s">
        <v>523</v>
      </c>
      <c r="E1608" s="165">
        <v>1094</v>
      </c>
    </row>
    <row r="1609" spans="1:5" x14ac:dyDescent="0.25">
      <c r="A1609" s="216" t="s">
        <v>11037</v>
      </c>
      <c r="B1609" s="218">
        <v>1</v>
      </c>
      <c r="C1609" s="220" t="s">
        <v>11038</v>
      </c>
      <c r="D1609" s="220" t="s">
        <v>264</v>
      </c>
      <c r="E1609" s="165">
        <v>1094</v>
      </c>
    </row>
    <row r="1610" spans="1:5" x14ac:dyDescent="0.25">
      <c r="A1610" s="216" t="s">
        <v>11039</v>
      </c>
      <c r="B1610" s="218">
        <v>1</v>
      </c>
      <c r="C1610" s="220" t="s">
        <v>11040</v>
      </c>
      <c r="D1610" s="220" t="s">
        <v>53</v>
      </c>
      <c r="E1610" s="165">
        <v>1094</v>
      </c>
    </row>
    <row r="1611" spans="1:5" x14ac:dyDescent="0.25">
      <c r="A1611" s="216" t="s">
        <v>2502</v>
      </c>
      <c r="B1611" s="218" t="s">
        <v>48</v>
      </c>
      <c r="C1611" s="220" t="s">
        <v>2503</v>
      </c>
      <c r="D1611" s="220" t="s">
        <v>139</v>
      </c>
      <c r="E1611" s="165">
        <v>1093</v>
      </c>
    </row>
    <row r="1612" spans="1:5" x14ac:dyDescent="0.25">
      <c r="A1612" s="216" t="s">
        <v>1624</v>
      </c>
      <c r="B1612" s="218" t="s">
        <v>48</v>
      </c>
      <c r="C1612" s="220" t="s">
        <v>313</v>
      </c>
      <c r="D1612" s="220" t="s">
        <v>90</v>
      </c>
      <c r="E1612" s="165">
        <v>1093</v>
      </c>
    </row>
    <row r="1613" spans="1:5" x14ac:dyDescent="0.25">
      <c r="A1613" s="216" t="s">
        <v>2597</v>
      </c>
      <c r="B1613" s="218" t="s">
        <v>48</v>
      </c>
      <c r="C1613" s="220" t="s">
        <v>2598</v>
      </c>
      <c r="D1613" s="220" t="s">
        <v>272</v>
      </c>
      <c r="E1613" s="165">
        <v>1091</v>
      </c>
    </row>
    <row r="1614" spans="1:5" x14ac:dyDescent="0.25">
      <c r="A1614" s="216" t="s">
        <v>2610</v>
      </c>
      <c r="B1614" s="218">
        <v>1</v>
      </c>
      <c r="C1614" s="220" t="s">
        <v>709</v>
      </c>
      <c r="D1614" s="220" t="s">
        <v>56</v>
      </c>
      <c r="E1614" s="165">
        <v>1090</v>
      </c>
    </row>
    <row r="1615" spans="1:5" x14ac:dyDescent="0.25">
      <c r="A1615" s="216" t="s">
        <v>2410</v>
      </c>
      <c r="B1615" s="218">
        <v>1</v>
      </c>
      <c r="C1615" s="220" t="s">
        <v>2411</v>
      </c>
      <c r="D1615" s="220" t="s">
        <v>272</v>
      </c>
      <c r="E1615" s="165">
        <v>1089</v>
      </c>
    </row>
    <row r="1616" spans="1:5" x14ac:dyDescent="0.25">
      <c r="A1616" s="216" t="s">
        <v>2636</v>
      </c>
      <c r="B1616" s="218" t="s">
        <v>48</v>
      </c>
      <c r="C1616" s="220" t="s">
        <v>2637</v>
      </c>
      <c r="D1616" s="220" t="s">
        <v>59</v>
      </c>
      <c r="E1616" s="165">
        <v>1087</v>
      </c>
    </row>
    <row r="1617" spans="1:5" x14ac:dyDescent="0.25">
      <c r="A1617" s="216" t="s">
        <v>2556</v>
      </c>
      <c r="B1617" s="218">
        <v>1</v>
      </c>
      <c r="C1617" s="220" t="s">
        <v>2557</v>
      </c>
      <c r="D1617" s="220" t="s">
        <v>63</v>
      </c>
      <c r="E1617" s="165">
        <v>1086</v>
      </c>
    </row>
    <row r="1618" spans="1:5" x14ac:dyDescent="0.25">
      <c r="A1618" s="216" t="s">
        <v>3050</v>
      </c>
      <c r="B1618" s="218" t="s">
        <v>48</v>
      </c>
      <c r="C1618" s="220" t="s">
        <v>289</v>
      </c>
      <c r="D1618" s="220" t="s">
        <v>69</v>
      </c>
      <c r="E1618" s="165">
        <v>1084</v>
      </c>
    </row>
    <row r="1619" spans="1:5" x14ac:dyDescent="0.25">
      <c r="A1619" s="216" t="s">
        <v>1990</v>
      </c>
      <c r="B1619" s="218" t="s">
        <v>48</v>
      </c>
      <c r="C1619" s="220" t="s">
        <v>1991</v>
      </c>
      <c r="D1619" s="220" t="s">
        <v>78</v>
      </c>
      <c r="E1619" s="165">
        <v>1083</v>
      </c>
    </row>
    <row r="1620" spans="1:5" x14ac:dyDescent="0.25">
      <c r="A1620" s="216" t="s">
        <v>2627</v>
      </c>
      <c r="B1620" s="218">
        <v>1</v>
      </c>
      <c r="C1620" s="220" t="s">
        <v>1628</v>
      </c>
      <c r="D1620" s="220" t="s">
        <v>56</v>
      </c>
      <c r="E1620" s="165">
        <v>1082</v>
      </c>
    </row>
    <row r="1621" spans="1:5" x14ac:dyDescent="0.25">
      <c r="A1621" s="216" t="s">
        <v>2406</v>
      </c>
      <c r="B1621" s="218" t="s">
        <v>48</v>
      </c>
      <c r="C1621" s="220" t="s">
        <v>2407</v>
      </c>
      <c r="D1621" s="220" t="s">
        <v>75</v>
      </c>
      <c r="E1621" s="165">
        <v>1082</v>
      </c>
    </row>
    <row r="1622" spans="1:5" x14ac:dyDescent="0.25">
      <c r="A1622" s="216" t="s">
        <v>10712</v>
      </c>
      <c r="B1622" s="218">
        <v>1</v>
      </c>
      <c r="C1622" s="220" t="s">
        <v>1747</v>
      </c>
      <c r="D1622" s="220" t="s">
        <v>98</v>
      </c>
      <c r="E1622" s="165">
        <v>1080</v>
      </c>
    </row>
    <row r="1623" spans="1:5" x14ac:dyDescent="0.25">
      <c r="A1623" s="216" t="s">
        <v>2157</v>
      </c>
      <c r="B1623" s="218">
        <v>1</v>
      </c>
      <c r="C1623" s="220" t="s">
        <v>2158</v>
      </c>
      <c r="D1623" s="220" t="s">
        <v>277</v>
      </c>
      <c r="E1623" s="165">
        <v>1078</v>
      </c>
    </row>
    <row r="1624" spans="1:5" x14ac:dyDescent="0.25">
      <c r="A1624" s="216" t="s">
        <v>2435</v>
      </c>
      <c r="B1624" s="218">
        <v>1</v>
      </c>
      <c r="C1624" s="220" t="s">
        <v>86</v>
      </c>
      <c r="D1624" s="220" t="s">
        <v>78</v>
      </c>
      <c r="E1624" s="165">
        <v>1075</v>
      </c>
    </row>
    <row r="1625" spans="1:5" x14ac:dyDescent="0.25">
      <c r="A1625" s="216" t="s">
        <v>3795</v>
      </c>
      <c r="B1625" s="218" t="s">
        <v>48</v>
      </c>
      <c r="C1625" s="220" t="s">
        <v>89</v>
      </c>
      <c r="D1625" s="220" t="s">
        <v>90</v>
      </c>
      <c r="E1625" s="165">
        <v>1075</v>
      </c>
    </row>
    <row r="1626" spans="1:5" x14ac:dyDescent="0.25">
      <c r="A1626" s="216" t="s">
        <v>2748</v>
      </c>
      <c r="B1626" s="218">
        <v>1</v>
      </c>
      <c r="C1626" s="220" t="s">
        <v>316</v>
      </c>
      <c r="D1626" s="220" t="s">
        <v>118</v>
      </c>
      <c r="E1626" s="165">
        <v>1072</v>
      </c>
    </row>
    <row r="1627" spans="1:5" x14ac:dyDescent="0.25">
      <c r="A1627" s="216" t="s">
        <v>2524</v>
      </c>
      <c r="B1627" s="218" t="s">
        <v>48</v>
      </c>
      <c r="C1627" s="220" t="s">
        <v>2525</v>
      </c>
      <c r="D1627" s="220" t="s">
        <v>78</v>
      </c>
      <c r="E1627" s="165">
        <v>1071</v>
      </c>
    </row>
    <row r="1628" spans="1:5" x14ac:dyDescent="0.25">
      <c r="A1628" s="216" t="s">
        <v>2795</v>
      </c>
      <c r="B1628" s="218" t="s">
        <v>48</v>
      </c>
      <c r="C1628" s="220" t="s">
        <v>227</v>
      </c>
      <c r="D1628" s="220" t="s">
        <v>78</v>
      </c>
      <c r="E1628" s="165">
        <v>1070</v>
      </c>
    </row>
    <row r="1629" spans="1:5" x14ac:dyDescent="0.25">
      <c r="A1629" s="216" t="s">
        <v>10528</v>
      </c>
      <c r="B1629" s="218" t="s">
        <v>48</v>
      </c>
      <c r="C1629" s="220" t="s">
        <v>11041</v>
      </c>
      <c r="D1629" s="220" t="s">
        <v>50</v>
      </c>
      <c r="E1629" s="165">
        <v>1066</v>
      </c>
    </row>
    <row r="1630" spans="1:5" x14ac:dyDescent="0.25">
      <c r="A1630" s="216" t="s">
        <v>2349</v>
      </c>
      <c r="B1630" s="218">
        <v>1</v>
      </c>
      <c r="C1630" s="220" t="s">
        <v>1391</v>
      </c>
      <c r="D1630" s="220" t="s">
        <v>272</v>
      </c>
      <c r="E1630" s="165">
        <v>1066</v>
      </c>
    </row>
    <row r="1631" spans="1:5" x14ac:dyDescent="0.25">
      <c r="A1631" s="216" t="s">
        <v>2649</v>
      </c>
      <c r="B1631" s="218">
        <v>1</v>
      </c>
      <c r="C1631" s="220" t="s">
        <v>261</v>
      </c>
      <c r="D1631" s="220" t="s">
        <v>56</v>
      </c>
      <c r="E1631" s="165">
        <v>1066</v>
      </c>
    </row>
    <row r="1632" spans="1:5" x14ac:dyDescent="0.25">
      <c r="A1632" s="216" t="s">
        <v>11042</v>
      </c>
      <c r="B1632" s="218">
        <v>1</v>
      </c>
      <c r="C1632" s="220" t="s">
        <v>11043</v>
      </c>
      <c r="D1632" s="220" t="s">
        <v>66</v>
      </c>
      <c r="E1632" s="165">
        <v>1065</v>
      </c>
    </row>
    <row r="1633" spans="1:5" x14ac:dyDescent="0.25">
      <c r="A1633" s="216" t="s">
        <v>2920</v>
      </c>
      <c r="B1633" s="218">
        <v>1</v>
      </c>
      <c r="C1633" s="220" t="s">
        <v>879</v>
      </c>
      <c r="D1633" s="220" t="s">
        <v>337</v>
      </c>
      <c r="E1633" s="165">
        <v>1065</v>
      </c>
    </row>
    <row r="1634" spans="1:5" x14ac:dyDescent="0.25">
      <c r="A1634" s="216" t="s">
        <v>2162</v>
      </c>
      <c r="B1634" s="218">
        <v>1</v>
      </c>
      <c r="C1634" s="220" t="s">
        <v>2163</v>
      </c>
      <c r="D1634" s="220" t="s">
        <v>523</v>
      </c>
      <c r="E1634" s="165">
        <v>1062</v>
      </c>
    </row>
    <row r="1635" spans="1:5" x14ac:dyDescent="0.25">
      <c r="A1635" s="216" t="s">
        <v>2624</v>
      </c>
      <c r="B1635" s="218">
        <v>1</v>
      </c>
      <c r="C1635" s="220" t="s">
        <v>424</v>
      </c>
      <c r="D1635" s="220" t="s">
        <v>59</v>
      </c>
      <c r="E1635" s="165">
        <v>1060</v>
      </c>
    </row>
    <row r="1636" spans="1:5" x14ac:dyDescent="0.25">
      <c r="A1636" s="216" t="s">
        <v>2605</v>
      </c>
      <c r="B1636" s="218" t="s">
        <v>48</v>
      </c>
      <c r="C1636" s="220" t="s">
        <v>1719</v>
      </c>
      <c r="D1636" s="220" t="s">
        <v>90</v>
      </c>
      <c r="E1636" s="165">
        <v>1060</v>
      </c>
    </row>
    <row r="1637" spans="1:5" x14ac:dyDescent="0.25">
      <c r="A1637" s="216" t="s">
        <v>2998</v>
      </c>
      <c r="B1637" s="218">
        <v>1</v>
      </c>
      <c r="C1637" s="220" t="s">
        <v>198</v>
      </c>
      <c r="D1637" s="220" t="s">
        <v>56</v>
      </c>
      <c r="E1637" s="165">
        <v>1059</v>
      </c>
    </row>
    <row r="1638" spans="1:5" x14ac:dyDescent="0.25">
      <c r="A1638" s="216" t="s">
        <v>2438</v>
      </c>
      <c r="B1638" s="218">
        <v>1</v>
      </c>
      <c r="C1638" s="220" t="s">
        <v>421</v>
      </c>
      <c r="D1638" s="220" t="s">
        <v>201</v>
      </c>
      <c r="E1638" s="165">
        <v>1059</v>
      </c>
    </row>
    <row r="1639" spans="1:5" x14ac:dyDescent="0.25">
      <c r="A1639" s="216" t="s">
        <v>2196</v>
      </c>
      <c r="B1639" s="218">
        <v>1</v>
      </c>
      <c r="C1639" s="220" t="s">
        <v>609</v>
      </c>
      <c r="D1639" s="220" t="s">
        <v>277</v>
      </c>
      <c r="E1639" s="165">
        <v>1058</v>
      </c>
    </row>
    <row r="1640" spans="1:5" x14ac:dyDescent="0.25">
      <c r="A1640" s="216" t="s">
        <v>2679</v>
      </c>
      <c r="B1640" s="218" t="s">
        <v>48</v>
      </c>
      <c r="C1640" s="220" t="s">
        <v>86</v>
      </c>
      <c r="D1640" s="220" t="s">
        <v>78</v>
      </c>
      <c r="E1640" s="165">
        <v>1058</v>
      </c>
    </row>
    <row r="1641" spans="1:5" x14ac:dyDescent="0.25">
      <c r="A1641" s="216" t="s">
        <v>2418</v>
      </c>
      <c r="B1641" s="218" t="s">
        <v>48</v>
      </c>
      <c r="C1641" s="220" t="s">
        <v>2419</v>
      </c>
      <c r="D1641" s="220" t="s">
        <v>394</v>
      </c>
      <c r="E1641" s="165">
        <v>1058</v>
      </c>
    </row>
    <row r="1642" spans="1:5" x14ac:dyDescent="0.25">
      <c r="A1642" s="216" t="s">
        <v>2448</v>
      </c>
      <c r="B1642" s="218">
        <v>1</v>
      </c>
      <c r="C1642" s="220" t="s">
        <v>1138</v>
      </c>
      <c r="D1642" s="220" t="s">
        <v>127</v>
      </c>
      <c r="E1642" s="165">
        <v>1056</v>
      </c>
    </row>
    <row r="1643" spans="1:5" x14ac:dyDescent="0.25">
      <c r="A1643" s="216" t="s">
        <v>2657</v>
      </c>
      <c r="B1643" s="218">
        <v>1</v>
      </c>
      <c r="C1643" s="220" t="s">
        <v>2658</v>
      </c>
      <c r="D1643" s="220" t="s">
        <v>69</v>
      </c>
      <c r="E1643" s="165">
        <v>1055</v>
      </c>
    </row>
    <row r="1644" spans="1:5" x14ac:dyDescent="0.25">
      <c r="A1644" s="216" t="s">
        <v>2375</v>
      </c>
      <c r="B1644" s="218">
        <v>1</v>
      </c>
      <c r="C1644" s="220" t="s">
        <v>86</v>
      </c>
      <c r="D1644" s="220" t="s">
        <v>87</v>
      </c>
      <c r="E1644" s="165">
        <v>1052</v>
      </c>
    </row>
    <row r="1645" spans="1:5" x14ac:dyDescent="0.25">
      <c r="A1645" s="216" t="s">
        <v>2626</v>
      </c>
      <c r="B1645" s="218" t="s">
        <v>48</v>
      </c>
      <c r="C1645" s="220" t="s">
        <v>470</v>
      </c>
      <c r="D1645" s="220" t="s">
        <v>108</v>
      </c>
      <c r="E1645" s="165">
        <v>1050</v>
      </c>
    </row>
    <row r="1646" spans="1:5" x14ac:dyDescent="0.25">
      <c r="A1646" s="216" t="s">
        <v>8732</v>
      </c>
      <c r="B1646" s="218" t="s">
        <v>48</v>
      </c>
      <c r="C1646" s="220" t="s">
        <v>8733</v>
      </c>
      <c r="D1646" s="220" t="s">
        <v>378</v>
      </c>
      <c r="E1646" s="165">
        <v>1050</v>
      </c>
    </row>
    <row r="1647" spans="1:5" x14ac:dyDescent="0.25">
      <c r="A1647" s="216" t="s">
        <v>2686</v>
      </c>
      <c r="B1647" s="218">
        <v>1</v>
      </c>
      <c r="C1647" s="220" t="s">
        <v>1921</v>
      </c>
      <c r="D1647" s="220" t="s">
        <v>188</v>
      </c>
      <c r="E1647" s="165">
        <v>1048</v>
      </c>
    </row>
    <row r="1648" spans="1:5" x14ac:dyDescent="0.25">
      <c r="A1648" s="216" t="s">
        <v>2168</v>
      </c>
      <c r="B1648" s="218">
        <v>1</v>
      </c>
      <c r="C1648" s="220" t="s">
        <v>306</v>
      </c>
      <c r="D1648" s="220" t="s">
        <v>63</v>
      </c>
      <c r="E1648" s="165">
        <v>1047</v>
      </c>
    </row>
    <row r="1649" spans="1:5" x14ac:dyDescent="0.25">
      <c r="A1649" s="216" t="s">
        <v>2767</v>
      </c>
      <c r="B1649" s="218" t="s">
        <v>48</v>
      </c>
      <c r="C1649" s="220" t="s">
        <v>2768</v>
      </c>
      <c r="D1649" s="220" t="s">
        <v>1200</v>
      </c>
      <c r="E1649" s="165">
        <v>1046</v>
      </c>
    </row>
    <row r="1650" spans="1:5" x14ac:dyDescent="0.25">
      <c r="A1650" s="216" t="s">
        <v>2611</v>
      </c>
      <c r="B1650" s="218">
        <v>1</v>
      </c>
      <c r="C1650" s="220" t="s">
        <v>77</v>
      </c>
      <c r="D1650" s="220" t="s">
        <v>78</v>
      </c>
      <c r="E1650" s="165">
        <v>1046</v>
      </c>
    </row>
    <row r="1651" spans="1:5" x14ac:dyDescent="0.25">
      <c r="A1651" s="216" t="s">
        <v>2426</v>
      </c>
      <c r="B1651" s="218">
        <v>1</v>
      </c>
      <c r="C1651" s="220" t="s">
        <v>870</v>
      </c>
      <c r="D1651" s="220" t="s">
        <v>142</v>
      </c>
      <c r="E1651" s="165">
        <v>1046</v>
      </c>
    </row>
    <row r="1652" spans="1:5" x14ac:dyDescent="0.25">
      <c r="A1652" s="216" t="s">
        <v>7571</v>
      </c>
      <c r="B1652" s="218" t="s">
        <v>48</v>
      </c>
      <c r="C1652" s="220" t="s">
        <v>2999</v>
      </c>
      <c r="D1652" s="220" t="s">
        <v>90</v>
      </c>
      <c r="E1652" s="165">
        <v>1046</v>
      </c>
    </row>
    <row r="1653" spans="1:5" x14ac:dyDescent="0.25">
      <c r="A1653" s="216" t="s">
        <v>2646</v>
      </c>
      <c r="B1653" s="218" t="s">
        <v>48</v>
      </c>
      <c r="C1653" s="220" t="s">
        <v>1963</v>
      </c>
      <c r="D1653" s="220" t="s">
        <v>90</v>
      </c>
      <c r="E1653" s="165">
        <v>1045</v>
      </c>
    </row>
    <row r="1654" spans="1:5" x14ac:dyDescent="0.25">
      <c r="A1654" s="216" t="s">
        <v>2439</v>
      </c>
      <c r="B1654" s="218">
        <v>1</v>
      </c>
      <c r="C1654" s="220" t="s">
        <v>2440</v>
      </c>
      <c r="D1654" s="220" t="s">
        <v>69</v>
      </c>
      <c r="E1654" s="165">
        <v>1044</v>
      </c>
    </row>
    <row r="1655" spans="1:5" x14ac:dyDescent="0.25">
      <c r="A1655" s="216" t="s">
        <v>2599</v>
      </c>
      <c r="B1655" s="218">
        <v>1</v>
      </c>
      <c r="C1655" s="220" t="s">
        <v>2600</v>
      </c>
      <c r="D1655" s="220" t="s">
        <v>192</v>
      </c>
      <c r="E1655" s="165">
        <v>1042</v>
      </c>
    </row>
    <row r="1656" spans="1:5" x14ac:dyDescent="0.25">
      <c r="A1656" s="216" t="s">
        <v>2642</v>
      </c>
      <c r="B1656" s="218">
        <v>1</v>
      </c>
      <c r="C1656" s="220" t="s">
        <v>2643</v>
      </c>
      <c r="D1656" s="220" t="s">
        <v>63</v>
      </c>
      <c r="E1656" s="165">
        <v>1042</v>
      </c>
    </row>
    <row r="1657" spans="1:5" x14ac:dyDescent="0.25">
      <c r="A1657" s="216" t="s">
        <v>2644</v>
      </c>
      <c r="B1657" s="218">
        <v>1</v>
      </c>
      <c r="C1657" s="220" t="s">
        <v>2645</v>
      </c>
      <c r="D1657" s="220" t="s">
        <v>63</v>
      </c>
      <c r="E1657" s="165">
        <v>1042</v>
      </c>
    </row>
    <row r="1658" spans="1:5" x14ac:dyDescent="0.25">
      <c r="A1658" s="216" t="s">
        <v>3545</v>
      </c>
      <c r="B1658" s="218" t="s">
        <v>48</v>
      </c>
      <c r="C1658" s="220" t="s">
        <v>213</v>
      </c>
      <c r="D1658" s="220" t="s">
        <v>75</v>
      </c>
      <c r="E1658" s="165">
        <v>1041</v>
      </c>
    </row>
    <row r="1659" spans="1:5" x14ac:dyDescent="0.25">
      <c r="A1659" s="216" t="s">
        <v>3308</v>
      </c>
      <c r="B1659" s="218" t="s">
        <v>48</v>
      </c>
      <c r="C1659" s="220" t="s">
        <v>3309</v>
      </c>
      <c r="D1659" s="220" t="s">
        <v>59</v>
      </c>
      <c r="E1659" s="165">
        <v>1041</v>
      </c>
    </row>
    <row r="1660" spans="1:5" x14ac:dyDescent="0.25">
      <c r="A1660" s="216" t="s">
        <v>2531</v>
      </c>
      <c r="B1660" s="218">
        <v>1</v>
      </c>
      <c r="C1660" s="220" t="s">
        <v>545</v>
      </c>
      <c r="D1660" s="220" t="s">
        <v>56</v>
      </c>
      <c r="E1660" s="165">
        <v>1040</v>
      </c>
    </row>
    <row r="1661" spans="1:5" x14ac:dyDescent="0.25">
      <c r="A1661" s="216" t="s">
        <v>2144</v>
      </c>
      <c r="B1661" s="218" t="s">
        <v>48</v>
      </c>
      <c r="C1661" s="220" t="s">
        <v>285</v>
      </c>
      <c r="D1661" s="220" t="s">
        <v>59</v>
      </c>
      <c r="E1661" s="165">
        <v>1040</v>
      </c>
    </row>
    <row r="1662" spans="1:5" x14ac:dyDescent="0.25">
      <c r="A1662" s="216" t="s">
        <v>2521</v>
      </c>
      <c r="B1662" s="218">
        <v>1</v>
      </c>
      <c r="C1662" s="220" t="s">
        <v>251</v>
      </c>
      <c r="D1662" s="220" t="s">
        <v>98</v>
      </c>
      <c r="E1662" s="165">
        <v>1039</v>
      </c>
    </row>
    <row r="1663" spans="1:5" x14ac:dyDescent="0.25">
      <c r="A1663" s="216" t="s">
        <v>11044</v>
      </c>
      <c r="B1663" s="218">
        <v>1</v>
      </c>
      <c r="C1663" s="220" t="s">
        <v>11045</v>
      </c>
      <c r="D1663" s="220" t="s">
        <v>192</v>
      </c>
      <c r="E1663" s="165">
        <v>1039</v>
      </c>
    </row>
    <row r="1664" spans="1:5" x14ac:dyDescent="0.25">
      <c r="A1664" s="216" t="s">
        <v>2465</v>
      </c>
      <c r="B1664" s="218">
        <v>1</v>
      </c>
      <c r="C1664" s="220" t="s">
        <v>1331</v>
      </c>
      <c r="D1664" s="220" t="s">
        <v>348</v>
      </c>
      <c r="E1664" s="165">
        <v>1037</v>
      </c>
    </row>
    <row r="1665" spans="1:5" x14ac:dyDescent="0.25">
      <c r="A1665" s="216" t="s">
        <v>2687</v>
      </c>
      <c r="B1665" s="218">
        <v>1</v>
      </c>
      <c r="C1665" s="220" t="s">
        <v>274</v>
      </c>
      <c r="D1665" s="220" t="s">
        <v>188</v>
      </c>
      <c r="E1665" s="165">
        <v>1037</v>
      </c>
    </row>
    <row r="1666" spans="1:5" x14ac:dyDescent="0.25">
      <c r="A1666" s="216" t="s">
        <v>2164</v>
      </c>
      <c r="B1666" s="218" t="s">
        <v>48</v>
      </c>
      <c r="C1666" s="220" t="s">
        <v>2165</v>
      </c>
      <c r="D1666" s="220" t="s">
        <v>93</v>
      </c>
      <c r="E1666" s="165">
        <v>1034</v>
      </c>
    </row>
    <row r="1667" spans="1:5" x14ac:dyDescent="0.25">
      <c r="A1667" s="216" t="s">
        <v>2630</v>
      </c>
      <c r="B1667" s="218">
        <v>1</v>
      </c>
      <c r="C1667" s="220" t="s">
        <v>1337</v>
      </c>
      <c r="D1667" s="220" t="s">
        <v>394</v>
      </c>
      <c r="E1667" s="165">
        <v>1034</v>
      </c>
    </row>
    <row r="1668" spans="1:5" x14ac:dyDescent="0.25">
      <c r="A1668" s="216" t="s">
        <v>3025</v>
      </c>
      <c r="B1668" s="218" t="s">
        <v>48</v>
      </c>
      <c r="C1668" s="220" t="s">
        <v>3026</v>
      </c>
      <c r="D1668" s="220" t="s">
        <v>53</v>
      </c>
      <c r="E1668" s="165">
        <v>1031</v>
      </c>
    </row>
    <row r="1669" spans="1:5" x14ac:dyDescent="0.25">
      <c r="A1669" s="216" t="s">
        <v>2622</v>
      </c>
      <c r="B1669" s="218" t="s">
        <v>48</v>
      </c>
      <c r="C1669" s="220" t="s">
        <v>257</v>
      </c>
      <c r="D1669" s="220" t="s">
        <v>108</v>
      </c>
      <c r="E1669" s="165">
        <v>1027</v>
      </c>
    </row>
    <row r="1670" spans="1:5" x14ac:dyDescent="0.25">
      <c r="A1670" s="216" t="s">
        <v>2683</v>
      </c>
      <c r="B1670" s="218">
        <v>1</v>
      </c>
      <c r="C1670" s="220" t="s">
        <v>2655</v>
      </c>
      <c r="D1670" s="220" t="s">
        <v>394</v>
      </c>
      <c r="E1670" s="165">
        <v>1025</v>
      </c>
    </row>
    <row r="1671" spans="1:5" x14ac:dyDescent="0.25">
      <c r="A1671" s="216" t="s">
        <v>2606</v>
      </c>
      <c r="B1671" s="218">
        <v>1</v>
      </c>
      <c r="C1671" s="220" t="s">
        <v>2607</v>
      </c>
      <c r="D1671" s="220" t="s">
        <v>66</v>
      </c>
      <c r="E1671" s="165">
        <v>1025</v>
      </c>
    </row>
    <row r="1672" spans="1:5" x14ac:dyDescent="0.25">
      <c r="A1672" s="216" t="s">
        <v>2950</v>
      </c>
      <c r="B1672" s="218" t="s">
        <v>48</v>
      </c>
      <c r="C1672" s="220" t="s">
        <v>2951</v>
      </c>
      <c r="D1672" s="220" t="s">
        <v>378</v>
      </c>
      <c r="E1672" s="165">
        <v>1025</v>
      </c>
    </row>
    <row r="1673" spans="1:5" x14ac:dyDescent="0.25">
      <c r="A1673" s="216" t="s">
        <v>11046</v>
      </c>
      <c r="B1673" s="218">
        <v>1</v>
      </c>
      <c r="C1673" s="220" t="s">
        <v>988</v>
      </c>
      <c r="D1673" s="220" t="s">
        <v>69</v>
      </c>
      <c r="E1673" s="165">
        <v>1024</v>
      </c>
    </row>
    <row r="1674" spans="1:5" x14ac:dyDescent="0.25">
      <c r="A1674" s="216" t="s">
        <v>2575</v>
      </c>
      <c r="B1674" s="218">
        <v>1</v>
      </c>
      <c r="C1674" s="220" t="s">
        <v>2576</v>
      </c>
      <c r="D1674" s="220" t="s">
        <v>56</v>
      </c>
      <c r="E1674" s="165">
        <v>1024</v>
      </c>
    </row>
    <row r="1675" spans="1:5" x14ac:dyDescent="0.25">
      <c r="A1675" s="216" t="s">
        <v>2577</v>
      </c>
      <c r="B1675" s="218">
        <v>1</v>
      </c>
      <c r="C1675" s="220" t="s">
        <v>2578</v>
      </c>
      <c r="D1675" s="220" t="s">
        <v>56</v>
      </c>
      <c r="E1675" s="165">
        <v>1024</v>
      </c>
    </row>
    <row r="1676" spans="1:5" x14ac:dyDescent="0.25">
      <c r="A1676" s="216" t="s">
        <v>2214</v>
      </c>
      <c r="B1676" s="218" t="s">
        <v>48</v>
      </c>
      <c r="C1676" s="220" t="s">
        <v>89</v>
      </c>
      <c r="D1676" s="220" t="s">
        <v>90</v>
      </c>
      <c r="E1676" s="165">
        <v>1023</v>
      </c>
    </row>
    <row r="1677" spans="1:5" x14ac:dyDescent="0.25">
      <c r="A1677" s="216" t="s">
        <v>2412</v>
      </c>
      <c r="B1677" s="218">
        <v>1</v>
      </c>
      <c r="C1677" s="220" t="s">
        <v>2413</v>
      </c>
      <c r="D1677" s="220" t="s">
        <v>272</v>
      </c>
      <c r="E1677" s="165">
        <v>1022</v>
      </c>
    </row>
    <row r="1678" spans="1:5" x14ac:dyDescent="0.25">
      <c r="A1678" s="216" t="s">
        <v>2586</v>
      </c>
      <c r="B1678" s="218">
        <v>1</v>
      </c>
      <c r="C1678" s="220" t="s">
        <v>2587</v>
      </c>
      <c r="D1678" s="220" t="s">
        <v>56</v>
      </c>
      <c r="E1678" s="165">
        <v>1021</v>
      </c>
    </row>
    <row r="1679" spans="1:5" x14ac:dyDescent="0.25">
      <c r="A1679" s="216" t="s">
        <v>2621</v>
      </c>
      <c r="B1679" s="218" t="s">
        <v>48</v>
      </c>
      <c r="C1679" s="220" t="s">
        <v>797</v>
      </c>
      <c r="D1679" s="220" t="s">
        <v>130</v>
      </c>
      <c r="E1679" s="165">
        <v>1020</v>
      </c>
    </row>
    <row r="1680" spans="1:5" x14ac:dyDescent="0.25">
      <c r="A1680" s="216" t="s">
        <v>2628</v>
      </c>
      <c r="B1680" s="218">
        <v>1</v>
      </c>
      <c r="C1680" s="220" t="s">
        <v>2629</v>
      </c>
      <c r="D1680" s="220" t="s">
        <v>517</v>
      </c>
      <c r="E1680" s="165">
        <v>1019</v>
      </c>
    </row>
    <row r="1681" spans="1:5" x14ac:dyDescent="0.25">
      <c r="A1681" s="216" t="s">
        <v>6150</v>
      </c>
      <c r="B1681" s="218" t="s">
        <v>48</v>
      </c>
      <c r="C1681" s="220" t="s">
        <v>92</v>
      </c>
      <c r="D1681" s="220" t="s">
        <v>93</v>
      </c>
      <c r="E1681" s="165">
        <v>1016</v>
      </c>
    </row>
    <row r="1682" spans="1:5" x14ac:dyDescent="0.25">
      <c r="A1682" s="216" t="s">
        <v>2461</v>
      </c>
      <c r="B1682" s="218" t="s">
        <v>48</v>
      </c>
      <c r="C1682" s="220" t="s">
        <v>1027</v>
      </c>
      <c r="D1682" s="220" t="s">
        <v>277</v>
      </c>
      <c r="E1682" s="165">
        <v>1015</v>
      </c>
    </row>
    <row r="1683" spans="1:5" x14ac:dyDescent="0.25">
      <c r="A1683" s="216" t="s">
        <v>3195</v>
      </c>
      <c r="B1683" s="218" t="s">
        <v>48</v>
      </c>
      <c r="C1683" s="220" t="s">
        <v>3196</v>
      </c>
      <c r="D1683" s="220" t="s">
        <v>201</v>
      </c>
      <c r="E1683" s="165">
        <v>1012</v>
      </c>
    </row>
    <row r="1684" spans="1:5" x14ac:dyDescent="0.25">
      <c r="A1684" s="216" t="s">
        <v>2862</v>
      </c>
      <c r="B1684" s="218" t="s">
        <v>48</v>
      </c>
      <c r="C1684" s="220" t="s">
        <v>2863</v>
      </c>
      <c r="D1684" s="220" t="s">
        <v>78</v>
      </c>
      <c r="E1684" s="165">
        <v>1010</v>
      </c>
    </row>
    <row r="1685" spans="1:5" x14ac:dyDescent="0.25">
      <c r="A1685" s="216" t="s">
        <v>2284</v>
      </c>
      <c r="B1685" s="218">
        <v>1</v>
      </c>
      <c r="C1685" s="220" t="s">
        <v>404</v>
      </c>
      <c r="D1685" s="220" t="s">
        <v>277</v>
      </c>
      <c r="E1685" s="165">
        <v>1009</v>
      </c>
    </row>
    <row r="1686" spans="1:5" x14ac:dyDescent="0.25">
      <c r="A1686" s="216" t="s">
        <v>2896</v>
      </c>
      <c r="B1686" s="218">
        <v>1</v>
      </c>
      <c r="C1686" s="220" t="s">
        <v>235</v>
      </c>
      <c r="D1686" s="220" t="s">
        <v>236</v>
      </c>
      <c r="E1686" s="165">
        <v>1009</v>
      </c>
    </row>
    <row r="1687" spans="1:5" x14ac:dyDescent="0.25">
      <c r="A1687" s="216" t="s">
        <v>2634</v>
      </c>
      <c r="B1687" s="218" t="s">
        <v>48</v>
      </c>
      <c r="C1687" s="220" t="s">
        <v>877</v>
      </c>
      <c r="D1687" s="220" t="s">
        <v>277</v>
      </c>
      <c r="E1687" s="165">
        <v>1009</v>
      </c>
    </row>
    <row r="1688" spans="1:5" x14ac:dyDescent="0.25">
      <c r="A1688" s="216" t="s">
        <v>2551</v>
      </c>
      <c r="B1688" s="218" t="s">
        <v>48</v>
      </c>
      <c r="C1688" s="220" t="s">
        <v>2552</v>
      </c>
      <c r="D1688" s="220" t="s">
        <v>78</v>
      </c>
      <c r="E1688" s="165">
        <v>1005</v>
      </c>
    </row>
    <row r="1689" spans="1:5" x14ac:dyDescent="0.25">
      <c r="A1689" s="216" t="s">
        <v>2737</v>
      </c>
      <c r="B1689" s="218">
        <v>1</v>
      </c>
      <c r="C1689" s="220" t="s">
        <v>2738</v>
      </c>
      <c r="D1689" s="220" t="s">
        <v>188</v>
      </c>
      <c r="E1689" s="165">
        <v>1003</v>
      </c>
    </row>
    <row r="1690" spans="1:5" x14ac:dyDescent="0.25">
      <c r="A1690" s="216" t="s">
        <v>2497</v>
      </c>
      <c r="B1690" s="218">
        <v>1</v>
      </c>
      <c r="C1690" s="220" t="s">
        <v>249</v>
      </c>
      <c r="D1690" s="220" t="s">
        <v>142</v>
      </c>
      <c r="E1690" s="165">
        <v>1002</v>
      </c>
    </row>
    <row r="1691" spans="1:5" x14ac:dyDescent="0.25">
      <c r="A1691" s="216" t="s">
        <v>2937</v>
      </c>
      <c r="B1691" s="218" t="s">
        <v>48</v>
      </c>
      <c r="C1691" s="220" t="s">
        <v>2938</v>
      </c>
      <c r="D1691" s="220" t="s">
        <v>56</v>
      </c>
      <c r="E1691" s="165">
        <v>1000</v>
      </c>
    </row>
    <row r="1692" spans="1:5" x14ac:dyDescent="0.25">
      <c r="A1692" s="216" t="s">
        <v>4481</v>
      </c>
      <c r="B1692" s="218" t="s">
        <v>48</v>
      </c>
      <c r="C1692" s="220" t="s">
        <v>3603</v>
      </c>
      <c r="D1692" s="220" t="s">
        <v>108</v>
      </c>
      <c r="E1692" s="165">
        <v>1000</v>
      </c>
    </row>
    <row r="1693" spans="1:5" x14ac:dyDescent="0.25">
      <c r="A1693" s="216" t="s">
        <v>2744</v>
      </c>
      <c r="B1693" s="218" t="s">
        <v>48</v>
      </c>
      <c r="C1693" s="220" t="s">
        <v>473</v>
      </c>
      <c r="D1693" s="220" t="s">
        <v>82</v>
      </c>
      <c r="E1693" s="165">
        <v>1000</v>
      </c>
    </row>
    <row r="1694" spans="1:5" x14ac:dyDescent="0.25">
      <c r="A1694" s="216" t="s">
        <v>4531</v>
      </c>
      <c r="B1694" s="218" t="s">
        <v>48</v>
      </c>
      <c r="C1694" s="220" t="s">
        <v>640</v>
      </c>
      <c r="D1694" s="220" t="s">
        <v>69</v>
      </c>
      <c r="E1694" s="165">
        <v>1000</v>
      </c>
    </row>
    <row r="1695" spans="1:5" x14ac:dyDescent="0.25">
      <c r="A1695" s="216" t="s">
        <v>1848</v>
      </c>
      <c r="B1695" s="218" t="s">
        <v>48</v>
      </c>
      <c r="C1695" s="220" t="s">
        <v>1849</v>
      </c>
      <c r="D1695" s="220" t="s">
        <v>93</v>
      </c>
      <c r="E1695" s="165">
        <v>1000</v>
      </c>
    </row>
    <row r="1696" spans="1:5" x14ac:dyDescent="0.25">
      <c r="A1696" s="216" t="s">
        <v>2532</v>
      </c>
      <c r="B1696" s="218" t="s">
        <v>48</v>
      </c>
      <c r="C1696" s="220" t="s">
        <v>2533</v>
      </c>
      <c r="D1696" s="220" t="s">
        <v>127</v>
      </c>
      <c r="E1696" s="165">
        <v>1000</v>
      </c>
    </row>
    <row r="1697" spans="1:5" x14ac:dyDescent="0.25">
      <c r="A1697" s="216" t="s">
        <v>9384</v>
      </c>
      <c r="B1697" s="218" t="s">
        <v>48</v>
      </c>
      <c r="C1697" s="220" t="s">
        <v>86</v>
      </c>
      <c r="D1697" s="220" t="s">
        <v>78</v>
      </c>
      <c r="E1697" s="165">
        <v>1000</v>
      </c>
    </row>
    <row r="1698" spans="1:5" x14ac:dyDescent="0.25">
      <c r="A1698" s="216" t="s">
        <v>2314</v>
      </c>
      <c r="B1698" s="218" t="s">
        <v>48</v>
      </c>
      <c r="C1698" s="220" t="s">
        <v>1100</v>
      </c>
      <c r="D1698" s="220" t="s">
        <v>139</v>
      </c>
      <c r="E1698" s="165">
        <v>1000</v>
      </c>
    </row>
    <row r="1699" spans="1:5" x14ac:dyDescent="0.25">
      <c r="A1699" s="216" t="s">
        <v>2746</v>
      </c>
      <c r="B1699" s="218" t="s">
        <v>48</v>
      </c>
      <c r="C1699" s="220" t="s">
        <v>2747</v>
      </c>
      <c r="D1699" s="220" t="s">
        <v>87</v>
      </c>
      <c r="E1699" s="165">
        <v>1000</v>
      </c>
    </row>
    <row r="1700" spans="1:5" x14ac:dyDescent="0.25">
      <c r="A1700" s="216" t="s">
        <v>1517</v>
      </c>
      <c r="B1700" s="218" t="s">
        <v>48</v>
      </c>
      <c r="C1700" s="220" t="s">
        <v>1518</v>
      </c>
      <c r="D1700" s="220" t="s">
        <v>63</v>
      </c>
      <c r="E1700" s="165">
        <v>1000</v>
      </c>
    </row>
    <row r="1701" spans="1:5" x14ac:dyDescent="0.25">
      <c r="A1701" s="216" t="s">
        <v>2204</v>
      </c>
      <c r="B1701" s="218" t="s">
        <v>48</v>
      </c>
      <c r="C1701" s="220" t="s">
        <v>429</v>
      </c>
      <c r="D1701" s="220" t="s">
        <v>139</v>
      </c>
      <c r="E1701" s="165">
        <v>1000</v>
      </c>
    </row>
    <row r="1702" spans="1:5" x14ac:dyDescent="0.25">
      <c r="A1702" s="216" t="s">
        <v>1914</v>
      </c>
      <c r="B1702" s="218" t="s">
        <v>48</v>
      </c>
      <c r="C1702" s="220" t="s">
        <v>1915</v>
      </c>
      <c r="D1702" s="220" t="s">
        <v>201</v>
      </c>
      <c r="E1702" s="165">
        <v>1000</v>
      </c>
    </row>
    <row r="1703" spans="1:5" x14ac:dyDescent="0.25">
      <c r="A1703" s="216" t="s">
        <v>4212</v>
      </c>
      <c r="B1703" s="218" t="s">
        <v>48</v>
      </c>
      <c r="C1703" s="220" t="s">
        <v>4213</v>
      </c>
      <c r="D1703" s="220" t="s">
        <v>188</v>
      </c>
      <c r="E1703" s="165">
        <v>1000</v>
      </c>
    </row>
    <row r="1704" spans="1:5" x14ac:dyDescent="0.25">
      <c r="A1704" s="216" t="s">
        <v>2538</v>
      </c>
      <c r="B1704" s="218" t="s">
        <v>48</v>
      </c>
      <c r="C1704" s="220" t="s">
        <v>2539</v>
      </c>
      <c r="D1704" s="220" t="s">
        <v>53</v>
      </c>
      <c r="E1704" s="165">
        <v>1000</v>
      </c>
    </row>
    <row r="1705" spans="1:5" x14ac:dyDescent="0.25">
      <c r="A1705" s="216" t="s">
        <v>10727</v>
      </c>
      <c r="B1705" s="218" t="s">
        <v>48</v>
      </c>
      <c r="C1705" s="220" t="s">
        <v>879</v>
      </c>
      <c r="D1705" s="220" t="s">
        <v>337</v>
      </c>
      <c r="E1705" s="165">
        <v>1000</v>
      </c>
    </row>
    <row r="1706" spans="1:5" x14ac:dyDescent="0.25">
      <c r="A1706" s="216" t="s">
        <v>1453</v>
      </c>
      <c r="B1706" s="218" t="s">
        <v>48</v>
      </c>
      <c r="C1706" s="220" t="s">
        <v>233</v>
      </c>
      <c r="D1706" s="220" t="s">
        <v>56</v>
      </c>
      <c r="E1706" s="165">
        <v>1000</v>
      </c>
    </row>
    <row r="1707" spans="1:5" x14ac:dyDescent="0.25">
      <c r="A1707" s="216" t="s">
        <v>3443</v>
      </c>
      <c r="B1707" s="218" t="s">
        <v>48</v>
      </c>
      <c r="C1707" s="220" t="s">
        <v>3444</v>
      </c>
      <c r="D1707" s="220" t="s">
        <v>201</v>
      </c>
      <c r="E1707" s="165">
        <v>1000</v>
      </c>
    </row>
    <row r="1708" spans="1:5" x14ac:dyDescent="0.25">
      <c r="A1708" s="216" t="s">
        <v>3722</v>
      </c>
      <c r="B1708" s="218" t="s">
        <v>48</v>
      </c>
      <c r="C1708" s="220" t="s">
        <v>2167</v>
      </c>
      <c r="D1708" s="220" t="s">
        <v>90</v>
      </c>
      <c r="E1708" s="165">
        <v>1000</v>
      </c>
    </row>
    <row r="1709" spans="1:5" x14ac:dyDescent="0.25">
      <c r="A1709" s="216" t="s">
        <v>1470</v>
      </c>
      <c r="B1709" s="218" t="s">
        <v>48</v>
      </c>
      <c r="C1709" s="220" t="s">
        <v>84</v>
      </c>
      <c r="D1709" s="220" t="s">
        <v>56</v>
      </c>
      <c r="E1709" s="165">
        <v>1000</v>
      </c>
    </row>
    <row r="1710" spans="1:5" x14ac:dyDescent="0.25">
      <c r="A1710" s="216" t="s">
        <v>2985</v>
      </c>
      <c r="B1710" s="218" t="s">
        <v>48</v>
      </c>
      <c r="C1710" s="220" t="s">
        <v>631</v>
      </c>
      <c r="D1710" s="220" t="s">
        <v>127</v>
      </c>
      <c r="E1710" s="165">
        <v>1000</v>
      </c>
    </row>
    <row r="1711" spans="1:5" x14ac:dyDescent="0.25">
      <c r="A1711" s="216" t="s">
        <v>2447</v>
      </c>
      <c r="B1711" s="218" t="s">
        <v>48</v>
      </c>
      <c r="C1711" s="220" t="s">
        <v>647</v>
      </c>
      <c r="D1711" s="220" t="s">
        <v>236</v>
      </c>
      <c r="E1711" s="165">
        <v>999</v>
      </c>
    </row>
    <row r="1712" spans="1:5" x14ac:dyDescent="0.25">
      <c r="A1712" s="216" t="s">
        <v>2884</v>
      </c>
      <c r="B1712" s="218" t="s">
        <v>48</v>
      </c>
      <c r="C1712" s="220" t="s">
        <v>238</v>
      </c>
      <c r="D1712" s="220" t="s">
        <v>93</v>
      </c>
      <c r="E1712" s="165">
        <v>999</v>
      </c>
    </row>
    <row r="1713" spans="1:5" x14ac:dyDescent="0.25">
      <c r="A1713" s="216" t="s">
        <v>1662</v>
      </c>
      <c r="B1713" s="218" t="s">
        <v>48</v>
      </c>
      <c r="C1713" s="220" t="s">
        <v>1663</v>
      </c>
      <c r="D1713" s="220" t="s">
        <v>585</v>
      </c>
      <c r="E1713" s="165">
        <v>998</v>
      </c>
    </row>
    <row r="1714" spans="1:5" x14ac:dyDescent="0.25">
      <c r="A1714" s="216" t="s">
        <v>2769</v>
      </c>
      <c r="B1714" s="218">
        <v>1</v>
      </c>
      <c r="C1714" s="220" t="s">
        <v>261</v>
      </c>
      <c r="D1714" s="220" t="s">
        <v>56</v>
      </c>
      <c r="E1714" s="165">
        <v>995</v>
      </c>
    </row>
    <row r="1715" spans="1:5" x14ac:dyDescent="0.25">
      <c r="A1715" s="216" t="s">
        <v>2545</v>
      </c>
      <c r="B1715" s="218">
        <v>1</v>
      </c>
      <c r="C1715" s="220" t="s">
        <v>2546</v>
      </c>
      <c r="D1715" s="220" t="s">
        <v>192</v>
      </c>
      <c r="E1715" s="165">
        <v>995</v>
      </c>
    </row>
    <row r="1716" spans="1:5" x14ac:dyDescent="0.25">
      <c r="A1716" s="216" t="s">
        <v>2770</v>
      </c>
      <c r="B1716" s="218">
        <v>1</v>
      </c>
      <c r="C1716" s="220" t="s">
        <v>169</v>
      </c>
      <c r="D1716" s="220" t="s">
        <v>56</v>
      </c>
      <c r="E1716" s="165">
        <v>995</v>
      </c>
    </row>
    <row r="1717" spans="1:5" x14ac:dyDescent="0.25">
      <c r="A1717" s="216" t="s">
        <v>3352</v>
      </c>
      <c r="B1717" s="218">
        <v>1</v>
      </c>
      <c r="C1717" s="220" t="s">
        <v>150</v>
      </c>
      <c r="D1717" s="220" t="s">
        <v>118</v>
      </c>
      <c r="E1717" s="165">
        <v>995</v>
      </c>
    </row>
    <row r="1718" spans="1:5" x14ac:dyDescent="0.25">
      <c r="A1718" s="216" t="s">
        <v>2708</v>
      </c>
      <c r="B1718" s="218">
        <v>1</v>
      </c>
      <c r="C1718" s="220" t="s">
        <v>456</v>
      </c>
      <c r="D1718" s="220" t="s">
        <v>63</v>
      </c>
      <c r="E1718" s="165">
        <v>995</v>
      </c>
    </row>
    <row r="1719" spans="1:5" x14ac:dyDescent="0.25">
      <c r="A1719" s="216" t="s">
        <v>4224</v>
      </c>
      <c r="B1719" s="218" t="s">
        <v>48</v>
      </c>
      <c r="C1719" s="220" t="s">
        <v>1416</v>
      </c>
      <c r="D1719" s="220" t="s">
        <v>523</v>
      </c>
      <c r="E1719" s="165">
        <v>993</v>
      </c>
    </row>
    <row r="1720" spans="1:5" x14ac:dyDescent="0.25">
      <c r="A1720" s="216" t="s">
        <v>3218</v>
      </c>
      <c r="B1720" s="218" t="s">
        <v>48</v>
      </c>
      <c r="C1720" s="220" t="s">
        <v>271</v>
      </c>
      <c r="D1720" s="220" t="s">
        <v>277</v>
      </c>
      <c r="E1720" s="165">
        <v>992</v>
      </c>
    </row>
    <row r="1721" spans="1:5" x14ac:dyDescent="0.25">
      <c r="A1721" s="216" t="s">
        <v>2392</v>
      </c>
      <c r="B1721" s="218" t="s">
        <v>48</v>
      </c>
      <c r="C1721" s="220" t="s">
        <v>2393</v>
      </c>
      <c r="D1721" s="220" t="s">
        <v>710</v>
      </c>
      <c r="E1721" s="165">
        <v>991</v>
      </c>
    </row>
    <row r="1722" spans="1:5" x14ac:dyDescent="0.25">
      <c r="A1722" s="216" t="s">
        <v>2530</v>
      </c>
      <c r="B1722" s="218" t="s">
        <v>48</v>
      </c>
      <c r="C1722" s="220" t="s">
        <v>1963</v>
      </c>
      <c r="D1722" s="220" t="s">
        <v>90</v>
      </c>
      <c r="E1722" s="165">
        <v>990</v>
      </c>
    </row>
    <row r="1723" spans="1:5" x14ac:dyDescent="0.25">
      <c r="A1723" s="216" t="s">
        <v>2703</v>
      </c>
      <c r="B1723" s="218">
        <v>1</v>
      </c>
      <c r="C1723" s="220" t="s">
        <v>2704</v>
      </c>
      <c r="D1723" s="220" t="s">
        <v>53</v>
      </c>
      <c r="E1723" s="165">
        <v>987</v>
      </c>
    </row>
    <row r="1724" spans="1:5" x14ac:dyDescent="0.25">
      <c r="A1724" s="216" t="s">
        <v>2515</v>
      </c>
      <c r="B1724" s="218">
        <v>1</v>
      </c>
      <c r="C1724" s="220" t="s">
        <v>1604</v>
      </c>
      <c r="D1724" s="220" t="s">
        <v>130</v>
      </c>
      <c r="E1724" s="165">
        <v>986</v>
      </c>
    </row>
    <row r="1725" spans="1:5" x14ac:dyDescent="0.25">
      <c r="A1725" s="216" t="s">
        <v>2895</v>
      </c>
      <c r="B1725" s="218" t="s">
        <v>48</v>
      </c>
      <c r="C1725" s="220" t="s">
        <v>1700</v>
      </c>
      <c r="D1725" s="220" t="s">
        <v>337</v>
      </c>
      <c r="E1725" s="165">
        <v>985</v>
      </c>
    </row>
    <row r="1726" spans="1:5" x14ac:dyDescent="0.25">
      <c r="A1726" s="216" t="s">
        <v>2669</v>
      </c>
      <c r="B1726" s="218">
        <v>1</v>
      </c>
      <c r="C1726" s="220" t="s">
        <v>2670</v>
      </c>
      <c r="D1726" s="220" t="s">
        <v>66</v>
      </c>
      <c r="E1726" s="165">
        <v>985</v>
      </c>
    </row>
    <row r="1727" spans="1:5" x14ac:dyDescent="0.25">
      <c r="A1727" s="216" t="s">
        <v>11047</v>
      </c>
      <c r="B1727" s="218">
        <v>1</v>
      </c>
      <c r="C1727" s="220" t="s">
        <v>2365</v>
      </c>
      <c r="D1727" s="220" t="s">
        <v>63</v>
      </c>
      <c r="E1727" s="165">
        <v>985</v>
      </c>
    </row>
    <row r="1728" spans="1:5" x14ac:dyDescent="0.25">
      <c r="A1728" s="216" t="s">
        <v>2561</v>
      </c>
      <c r="B1728" s="218">
        <v>1</v>
      </c>
      <c r="C1728" s="220" t="s">
        <v>2562</v>
      </c>
      <c r="D1728" s="220" t="s">
        <v>201</v>
      </c>
      <c r="E1728" s="165">
        <v>981</v>
      </c>
    </row>
    <row r="1729" spans="1:5" x14ac:dyDescent="0.25">
      <c r="A1729" s="216" t="s">
        <v>3488</v>
      </c>
      <c r="B1729" s="218" t="s">
        <v>48</v>
      </c>
      <c r="C1729" s="220" t="s">
        <v>313</v>
      </c>
      <c r="D1729" s="220" t="s">
        <v>90</v>
      </c>
      <c r="E1729" s="165">
        <v>980</v>
      </c>
    </row>
    <row r="1730" spans="1:5" x14ac:dyDescent="0.25">
      <c r="A1730" s="216" t="s">
        <v>2558</v>
      </c>
      <c r="B1730" s="218">
        <v>1</v>
      </c>
      <c r="C1730" s="220" t="s">
        <v>2559</v>
      </c>
      <c r="D1730" s="220" t="s">
        <v>93</v>
      </c>
      <c r="E1730" s="165">
        <v>979</v>
      </c>
    </row>
    <row r="1731" spans="1:5" x14ac:dyDescent="0.25">
      <c r="A1731" s="216" t="s">
        <v>2212</v>
      </c>
      <c r="B1731" s="218" t="s">
        <v>48</v>
      </c>
      <c r="C1731" s="220" t="s">
        <v>570</v>
      </c>
      <c r="D1731" s="220" t="s">
        <v>53</v>
      </c>
      <c r="E1731" s="165">
        <v>975</v>
      </c>
    </row>
    <row r="1732" spans="1:5" x14ac:dyDescent="0.25">
      <c r="A1732" s="216" t="s">
        <v>1831</v>
      </c>
      <c r="B1732" s="218" t="s">
        <v>48</v>
      </c>
      <c r="C1732" s="220" t="s">
        <v>89</v>
      </c>
      <c r="D1732" s="220" t="s">
        <v>90</v>
      </c>
      <c r="E1732" s="165">
        <v>975</v>
      </c>
    </row>
    <row r="1733" spans="1:5" x14ac:dyDescent="0.25">
      <c r="A1733" s="216" t="s">
        <v>2344</v>
      </c>
      <c r="B1733" s="218">
        <v>1</v>
      </c>
      <c r="C1733" s="220" t="s">
        <v>2345</v>
      </c>
      <c r="D1733" s="220" t="s">
        <v>264</v>
      </c>
      <c r="E1733" s="165">
        <v>973</v>
      </c>
    </row>
    <row r="1734" spans="1:5" x14ac:dyDescent="0.25">
      <c r="A1734" s="216" t="s">
        <v>2450</v>
      </c>
      <c r="B1734" s="218" t="s">
        <v>48</v>
      </c>
      <c r="C1734" s="220" t="s">
        <v>2451</v>
      </c>
      <c r="D1734" s="220" t="s">
        <v>93</v>
      </c>
      <c r="E1734" s="165">
        <v>973</v>
      </c>
    </row>
    <row r="1735" spans="1:5" x14ac:dyDescent="0.25">
      <c r="A1735" s="216" t="s">
        <v>2369</v>
      </c>
      <c r="B1735" s="218" t="s">
        <v>48</v>
      </c>
      <c r="C1735" s="220" t="s">
        <v>2370</v>
      </c>
      <c r="D1735" s="220" t="s">
        <v>108</v>
      </c>
      <c r="E1735" s="165">
        <v>972</v>
      </c>
    </row>
    <row r="1736" spans="1:5" x14ac:dyDescent="0.25">
      <c r="A1736" s="216" t="s">
        <v>2700</v>
      </c>
      <c r="B1736" s="218">
        <v>1</v>
      </c>
      <c r="C1736" s="220" t="s">
        <v>845</v>
      </c>
      <c r="D1736" s="220" t="s">
        <v>66</v>
      </c>
      <c r="E1736" s="165">
        <v>970</v>
      </c>
    </row>
    <row r="1737" spans="1:5" x14ac:dyDescent="0.25">
      <c r="A1737" s="216" t="s">
        <v>2522</v>
      </c>
      <c r="B1737" s="218">
        <v>1</v>
      </c>
      <c r="C1737" s="220" t="s">
        <v>2523</v>
      </c>
      <c r="D1737" s="220" t="s">
        <v>87</v>
      </c>
      <c r="E1737" s="165">
        <v>968</v>
      </c>
    </row>
    <row r="1738" spans="1:5" x14ac:dyDescent="0.25">
      <c r="A1738" s="216" t="s">
        <v>2604</v>
      </c>
      <c r="B1738" s="218">
        <v>1</v>
      </c>
      <c r="C1738" s="220" t="s">
        <v>1709</v>
      </c>
      <c r="D1738" s="220" t="s">
        <v>192</v>
      </c>
      <c r="E1738" s="165">
        <v>968</v>
      </c>
    </row>
    <row r="1739" spans="1:5" x14ac:dyDescent="0.25">
      <c r="A1739" s="216" t="s">
        <v>10700</v>
      </c>
      <c r="B1739" s="218">
        <v>1</v>
      </c>
      <c r="C1739" s="220" t="s">
        <v>11048</v>
      </c>
      <c r="D1739" s="220" t="s">
        <v>63</v>
      </c>
      <c r="E1739" s="165">
        <v>968</v>
      </c>
    </row>
    <row r="1740" spans="1:5" x14ac:dyDescent="0.25">
      <c r="A1740" s="216" t="s">
        <v>2608</v>
      </c>
      <c r="B1740" s="218">
        <v>1</v>
      </c>
      <c r="C1740" s="220" t="s">
        <v>7978</v>
      </c>
      <c r="D1740" s="220" t="s">
        <v>192</v>
      </c>
      <c r="E1740" s="165">
        <v>968</v>
      </c>
    </row>
    <row r="1741" spans="1:5" x14ac:dyDescent="0.25">
      <c r="A1741" s="216" t="s">
        <v>3155</v>
      </c>
      <c r="B1741" s="218">
        <v>1</v>
      </c>
      <c r="C1741" s="220" t="s">
        <v>3156</v>
      </c>
      <c r="D1741" s="220" t="s">
        <v>139</v>
      </c>
      <c r="E1741" s="165">
        <v>967</v>
      </c>
    </row>
    <row r="1742" spans="1:5" x14ac:dyDescent="0.25">
      <c r="A1742" s="216" t="s">
        <v>2808</v>
      </c>
      <c r="B1742" s="218">
        <v>1</v>
      </c>
      <c r="C1742" s="220" t="s">
        <v>2809</v>
      </c>
      <c r="D1742" s="220" t="s">
        <v>188</v>
      </c>
      <c r="E1742" s="165">
        <v>967</v>
      </c>
    </row>
    <row r="1743" spans="1:5" x14ac:dyDescent="0.25">
      <c r="A1743" s="216" t="s">
        <v>11049</v>
      </c>
      <c r="B1743" s="218" t="s">
        <v>48</v>
      </c>
      <c r="C1743" s="220" t="s">
        <v>257</v>
      </c>
      <c r="D1743" s="220" t="s">
        <v>108</v>
      </c>
      <c r="E1743" s="165">
        <v>966</v>
      </c>
    </row>
    <row r="1744" spans="1:5" x14ac:dyDescent="0.25">
      <c r="A1744" s="216" t="s">
        <v>2716</v>
      </c>
      <c r="B1744" s="218">
        <v>1</v>
      </c>
      <c r="C1744" s="220" t="s">
        <v>179</v>
      </c>
      <c r="D1744" s="220" t="s">
        <v>66</v>
      </c>
      <c r="E1744" s="165">
        <v>966</v>
      </c>
    </row>
    <row r="1745" spans="1:5" x14ac:dyDescent="0.25">
      <c r="A1745" s="216" t="s">
        <v>2403</v>
      </c>
      <c r="B1745" s="218">
        <v>1</v>
      </c>
      <c r="C1745" s="220" t="s">
        <v>2404</v>
      </c>
      <c r="D1745" s="220" t="s">
        <v>264</v>
      </c>
      <c r="E1745" s="165">
        <v>965</v>
      </c>
    </row>
    <row r="1746" spans="1:5" x14ac:dyDescent="0.25">
      <c r="A1746" s="216" t="s">
        <v>2779</v>
      </c>
      <c r="B1746" s="218">
        <v>1</v>
      </c>
      <c r="C1746" s="220" t="s">
        <v>2291</v>
      </c>
      <c r="D1746" s="220" t="s">
        <v>50</v>
      </c>
      <c r="E1746" s="165">
        <v>964</v>
      </c>
    </row>
    <row r="1747" spans="1:5" x14ac:dyDescent="0.25">
      <c r="A1747" s="216" t="s">
        <v>2638</v>
      </c>
      <c r="B1747" s="218">
        <v>1</v>
      </c>
      <c r="C1747" s="220" t="s">
        <v>2639</v>
      </c>
      <c r="D1747" s="220" t="s">
        <v>50</v>
      </c>
      <c r="E1747" s="165">
        <v>963</v>
      </c>
    </row>
    <row r="1748" spans="1:5" x14ac:dyDescent="0.25">
      <c r="A1748" s="216" t="s">
        <v>11050</v>
      </c>
      <c r="B1748" s="218">
        <v>1</v>
      </c>
      <c r="C1748" s="220" t="s">
        <v>121</v>
      </c>
      <c r="D1748" s="220" t="s">
        <v>56</v>
      </c>
      <c r="E1748" s="165">
        <v>962</v>
      </c>
    </row>
    <row r="1749" spans="1:5" x14ac:dyDescent="0.25">
      <c r="A1749" s="216" t="s">
        <v>2690</v>
      </c>
      <c r="B1749" s="218">
        <v>1</v>
      </c>
      <c r="C1749" s="220" t="s">
        <v>2691</v>
      </c>
      <c r="D1749" s="220" t="s">
        <v>56</v>
      </c>
      <c r="E1749" s="165">
        <v>960</v>
      </c>
    </row>
    <row r="1750" spans="1:5" x14ac:dyDescent="0.25">
      <c r="A1750" s="216" t="s">
        <v>4580</v>
      </c>
      <c r="B1750" s="218" t="s">
        <v>48</v>
      </c>
      <c r="C1750" s="220" t="s">
        <v>647</v>
      </c>
      <c r="D1750" s="220" t="s">
        <v>236</v>
      </c>
      <c r="E1750" s="165">
        <v>960</v>
      </c>
    </row>
    <row r="1751" spans="1:5" x14ac:dyDescent="0.25">
      <c r="A1751" s="216" t="s">
        <v>3459</v>
      </c>
      <c r="B1751" s="218">
        <v>1</v>
      </c>
      <c r="C1751" s="220" t="s">
        <v>966</v>
      </c>
      <c r="D1751" s="220" t="s">
        <v>130</v>
      </c>
      <c r="E1751" s="165">
        <v>960</v>
      </c>
    </row>
    <row r="1752" spans="1:5" x14ac:dyDescent="0.25">
      <c r="A1752" s="216" t="s">
        <v>4672</v>
      </c>
      <c r="B1752" s="218">
        <v>1</v>
      </c>
      <c r="C1752" s="220" t="s">
        <v>205</v>
      </c>
      <c r="D1752" s="220" t="s">
        <v>206</v>
      </c>
      <c r="E1752" s="165">
        <v>960</v>
      </c>
    </row>
    <row r="1753" spans="1:5" x14ac:dyDescent="0.25">
      <c r="A1753" s="216" t="s">
        <v>2790</v>
      </c>
      <c r="B1753" s="218" t="s">
        <v>48</v>
      </c>
      <c r="C1753" s="220" t="s">
        <v>138</v>
      </c>
      <c r="D1753" s="220" t="s">
        <v>139</v>
      </c>
      <c r="E1753" s="165">
        <v>959</v>
      </c>
    </row>
    <row r="1754" spans="1:5" x14ac:dyDescent="0.25">
      <c r="A1754" s="216" t="s">
        <v>2467</v>
      </c>
      <c r="B1754" s="218">
        <v>1</v>
      </c>
      <c r="C1754" s="220" t="s">
        <v>347</v>
      </c>
      <c r="D1754" s="220" t="s">
        <v>348</v>
      </c>
      <c r="E1754" s="165">
        <v>957</v>
      </c>
    </row>
    <row r="1755" spans="1:5" x14ac:dyDescent="0.25">
      <c r="A1755" s="216" t="s">
        <v>2583</v>
      </c>
      <c r="B1755" s="218">
        <v>1</v>
      </c>
      <c r="C1755" s="220" t="s">
        <v>2584</v>
      </c>
      <c r="D1755" s="220" t="s">
        <v>72</v>
      </c>
      <c r="E1755" s="165">
        <v>956</v>
      </c>
    </row>
    <row r="1756" spans="1:5" x14ac:dyDescent="0.25">
      <c r="A1756" s="216" t="s">
        <v>2506</v>
      </c>
      <c r="B1756" s="218" t="s">
        <v>48</v>
      </c>
      <c r="C1756" s="220" t="s">
        <v>86</v>
      </c>
      <c r="D1756" s="220" t="s">
        <v>87</v>
      </c>
      <c r="E1756" s="165">
        <v>954</v>
      </c>
    </row>
    <row r="1757" spans="1:5" x14ac:dyDescent="0.25">
      <c r="A1757" s="216" t="s">
        <v>6537</v>
      </c>
      <c r="B1757" s="218" t="s">
        <v>48</v>
      </c>
      <c r="C1757" s="220" t="s">
        <v>1705</v>
      </c>
      <c r="D1757" s="220" t="s">
        <v>166</v>
      </c>
      <c r="E1757" s="165">
        <v>954</v>
      </c>
    </row>
    <row r="1758" spans="1:5" x14ac:dyDescent="0.25">
      <c r="A1758" s="216" t="s">
        <v>3255</v>
      </c>
      <c r="B1758" s="218">
        <v>1</v>
      </c>
      <c r="C1758" s="220" t="s">
        <v>3256</v>
      </c>
      <c r="D1758" s="220" t="s">
        <v>72</v>
      </c>
      <c r="E1758" s="165">
        <v>953</v>
      </c>
    </row>
    <row r="1759" spans="1:5" x14ac:dyDescent="0.25">
      <c r="A1759" s="216" t="s">
        <v>2573</v>
      </c>
      <c r="B1759" s="218">
        <v>1</v>
      </c>
      <c r="C1759" s="220" t="s">
        <v>1130</v>
      </c>
      <c r="D1759" s="220" t="s">
        <v>93</v>
      </c>
      <c r="E1759" s="165">
        <v>953</v>
      </c>
    </row>
    <row r="1760" spans="1:5" x14ac:dyDescent="0.25">
      <c r="A1760" s="216" t="s">
        <v>2359</v>
      </c>
      <c r="B1760" s="218">
        <v>1</v>
      </c>
      <c r="C1760" s="220" t="s">
        <v>68</v>
      </c>
      <c r="D1760" s="220" t="s">
        <v>63</v>
      </c>
      <c r="E1760" s="165">
        <v>951</v>
      </c>
    </row>
    <row r="1761" spans="1:5" x14ac:dyDescent="0.25">
      <c r="A1761" s="216" t="s">
        <v>11051</v>
      </c>
      <c r="B1761" s="218" t="s">
        <v>48</v>
      </c>
      <c r="C1761" s="220" t="s">
        <v>8855</v>
      </c>
      <c r="D1761" s="220" t="s">
        <v>53</v>
      </c>
      <c r="E1761" s="165">
        <v>950</v>
      </c>
    </row>
    <row r="1762" spans="1:5" x14ac:dyDescent="0.25">
      <c r="A1762" s="216" t="s">
        <v>2721</v>
      </c>
      <c r="B1762" s="218">
        <v>1</v>
      </c>
      <c r="C1762" s="220" t="s">
        <v>2010</v>
      </c>
      <c r="D1762" s="220" t="s">
        <v>69</v>
      </c>
      <c r="E1762" s="165">
        <v>950</v>
      </c>
    </row>
    <row r="1763" spans="1:5" x14ac:dyDescent="0.25">
      <c r="A1763" s="216" t="s">
        <v>3224</v>
      </c>
      <c r="B1763" s="218" t="s">
        <v>48</v>
      </c>
      <c r="C1763" s="220" t="s">
        <v>1345</v>
      </c>
      <c r="D1763" s="220" t="s">
        <v>130</v>
      </c>
      <c r="E1763" s="165">
        <v>950</v>
      </c>
    </row>
    <row r="1764" spans="1:5" x14ac:dyDescent="0.25">
      <c r="A1764" s="216" t="s">
        <v>2830</v>
      </c>
      <c r="B1764" s="218">
        <v>1</v>
      </c>
      <c r="C1764" s="220" t="s">
        <v>862</v>
      </c>
      <c r="D1764" s="220" t="s">
        <v>56</v>
      </c>
      <c r="E1764" s="165">
        <v>949</v>
      </c>
    </row>
    <row r="1765" spans="1:5" x14ac:dyDescent="0.25">
      <c r="A1765" s="216" t="s">
        <v>2828</v>
      </c>
      <c r="B1765" s="218" t="s">
        <v>48</v>
      </c>
      <c r="C1765" s="220" t="s">
        <v>2829</v>
      </c>
      <c r="D1765" s="220" t="s">
        <v>50</v>
      </c>
      <c r="E1765" s="165">
        <v>949</v>
      </c>
    </row>
    <row r="1766" spans="1:5" x14ac:dyDescent="0.25">
      <c r="A1766" s="216" t="s">
        <v>2609</v>
      </c>
      <c r="B1766" s="218">
        <v>1</v>
      </c>
      <c r="C1766" s="220" t="s">
        <v>110</v>
      </c>
      <c r="D1766" s="220" t="s">
        <v>69</v>
      </c>
      <c r="E1766" s="165">
        <v>948</v>
      </c>
    </row>
    <row r="1767" spans="1:5" x14ac:dyDescent="0.25">
      <c r="A1767" s="216" t="s">
        <v>2483</v>
      </c>
      <c r="B1767" s="218">
        <v>1</v>
      </c>
      <c r="C1767" s="220" t="s">
        <v>733</v>
      </c>
      <c r="D1767" s="220" t="s">
        <v>139</v>
      </c>
      <c r="E1767" s="165">
        <v>948</v>
      </c>
    </row>
    <row r="1768" spans="1:5" x14ac:dyDescent="0.25">
      <c r="A1768" s="216" t="s">
        <v>2430</v>
      </c>
      <c r="B1768" s="218" t="s">
        <v>48</v>
      </c>
      <c r="C1768" s="220" t="s">
        <v>1628</v>
      </c>
      <c r="D1768" s="220" t="s">
        <v>56</v>
      </c>
      <c r="E1768" s="165">
        <v>947</v>
      </c>
    </row>
    <row r="1769" spans="1:5" x14ac:dyDescent="0.25">
      <c r="A1769" s="216" t="s">
        <v>3089</v>
      </c>
      <c r="B1769" s="218">
        <v>1</v>
      </c>
      <c r="C1769" s="220" t="s">
        <v>768</v>
      </c>
      <c r="D1769" s="220" t="s">
        <v>264</v>
      </c>
      <c r="E1769" s="165">
        <v>946</v>
      </c>
    </row>
    <row r="1770" spans="1:5" x14ac:dyDescent="0.25">
      <c r="A1770" s="216" t="s">
        <v>2816</v>
      </c>
      <c r="B1770" s="218" t="s">
        <v>48</v>
      </c>
      <c r="C1770" s="220" t="s">
        <v>89</v>
      </c>
      <c r="D1770" s="220" t="s">
        <v>90</v>
      </c>
      <c r="E1770" s="165">
        <v>945</v>
      </c>
    </row>
    <row r="1771" spans="1:5" x14ac:dyDescent="0.25">
      <c r="A1771" s="216" t="s">
        <v>2761</v>
      </c>
      <c r="B1771" s="218">
        <v>1</v>
      </c>
      <c r="C1771" s="220" t="s">
        <v>2114</v>
      </c>
      <c r="D1771" s="220" t="s">
        <v>66</v>
      </c>
      <c r="E1771" s="165">
        <v>945</v>
      </c>
    </row>
    <row r="1772" spans="1:5" x14ac:dyDescent="0.25">
      <c r="A1772" s="216" t="s">
        <v>2756</v>
      </c>
      <c r="B1772" s="218">
        <v>1</v>
      </c>
      <c r="C1772" s="220" t="s">
        <v>2757</v>
      </c>
      <c r="D1772" s="220" t="s">
        <v>517</v>
      </c>
      <c r="E1772" s="165">
        <v>945</v>
      </c>
    </row>
    <row r="1773" spans="1:5" x14ac:dyDescent="0.25">
      <c r="A1773" s="216" t="s">
        <v>2159</v>
      </c>
      <c r="B1773" s="218" t="s">
        <v>48</v>
      </c>
      <c r="C1773" s="220" t="s">
        <v>2160</v>
      </c>
      <c r="D1773" s="220" t="s">
        <v>56</v>
      </c>
      <c r="E1773" s="165">
        <v>944</v>
      </c>
    </row>
    <row r="1774" spans="1:5" x14ac:dyDescent="0.25">
      <c r="A1774" s="216" t="s">
        <v>1955</v>
      </c>
      <c r="B1774" s="218">
        <v>1</v>
      </c>
      <c r="C1774" s="220" t="s">
        <v>1391</v>
      </c>
      <c r="D1774" s="220" t="s">
        <v>66</v>
      </c>
      <c r="E1774" s="165">
        <v>944</v>
      </c>
    </row>
    <row r="1775" spans="1:5" x14ac:dyDescent="0.25">
      <c r="A1775" s="216" t="s">
        <v>2384</v>
      </c>
      <c r="B1775" s="218">
        <v>1</v>
      </c>
      <c r="C1775" s="220" t="s">
        <v>1429</v>
      </c>
      <c r="D1775" s="220" t="s">
        <v>264</v>
      </c>
      <c r="E1775" s="165">
        <v>942</v>
      </c>
    </row>
    <row r="1776" spans="1:5" x14ac:dyDescent="0.25">
      <c r="A1776" s="216" t="s">
        <v>2713</v>
      </c>
      <c r="B1776" s="218">
        <v>1</v>
      </c>
      <c r="C1776" s="220" t="s">
        <v>1349</v>
      </c>
      <c r="D1776" s="220" t="s">
        <v>56</v>
      </c>
      <c r="E1776" s="165">
        <v>942</v>
      </c>
    </row>
    <row r="1777" spans="1:5" x14ac:dyDescent="0.25">
      <c r="A1777" s="216" t="s">
        <v>2482</v>
      </c>
      <c r="B1777" s="218">
        <v>1</v>
      </c>
      <c r="C1777" s="220" t="s">
        <v>121</v>
      </c>
      <c r="D1777" s="220" t="s">
        <v>56</v>
      </c>
      <c r="E1777" s="165">
        <v>940</v>
      </c>
    </row>
    <row r="1778" spans="1:5" x14ac:dyDescent="0.25">
      <c r="A1778" s="216" t="s">
        <v>2864</v>
      </c>
      <c r="B1778" s="218">
        <v>1</v>
      </c>
      <c r="C1778" s="220" t="s">
        <v>922</v>
      </c>
      <c r="D1778" s="220" t="s">
        <v>188</v>
      </c>
      <c r="E1778" s="165">
        <v>940</v>
      </c>
    </row>
    <row r="1779" spans="1:5" x14ac:dyDescent="0.25">
      <c r="A1779" s="216" t="s">
        <v>2714</v>
      </c>
      <c r="B1779" s="218">
        <v>1</v>
      </c>
      <c r="C1779" s="220" t="s">
        <v>2715</v>
      </c>
      <c r="D1779" s="220" t="s">
        <v>56</v>
      </c>
      <c r="E1779" s="165">
        <v>939</v>
      </c>
    </row>
    <row r="1780" spans="1:5" x14ac:dyDescent="0.25">
      <c r="A1780" s="216" t="s">
        <v>3294</v>
      </c>
      <c r="B1780" s="218">
        <v>1</v>
      </c>
      <c r="C1780" s="220" t="s">
        <v>3295</v>
      </c>
      <c r="D1780" s="220" t="s">
        <v>188</v>
      </c>
      <c r="E1780" s="165">
        <v>937</v>
      </c>
    </row>
    <row r="1781" spans="1:5" x14ac:dyDescent="0.25">
      <c r="A1781" s="216" t="s">
        <v>2651</v>
      </c>
      <c r="B1781" s="218" t="s">
        <v>48</v>
      </c>
      <c r="C1781" s="220" t="s">
        <v>545</v>
      </c>
      <c r="D1781" s="220" t="s">
        <v>56</v>
      </c>
      <c r="E1781" s="165">
        <v>936</v>
      </c>
    </row>
    <row r="1782" spans="1:5" x14ac:dyDescent="0.25">
      <c r="A1782" s="216" t="s">
        <v>11052</v>
      </c>
      <c r="B1782" s="218" t="s">
        <v>48</v>
      </c>
      <c r="C1782" s="220" t="s">
        <v>1293</v>
      </c>
      <c r="D1782" s="220" t="s">
        <v>166</v>
      </c>
      <c r="E1782" s="165">
        <v>935</v>
      </c>
    </row>
    <row r="1783" spans="1:5" x14ac:dyDescent="0.25">
      <c r="A1783" s="216" t="s">
        <v>1919</v>
      </c>
      <c r="B1783" s="218" t="s">
        <v>48</v>
      </c>
      <c r="C1783" s="220" t="s">
        <v>831</v>
      </c>
      <c r="D1783" s="220" t="s">
        <v>378</v>
      </c>
      <c r="E1783" s="165">
        <v>934</v>
      </c>
    </row>
    <row r="1784" spans="1:5" x14ac:dyDescent="0.25">
      <c r="A1784" s="216" t="s">
        <v>3273</v>
      </c>
      <c r="B1784" s="218" t="s">
        <v>48</v>
      </c>
      <c r="C1784" s="220" t="s">
        <v>138</v>
      </c>
      <c r="D1784" s="220" t="s">
        <v>139</v>
      </c>
      <c r="E1784" s="165">
        <v>931</v>
      </c>
    </row>
    <row r="1785" spans="1:5" x14ac:dyDescent="0.25">
      <c r="A1785" s="216" t="s">
        <v>11053</v>
      </c>
      <c r="B1785" s="218">
        <v>1</v>
      </c>
      <c r="C1785" s="220" t="s">
        <v>11054</v>
      </c>
      <c r="D1785" s="220" t="s">
        <v>63</v>
      </c>
      <c r="E1785" s="165">
        <v>930</v>
      </c>
    </row>
    <row r="1786" spans="1:5" x14ac:dyDescent="0.25">
      <c r="A1786" s="216" t="s">
        <v>2815</v>
      </c>
      <c r="B1786" s="218" t="s">
        <v>48</v>
      </c>
      <c r="C1786" s="220" t="s">
        <v>2274</v>
      </c>
      <c r="D1786" s="220" t="s">
        <v>90</v>
      </c>
      <c r="E1786" s="165">
        <v>930</v>
      </c>
    </row>
    <row r="1787" spans="1:5" x14ac:dyDescent="0.25">
      <c r="A1787" s="216" t="s">
        <v>11055</v>
      </c>
      <c r="B1787" s="218">
        <v>1</v>
      </c>
      <c r="C1787" s="220" t="s">
        <v>1283</v>
      </c>
      <c r="D1787" s="220" t="s">
        <v>72</v>
      </c>
      <c r="E1787" s="165">
        <v>930</v>
      </c>
    </row>
    <row r="1788" spans="1:5" x14ac:dyDescent="0.25">
      <c r="A1788" s="216" t="s">
        <v>7438</v>
      </c>
      <c r="B1788" s="218" t="s">
        <v>48</v>
      </c>
      <c r="C1788" s="220" t="s">
        <v>2942</v>
      </c>
      <c r="D1788" s="220" t="s">
        <v>66</v>
      </c>
      <c r="E1788" s="165">
        <v>930</v>
      </c>
    </row>
    <row r="1789" spans="1:5" x14ac:dyDescent="0.25">
      <c r="A1789" s="216" t="s">
        <v>2991</v>
      </c>
      <c r="B1789" s="218" t="s">
        <v>48</v>
      </c>
      <c r="C1789" s="220" t="s">
        <v>2992</v>
      </c>
      <c r="D1789" s="220" t="s">
        <v>59</v>
      </c>
      <c r="E1789" s="165">
        <v>930</v>
      </c>
    </row>
    <row r="1790" spans="1:5" x14ac:dyDescent="0.25">
      <c r="A1790" s="216" t="s">
        <v>2633</v>
      </c>
      <c r="B1790" s="218" t="s">
        <v>48</v>
      </c>
      <c r="C1790" s="220" t="s">
        <v>283</v>
      </c>
      <c r="D1790" s="220" t="s">
        <v>59</v>
      </c>
      <c r="E1790" s="165">
        <v>929</v>
      </c>
    </row>
    <row r="1791" spans="1:5" x14ac:dyDescent="0.25">
      <c r="A1791" s="216" t="s">
        <v>3528</v>
      </c>
      <c r="B1791" s="218" t="s">
        <v>48</v>
      </c>
      <c r="C1791" s="220" t="s">
        <v>285</v>
      </c>
      <c r="D1791" s="220" t="s">
        <v>59</v>
      </c>
      <c r="E1791" s="165">
        <v>929</v>
      </c>
    </row>
    <row r="1792" spans="1:5" x14ac:dyDescent="0.25">
      <c r="A1792" s="216" t="s">
        <v>2320</v>
      </c>
      <c r="B1792" s="218">
        <v>1</v>
      </c>
      <c r="C1792" s="220" t="s">
        <v>2321</v>
      </c>
      <c r="D1792" s="220" t="s">
        <v>69</v>
      </c>
      <c r="E1792" s="165">
        <v>928</v>
      </c>
    </row>
    <row r="1793" spans="1:5" x14ac:dyDescent="0.25">
      <c r="A1793" s="216" t="s">
        <v>2739</v>
      </c>
      <c r="B1793" s="218">
        <v>1</v>
      </c>
      <c r="C1793" s="220" t="s">
        <v>2740</v>
      </c>
      <c r="D1793" s="220" t="s">
        <v>78</v>
      </c>
      <c r="E1793" s="165">
        <v>928</v>
      </c>
    </row>
    <row r="1794" spans="1:5" x14ac:dyDescent="0.25">
      <c r="A1794" s="216" t="s">
        <v>2197</v>
      </c>
      <c r="B1794" s="218">
        <v>1</v>
      </c>
      <c r="C1794" s="220" t="s">
        <v>837</v>
      </c>
      <c r="D1794" s="220" t="s">
        <v>201</v>
      </c>
      <c r="E1794" s="165">
        <v>927</v>
      </c>
    </row>
    <row r="1795" spans="1:5" x14ac:dyDescent="0.25">
      <c r="A1795" s="216" t="s">
        <v>11056</v>
      </c>
      <c r="B1795" s="218">
        <v>1</v>
      </c>
      <c r="C1795" s="220" t="s">
        <v>2623</v>
      </c>
      <c r="D1795" s="220" t="s">
        <v>87</v>
      </c>
      <c r="E1795" s="165">
        <v>927</v>
      </c>
    </row>
    <row r="1796" spans="1:5" x14ac:dyDescent="0.25">
      <c r="A1796" s="216" t="s">
        <v>2800</v>
      </c>
      <c r="B1796" s="218">
        <v>1</v>
      </c>
      <c r="C1796" s="220" t="s">
        <v>251</v>
      </c>
      <c r="D1796" s="220" t="s">
        <v>98</v>
      </c>
      <c r="E1796" s="165">
        <v>926</v>
      </c>
    </row>
    <row r="1797" spans="1:5" x14ac:dyDescent="0.25">
      <c r="A1797" s="216" t="s">
        <v>2952</v>
      </c>
      <c r="B1797" s="218">
        <v>1</v>
      </c>
      <c r="C1797" s="220" t="s">
        <v>2953</v>
      </c>
      <c r="D1797" s="220" t="s">
        <v>78</v>
      </c>
      <c r="E1797" s="165">
        <v>926</v>
      </c>
    </row>
    <row r="1798" spans="1:5" x14ac:dyDescent="0.25">
      <c r="A1798" s="216" t="s">
        <v>3540</v>
      </c>
      <c r="B1798" s="218">
        <v>1</v>
      </c>
      <c r="C1798" s="220" t="s">
        <v>1604</v>
      </c>
      <c r="D1798" s="220" t="s">
        <v>66</v>
      </c>
      <c r="E1798" s="165">
        <v>925</v>
      </c>
    </row>
    <row r="1799" spans="1:5" x14ac:dyDescent="0.25">
      <c r="A1799" s="216" t="s">
        <v>5186</v>
      </c>
      <c r="B1799" s="218" t="s">
        <v>48</v>
      </c>
      <c r="C1799" s="220" t="s">
        <v>5187</v>
      </c>
      <c r="D1799" s="220" t="s">
        <v>53</v>
      </c>
      <c r="E1799" s="165">
        <v>924</v>
      </c>
    </row>
    <row r="1800" spans="1:5" x14ac:dyDescent="0.25">
      <c r="A1800" s="216" t="s">
        <v>11057</v>
      </c>
      <c r="B1800" s="218" t="s">
        <v>48</v>
      </c>
      <c r="C1800" s="220" t="s">
        <v>159</v>
      </c>
      <c r="D1800" s="220" t="s">
        <v>130</v>
      </c>
      <c r="E1800" s="165">
        <v>924</v>
      </c>
    </row>
    <row r="1801" spans="1:5" x14ac:dyDescent="0.25">
      <c r="A1801" s="216" t="s">
        <v>2868</v>
      </c>
      <c r="B1801" s="218" t="s">
        <v>48</v>
      </c>
      <c r="C1801" s="220" t="s">
        <v>2049</v>
      </c>
      <c r="D1801" s="220" t="s">
        <v>75</v>
      </c>
      <c r="E1801" s="165">
        <v>922</v>
      </c>
    </row>
    <row r="1802" spans="1:5" x14ac:dyDescent="0.25">
      <c r="A1802" s="216" t="s">
        <v>2786</v>
      </c>
      <c r="B1802" s="218">
        <v>1</v>
      </c>
      <c r="C1802" s="220" t="s">
        <v>426</v>
      </c>
      <c r="D1802" s="220" t="s">
        <v>66</v>
      </c>
      <c r="E1802" s="165">
        <v>920</v>
      </c>
    </row>
    <row r="1803" spans="1:5" x14ac:dyDescent="0.25">
      <c r="A1803" s="216" t="s">
        <v>2754</v>
      </c>
      <c r="B1803" s="218">
        <v>1</v>
      </c>
      <c r="C1803" s="220" t="s">
        <v>477</v>
      </c>
      <c r="D1803" s="220" t="s">
        <v>56</v>
      </c>
      <c r="E1803" s="165">
        <v>920</v>
      </c>
    </row>
    <row r="1804" spans="1:5" x14ac:dyDescent="0.25">
      <c r="A1804" s="216" t="s">
        <v>2654</v>
      </c>
      <c r="B1804" s="218">
        <v>1</v>
      </c>
      <c r="C1804" s="220" t="s">
        <v>2655</v>
      </c>
      <c r="D1804" s="220" t="s">
        <v>394</v>
      </c>
      <c r="E1804" s="165">
        <v>917</v>
      </c>
    </row>
    <row r="1805" spans="1:5" x14ac:dyDescent="0.25">
      <c r="A1805" s="216" t="s">
        <v>2555</v>
      </c>
      <c r="B1805" s="218" t="s">
        <v>48</v>
      </c>
      <c r="C1805" s="220" t="s">
        <v>251</v>
      </c>
      <c r="D1805" s="220" t="s">
        <v>98</v>
      </c>
      <c r="E1805" s="165">
        <v>916</v>
      </c>
    </row>
    <row r="1806" spans="1:5" x14ac:dyDescent="0.25">
      <c r="A1806" s="216" t="s">
        <v>2579</v>
      </c>
      <c r="B1806" s="218" t="s">
        <v>48</v>
      </c>
      <c r="C1806" s="220" t="s">
        <v>2580</v>
      </c>
      <c r="D1806" s="220" t="s">
        <v>53</v>
      </c>
      <c r="E1806" s="165">
        <v>916</v>
      </c>
    </row>
    <row r="1807" spans="1:5" x14ac:dyDescent="0.25">
      <c r="A1807" s="216" t="s">
        <v>2699</v>
      </c>
      <c r="B1807" s="218">
        <v>1</v>
      </c>
      <c r="C1807" s="220" t="s">
        <v>1996</v>
      </c>
      <c r="D1807" s="220" t="s">
        <v>192</v>
      </c>
      <c r="E1807" s="165">
        <v>914</v>
      </c>
    </row>
    <row r="1808" spans="1:5" x14ac:dyDescent="0.25">
      <c r="A1808" s="216" t="s">
        <v>2806</v>
      </c>
      <c r="B1808" s="218" t="s">
        <v>48</v>
      </c>
      <c r="C1808" s="220" t="s">
        <v>1977</v>
      </c>
      <c r="D1808" s="220" t="s">
        <v>166</v>
      </c>
      <c r="E1808" s="165">
        <v>914</v>
      </c>
    </row>
    <row r="1809" spans="1:5" x14ac:dyDescent="0.25">
      <c r="A1809" s="216" t="s">
        <v>3014</v>
      </c>
      <c r="B1809" s="218" t="s">
        <v>48</v>
      </c>
      <c r="C1809" s="220" t="s">
        <v>3015</v>
      </c>
      <c r="D1809" s="220" t="s">
        <v>56</v>
      </c>
      <c r="E1809" s="165">
        <v>913</v>
      </c>
    </row>
    <row r="1810" spans="1:5" x14ac:dyDescent="0.25">
      <c r="A1810" s="216" t="s">
        <v>9526</v>
      </c>
      <c r="B1810" s="218" t="s">
        <v>48</v>
      </c>
      <c r="C1810" s="220" t="s">
        <v>7969</v>
      </c>
      <c r="D1810" s="220" t="s">
        <v>53</v>
      </c>
      <c r="E1810" s="165">
        <v>912</v>
      </c>
    </row>
    <row r="1811" spans="1:5" x14ac:dyDescent="0.25">
      <c r="A1811" s="216" t="s">
        <v>2528</v>
      </c>
      <c r="B1811" s="218" t="s">
        <v>48</v>
      </c>
      <c r="C1811" s="220" t="s">
        <v>2529</v>
      </c>
      <c r="D1811" s="220" t="s">
        <v>69</v>
      </c>
      <c r="E1811" s="165">
        <v>909</v>
      </c>
    </row>
    <row r="1812" spans="1:5" x14ac:dyDescent="0.25">
      <c r="A1812" s="216" t="s">
        <v>3608</v>
      </c>
      <c r="B1812" s="218">
        <v>1</v>
      </c>
      <c r="C1812" s="220" t="s">
        <v>3609</v>
      </c>
      <c r="D1812" s="220" t="s">
        <v>56</v>
      </c>
      <c r="E1812" s="165">
        <v>909</v>
      </c>
    </row>
    <row r="1813" spans="1:5" x14ac:dyDescent="0.25">
      <c r="A1813" s="216" t="s">
        <v>3655</v>
      </c>
      <c r="B1813" s="218" t="s">
        <v>48</v>
      </c>
      <c r="C1813" s="220" t="s">
        <v>3656</v>
      </c>
      <c r="D1813" s="220" t="s">
        <v>108</v>
      </c>
      <c r="E1813" s="165">
        <v>907</v>
      </c>
    </row>
    <row r="1814" spans="1:5" x14ac:dyDescent="0.25">
      <c r="A1814" s="216" t="s">
        <v>3472</v>
      </c>
      <c r="B1814" s="218" t="s">
        <v>48</v>
      </c>
      <c r="C1814" s="220" t="s">
        <v>997</v>
      </c>
      <c r="D1814" s="220" t="s">
        <v>139</v>
      </c>
      <c r="E1814" s="165">
        <v>904</v>
      </c>
    </row>
    <row r="1815" spans="1:5" x14ac:dyDescent="0.25">
      <c r="A1815" s="216" t="s">
        <v>2717</v>
      </c>
      <c r="B1815" s="218" t="s">
        <v>48</v>
      </c>
      <c r="C1815" s="220" t="s">
        <v>2718</v>
      </c>
      <c r="D1815" s="220" t="s">
        <v>575</v>
      </c>
      <c r="E1815" s="165">
        <v>903</v>
      </c>
    </row>
    <row r="1816" spans="1:5" x14ac:dyDescent="0.25">
      <c r="A1816" s="216" t="s">
        <v>2719</v>
      </c>
      <c r="B1816" s="218">
        <v>1</v>
      </c>
      <c r="C1816" s="220" t="s">
        <v>1478</v>
      </c>
      <c r="D1816" s="220" t="s">
        <v>142</v>
      </c>
      <c r="E1816" s="165">
        <v>903</v>
      </c>
    </row>
    <row r="1817" spans="1:5" x14ac:dyDescent="0.25">
      <c r="A1817" s="216" t="s">
        <v>2880</v>
      </c>
      <c r="B1817" s="218" t="s">
        <v>48</v>
      </c>
      <c r="C1817" s="220" t="s">
        <v>1323</v>
      </c>
      <c r="D1817" s="220" t="s">
        <v>75</v>
      </c>
      <c r="E1817" s="165">
        <v>902</v>
      </c>
    </row>
    <row r="1818" spans="1:5" x14ac:dyDescent="0.25">
      <c r="A1818" s="216" t="s">
        <v>4066</v>
      </c>
      <c r="B1818" s="218" t="s">
        <v>48</v>
      </c>
      <c r="C1818" s="220" t="s">
        <v>4067</v>
      </c>
      <c r="D1818" s="220" t="s">
        <v>59</v>
      </c>
      <c r="E1818" s="165">
        <v>901</v>
      </c>
    </row>
    <row r="1819" spans="1:5" x14ac:dyDescent="0.25">
      <c r="A1819" s="216" t="s">
        <v>2436</v>
      </c>
      <c r="B1819" s="218" t="s">
        <v>48</v>
      </c>
      <c r="C1819" s="220" t="s">
        <v>2437</v>
      </c>
      <c r="D1819" s="220" t="s">
        <v>93</v>
      </c>
      <c r="E1819" s="165">
        <v>901</v>
      </c>
    </row>
    <row r="1820" spans="1:5" x14ac:dyDescent="0.25">
      <c r="A1820" s="216" t="s">
        <v>2363</v>
      </c>
      <c r="B1820" s="218" t="s">
        <v>48</v>
      </c>
      <c r="C1820" s="220" t="s">
        <v>424</v>
      </c>
      <c r="D1820" s="220" t="s">
        <v>59</v>
      </c>
      <c r="E1820" s="165">
        <v>901</v>
      </c>
    </row>
    <row r="1821" spans="1:5" x14ac:dyDescent="0.25">
      <c r="A1821" s="216" t="s">
        <v>2799</v>
      </c>
      <c r="B1821" s="218" t="s">
        <v>48</v>
      </c>
      <c r="C1821" s="220" t="s">
        <v>144</v>
      </c>
      <c r="D1821" s="220" t="s">
        <v>59</v>
      </c>
      <c r="E1821" s="165">
        <v>900</v>
      </c>
    </row>
    <row r="1822" spans="1:5" x14ac:dyDescent="0.25">
      <c r="A1822" s="216" t="s">
        <v>3215</v>
      </c>
      <c r="B1822" s="218" t="s">
        <v>48</v>
      </c>
      <c r="C1822" s="220" t="s">
        <v>3216</v>
      </c>
      <c r="D1822" s="220" t="s">
        <v>188</v>
      </c>
      <c r="E1822" s="165">
        <v>900</v>
      </c>
    </row>
    <row r="1823" spans="1:5" x14ac:dyDescent="0.25">
      <c r="A1823" s="216" t="s">
        <v>3027</v>
      </c>
      <c r="B1823" s="218" t="s">
        <v>48</v>
      </c>
      <c r="C1823" s="220" t="s">
        <v>411</v>
      </c>
      <c r="D1823" s="220" t="s">
        <v>56</v>
      </c>
      <c r="E1823" s="165">
        <v>900</v>
      </c>
    </row>
    <row r="1824" spans="1:5" x14ac:dyDescent="0.25">
      <c r="A1824" s="216" t="s">
        <v>3774</v>
      </c>
      <c r="B1824" s="218" t="s">
        <v>48</v>
      </c>
      <c r="C1824" s="220" t="s">
        <v>545</v>
      </c>
      <c r="D1824" s="220" t="s">
        <v>56</v>
      </c>
      <c r="E1824" s="165">
        <v>900</v>
      </c>
    </row>
    <row r="1825" spans="1:5" x14ac:dyDescent="0.25">
      <c r="A1825" s="216" t="s">
        <v>2000</v>
      </c>
      <c r="B1825" s="218" t="s">
        <v>48</v>
      </c>
      <c r="C1825" s="220" t="s">
        <v>1500</v>
      </c>
      <c r="D1825" s="220" t="s">
        <v>98</v>
      </c>
      <c r="E1825" s="165">
        <v>900</v>
      </c>
    </row>
    <row r="1826" spans="1:5" x14ac:dyDescent="0.25">
      <c r="A1826" s="216" t="s">
        <v>3144</v>
      </c>
      <c r="B1826" s="218" t="s">
        <v>48</v>
      </c>
      <c r="C1826" s="220" t="s">
        <v>2277</v>
      </c>
      <c r="D1826" s="220" t="s">
        <v>105</v>
      </c>
      <c r="E1826" s="165">
        <v>900</v>
      </c>
    </row>
    <row r="1827" spans="1:5" x14ac:dyDescent="0.25">
      <c r="A1827" s="216" t="s">
        <v>2755</v>
      </c>
      <c r="B1827" s="218" t="s">
        <v>48</v>
      </c>
      <c r="C1827" s="220" t="s">
        <v>2062</v>
      </c>
      <c r="D1827" s="220" t="s">
        <v>56</v>
      </c>
      <c r="E1827" s="165">
        <v>900</v>
      </c>
    </row>
    <row r="1828" spans="1:5" x14ac:dyDescent="0.25">
      <c r="A1828" s="216" t="s">
        <v>4592</v>
      </c>
      <c r="B1828" s="218" t="s">
        <v>48</v>
      </c>
      <c r="C1828" s="220" t="s">
        <v>92</v>
      </c>
      <c r="D1828" s="220" t="s">
        <v>93</v>
      </c>
      <c r="E1828" s="165">
        <v>900</v>
      </c>
    </row>
    <row r="1829" spans="1:5" x14ac:dyDescent="0.25">
      <c r="A1829" s="216" t="s">
        <v>2810</v>
      </c>
      <c r="B1829" s="218" t="s">
        <v>48</v>
      </c>
      <c r="C1829" s="220" t="s">
        <v>2811</v>
      </c>
      <c r="D1829" s="220" t="s">
        <v>177</v>
      </c>
      <c r="E1829" s="165">
        <v>899</v>
      </c>
    </row>
    <row r="1830" spans="1:5" x14ac:dyDescent="0.25">
      <c r="A1830" s="216" t="s">
        <v>11058</v>
      </c>
      <c r="B1830" s="218" t="s">
        <v>48</v>
      </c>
      <c r="C1830" s="220" t="s">
        <v>135</v>
      </c>
      <c r="D1830" s="220" t="s">
        <v>108</v>
      </c>
      <c r="E1830" s="165">
        <v>898</v>
      </c>
    </row>
    <row r="1831" spans="1:5" x14ac:dyDescent="0.25">
      <c r="A1831" s="216" t="s">
        <v>2975</v>
      </c>
      <c r="B1831" s="218" t="s">
        <v>48</v>
      </c>
      <c r="C1831" s="220" t="s">
        <v>2378</v>
      </c>
      <c r="D1831" s="220" t="s">
        <v>93</v>
      </c>
      <c r="E1831" s="165">
        <v>898</v>
      </c>
    </row>
    <row r="1832" spans="1:5" x14ac:dyDescent="0.25">
      <c r="A1832" s="216" t="s">
        <v>2831</v>
      </c>
      <c r="B1832" s="218">
        <v>1</v>
      </c>
      <c r="C1832" s="220" t="s">
        <v>2832</v>
      </c>
      <c r="D1832" s="220" t="s">
        <v>66</v>
      </c>
      <c r="E1832" s="165">
        <v>898</v>
      </c>
    </row>
    <row r="1833" spans="1:5" x14ac:dyDescent="0.25">
      <c r="A1833" s="216" t="s">
        <v>2615</v>
      </c>
      <c r="B1833" s="218">
        <v>1</v>
      </c>
      <c r="C1833" s="220" t="s">
        <v>2616</v>
      </c>
      <c r="D1833" s="220" t="s">
        <v>93</v>
      </c>
      <c r="E1833" s="165">
        <v>898</v>
      </c>
    </row>
    <row r="1834" spans="1:5" x14ac:dyDescent="0.25">
      <c r="A1834" s="216" t="s">
        <v>2976</v>
      </c>
      <c r="B1834" s="218" t="s">
        <v>48</v>
      </c>
      <c r="C1834" s="220" t="s">
        <v>213</v>
      </c>
      <c r="D1834" s="220" t="s">
        <v>75</v>
      </c>
      <c r="E1834" s="165">
        <v>898</v>
      </c>
    </row>
    <row r="1835" spans="1:5" x14ac:dyDescent="0.25">
      <c r="A1835" s="216" t="s">
        <v>3385</v>
      </c>
      <c r="B1835" s="218">
        <v>1</v>
      </c>
      <c r="C1835" s="220" t="s">
        <v>3386</v>
      </c>
      <c r="D1835" s="220" t="s">
        <v>72</v>
      </c>
      <c r="E1835" s="165">
        <v>897</v>
      </c>
    </row>
    <row r="1836" spans="1:5" x14ac:dyDescent="0.25">
      <c r="A1836" s="216" t="s">
        <v>2474</v>
      </c>
      <c r="B1836" s="218">
        <v>1</v>
      </c>
      <c r="C1836" s="220" t="s">
        <v>634</v>
      </c>
      <c r="D1836" s="220" t="s">
        <v>264</v>
      </c>
      <c r="E1836" s="165">
        <v>897</v>
      </c>
    </row>
    <row r="1837" spans="1:5" x14ac:dyDescent="0.25">
      <c r="A1837" s="216" t="s">
        <v>3373</v>
      </c>
      <c r="B1837" s="218" t="s">
        <v>48</v>
      </c>
      <c r="C1837" s="220" t="s">
        <v>3272</v>
      </c>
      <c r="D1837" s="220" t="s">
        <v>201</v>
      </c>
      <c r="E1837" s="165">
        <v>896</v>
      </c>
    </row>
    <row r="1838" spans="1:5" x14ac:dyDescent="0.25">
      <c r="A1838" s="216" t="s">
        <v>2971</v>
      </c>
      <c r="B1838" s="218">
        <v>1</v>
      </c>
      <c r="C1838" s="220" t="s">
        <v>2972</v>
      </c>
      <c r="D1838" s="220" t="s">
        <v>63</v>
      </c>
      <c r="E1838" s="165">
        <v>896</v>
      </c>
    </row>
    <row r="1839" spans="1:5" x14ac:dyDescent="0.25">
      <c r="A1839" s="216" t="s">
        <v>11059</v>
      </c>
      <c r="B1839" s="218" t="s">
        <v>48</v>
      </c>
      <c r="C1839" s="220" t="s">
        <v>424</v>
      </c>
      <c r="D1839" s="220" t="s">
        <v>59</v>
      </c>
      <c r="E1839" s="165">
        <v>895</v>
      </c>
    </row>
    <row r="1840" spans="1:5" x14ac:dyDescent="0.25">
      <c r="A1840" s="216" t="s">
        <v>2486</v>
      </c>
      <c r="B1840" s="218">
        <v>1</v>
      </c>
      <c r="C1840" s="220" t="s">
        <v>2487</v>
      </c>
      <c r="D1840" s="220" t="s">
        <v>66</v>
      </c>
      <c r="E1840" s="165">
        <v>894</v>
      </c>
    </row>
    <row r="1841" spans="1:5" x14ac:dyDescent="0.25">
      <c r="A1841" s="216" t="s">
        <v>2801</v>
      </c>
      <c r="B1841" s="218" t="s">
        <v>48</v>
      </c>
      <c r="C1841" s="220" t="s">
        <v>2802</v>
      </c>
      <c r="D1841" s="220" t="s">
        <v>93</v>
      </c>
      <c r="E1841" s="165">
        <v>894</v>
      </c>
    </row>
    <row r="1842" spans="1:5" x14ac:dyDescent="0.25">
      <c r="A1842" s="216" t="s">
        <v>2590</v>
      </c>
      <c r="B1842" s="218">
        <v>1</v>
      </c>
      <c r="C1842" s="220" t="s">
        <v>120</v>
      </c>
      <c r="D1842" s="220" t="s">
        <v>127</v>
      </c>
      <c r="E1842" s="165">
        <v>893</v>
      </c>
    </row>
    <row r="1843" spans="1:5" x14ac:dyDescent="0.25">
      <c r="A1843" s="216" t="s">
        <v>2821</v>
      </c>
      <c r="B1843" s="218">
        <v>1</v>
      </c>
      <c r="C1843" s="220" t="s">
        <v>2822</v>
      </c>
      <c r="D1843" s="220" t="s">
        <v>172</v>
      </c>
      <c r="E1843" s="165">
        <v>892</v>
      </c>
    </row>
    <row r="1844" spans="1:5" x14ac:dyDescent="0.25">
      <c r="A1844" s="216" t="s">
        <v>2731</v>
      </c>
      <c r="B1844" s="218">
        <v>1</v>
      </c>
      <c r="C1844" s="220" t="s">
        <v>1478</v>
      </c>
      <c r="D1844" s="220" t="s">
        <v>142</v>
      </c>
      <c r="E1844" s="165">
        <v>891</v>
      </c>
    </row>
    <row r="1845" spans="1:5" x14ac:dyDescent="0.25">
      <c r="A1845" s="216" t="s">
        <v>3133</v>
      </c>
      <c r="B1845" s="218" t="s">
        <v>48</v>
      </c>
      <c r="C1845" s="220" t="s">
        <v>3134</v>
      </c>
      <c r="D1845" s="220" t="s">
        <v>75</v>
      </c>
      <c r="E1845" s="165">
        <v>890</v>
      </c>
    </row>
    <row r="1846" spans="1:5" x14ac:dyDescent="0.25">
      <c r="A1846" s="216" t="s">
        <v>2980</v>
      </c>
      <c r="B1846" s="218" t="s">
        <v>48</v>
      </c>
      <c r="C1846" s="220" t="s">
        <v>2981</v>
      </c>
      <c r="D1846" s="220" t="s">
        <v>93</v>
      </c>
      <c r="E1846" s="165">
        <v>890</v>
      </c>
    </row>
    <row r="1847" spans="1:5" x14ac:dyDescent="0.25">
      <c r="A1847" s="216" t="s">
        <v>2667</v>
      </c>
      <c r="B1847" s="218" t="s">
        <v>48</v>
      </c>
      <c r="C1847" s="220" t="s">
        <v>2668</v>
      </c>
      <c r="D1847" s="220" t="s">
        <v>98</v>
      </c>
      <c r="E1847" s="165">
        <v>890</v>
      </c>
    </row>
    <row r="1848" spans="1:5" x14ac:dyDescent="0.25">
      <c r="A1848" s="216" t="s">
        <v>2996</v>
      </c>
      <c r="B1848" s="218" t="s">
        <v>48</v>
      </c>
      <c r="C1848" s="220" t="s">
        <v>283</v>
      </c>
      <c r="D1848" s="220" t="s">
        <v>59</v>
      </c>
      <c r="E1848" s="165">
        <v>889</v>
      </c>
    </row>
    <row r="1849" spans="1:5" x14ac:dyDescent="0.25">
      <c r="A1849" s="216" t="s">
        <v>2332</v>
      </c>
      <c r="B1849" s="218" t="s">
        <v>48</v>
      </c>
      <c r="C1849" s="220" t="s">
        <v>238</v>
      </c>
      <c r="D1849" s="220" t="s">
        <v>93</v>
      </c>
      <c r="E1849" s="165">
        <v>889</v>
      </c>
    </row>
    <row r="1850" spans="1:5" x14ac:dyDescent="0.25">
      <c r="A1850" s="216" t="s">
        <v>2742</v>
      </c>
      <c r="B1850" s="218">
        <v>1</v>
      </c>
      <c r="C1850" s="220" t="s">
        <v>2743</v>
      </c>
      <c r="D1850" s="220" t="s">
        <v>192</v>
      </c>
      <c r="E1850" s="165">
        <v>888</v>
      </c>
    </row>
    <row r="1851" spans="1:5" x14ac:dyDescent="0.25">
      <c r="A1851" s="216" t="s">
        <v>2928</v>
      </c>
      <c r="B1851" s="218">
        <v>1</v>
      </c>
      <c r="C1851" s="220" t="s">
        <v>270</v>
      </c>
      <c r="D1851" s="220" t="s">
        <v>177</v>
      </c>
      <c r="E1851" s="165">
        <v>888</v>
      </c>
    </row>
    <row r="1852" spans="1:5" x14ac:dyDescent="0.25">
      <c r="A1852" s="216" t="s">
        <v>3159</v>
      </c>
      <c r="B1852" s="218">
        <v>1</v>
      </c>
      <c r="C1852" s="220" t="s">
        <v>647</v>
      </c>
      <c r="D1852" s="220" t="s">
        <v>236</v>
      </c>
      <c r="E1852" s="165">
        <v>886</v>
      </c>
    </row>
    <row r="1853" spans="1:5" x14ac:dyDescent="0.25">
      <c r="A1853" s="216" t="s">
        <v>2601</v>
      </c>
      <c r="B1853" s="218" t="s">
        <v>48</v>
      </c>
      <c r="C1853" s="220" t="s">
        <v>287</v>
      </c>
      <c r="D1853" s="220" t="s">
        <v>82</v>
      </c>
      <c r="E1853" s="165">
        <v>885</v>
      </c>
    </row>
    <row r="1854" spans="1:5" x14ac:dyDescent="0.25">
      <c r="A1854" s="216" t="s">
        <v>2720</v>
      </c>
      <c r="B1854" s="218">
        <v>1</v>
      </c>
      <c r="C1854" s="220" t="s">
        <v>110</v>
      </c>
      <c r="D1854" s="220" t="s">
        <v>69</v>
      </c>
      <c r="E1854" s="165">
        <v>884</v>
      </c>
    </row>
    <row r="1855" spans="1:5" x14ac:dyDescent="0.25">
      <c r="A1855" s="216" t="s">
        <v>2722</v>
      </c>
      <c r="B1855" s="218">
        <v>1</v>
      </c>
      <c r="C1855" s="220" t="s">
        <v>2723</v>
      </c>
      <c r="D1855" s="220" t="s">
        <v>69</v>
      </c>
      <c r="E1855" s="165">
        <v>884</v>
      </c>
    </row>
    <row r="1856" spans="1:5" x14ac:dyDescent="0.25">
      <c r="A1856" s="216" t="s">
        <v>2776</v>
      </c>
      <c r="B1856" s="218">
        <v>1</v>
      </c>
      <c r="C1856" s="220" t="s">
        <v>2777</v>
      </c>
      <c r="D1856" s="220" t="s">
        <v>78</v>
      </c>
      <c r="E1856" s="165">
        <v>883</v>
      </c>
    </row>
    <row r="1857" spans="1:5" x14ac:dyDescent="0.25">
      <c r="A1857" s="216" t="s">
        <v>3826</v>
      </c>
      <c r="B1857" s="218" t="s">
        <v>48</v>
      </c>
      <c r="C1857" s="220" t="s">
        <v>3827</v>
      </c>
      <c r="D1857" s="220" t="s">
        <v>59</v>
      </c>
      <c r="E1857" s="165">
        <v>882</v>
      </c>
    </row>
    <row r="1858" spans="1:5" x14ac:dyDescent="0.25">
      <c r="A1858" s="216" t="s">
        <v>2823</v>
      </c>
      <c r="B1858" s="218">
        <v>1</v>
      </c>
      <c r="C1858" s="220" t="s">
        <v>2824</v>
      </c>
      <c r="D1858" s="220" t="s">
        <v>56</v>
      </c>
      <c r="E1858" s="165">
        <v>882</v>
      </c>
    </row>
    <row r="1859" spans="1:5" x14ac:dyDescent="0.25">
      <c r="A1859" s="216" t="s">
        <v>3060</v>
      </c>
      <c r="B1859" s="218" t="s">
        <v>48</v>
      </c>
      <c r="C1859" s="220" t="s">
        <v>90</v>
      </c>
      <c r="D1859" s="220" t="s">
        <v>441</v>
      </c>
      <c r="E1859" s="165">
        <v>882</v>
      </c>
    </row>
    <row r="1860" spans="1:5" x14ac:dyDescent="0.25">
      <c r="A1860" s="216" t="s">
        <v>2935</v>
      </c>
      <c r="B1860" s="218" t="s">
        <v>48</v>
      </c>
      <c r="C1860" s="220" t="s">
        <v>1113</v>
      </c>
      <c r="D1860" s="220" t="s">
        <v>50</v>
      </c>
      <c r="E1860" s="165">
        <v>882</v>
      </c>
    </row>
    <row r="1861" spans="1:5" x14ac:dyDescent="0.25">
      <c r="A1861" s="216" t="s">
        <v>2479</v>
      </c>
      <c r="B1861" s="218">
        <v>1</v>
      </c>
      <c r="C1861" s="220" t="s">
        <v>1113</v>
      </c>
      <c r="D1861" s="220" t="s">
        <v>50</v>
      </c>
      <c r="E1861" s="165">
        <v>881</v>
      </c>
    </row>
    <row r="1862" spans="1:5" x14ac:dyDescent="0.25">
      <c r="A1862" s="216" t="s">
        <v>4962</v>
      </c>
      <c r="B1862" s="218" t="s">
        <v>48</v>
      </c>
      <c r="C1862" s="220" t="s">
        <v>4963</v>
      </c>
      <c r="D1862" s="220" t="s">
        <v>166</v>
      </c>
      <c r="E1862" s="165">
        <v>880</v>
      </c>
    </row>
    <row r="1863" spans="1:5" x14ac:dyDescent="0.25">
      <c r="A1863" s="216" t="s">
        <v>3817</v>
      </c>
      <c r="B1863" s="218" t="s">
        <v>48</v>
      </c>
      <c r="C1863" s="220" t="s">
        <v>3818</v>
      </c>
      <c r="D1863" s="220" t="s">
        <v>50</v>
      </c>
      <c r="E1863" s="165">
        <v>880</v>
      </c>
    </row>
    <row r="1864" spans="1:5" x14ac:dyDescent="0.25">
      <c r="A1864" s="216" t="s">
        <v>2472</v>
      </c>
      <c r="B1864" s="218" t="s">
        <v>48</v>
      </c>
      <c r="C1864" s="220" t="s">
        <v>2473</v>
      </c>
      <c r="D1864" s="220" t="s">
        <v>93</v>
      </c>
      <c r="E1864" s="165">
        <v>880</v>
      </c>
    </row>
    <row r="1865" spans="1:5" x14ac:dyDescent="0.25">
      <c r="A1865" s="216" t="s">
        <v>3248</v>
      </c>
      <c r="B1865" s="218" t="s">
        <v>48</v>
      </c>
      <c r="C1865" s="220" t="s">
        <v>86</v>
      </c>
      <c r="D1865" s="220" t="s">
        <v>78</v>
      </c>
      <c r="E1865" s="165">
        <v>880</v>
      </c>
    </row>
    <row r="1866" spans="1:5" x14ac:dyDescent="0.25">
      <c r="A1866" s="216" t="s">
        <v>2791</v>
      </c>
      <c r="B1866" s="218">
        <v>1</v>
      </c>
      <c r="C1866" s="220" t="s">
        <v>98</v>
      </c>
      <c r="D1866" s="220" t="s">
        <v>50</v>
      </c>
      <c r="E1866" s="165">
        <v>880</v>
      </c>
    </row>
    <row r="1867" spans="1:5" x14ac:dyDescent="0.25">
      <c r="A1867" s="216" t="s">
        <v>2855</v>
      </c>
      <c r="B1867" s="218">
        <v>1</v>
      </c>
      <c r="C1867" s="220" t="s">
        <v>2856</v>
      </c>
      <c r="D1867" s="220" t="s">
        <v>486</v>
      </c>
      <c r="E1867" s="165">
        <v>879</v>
      </c>
    </row>
    <row r="1868" spans="1:5" x14ac:dyDescent="0.25">
      <c r="A1868" s="216" t="s">
        <v>3085</v>
      </c>
      <c r="B1868" s="218" t="s">
        <v>48</v>
      </c>
      <c r="C1868" s="220" t="s">
        <v>3086</v>
      </c>
      <c r="D1868" s="220" t="s">
        <v>53</v>
      </c>
      <c r="E1868" s="165">
        <v>879</v>
      </c>
    </row>
    <row r="1869" spans="1:5" x14ac:dyDescent="0.25">
      <c r="A1869" s="216" t="s">
        <v>3057</v>
      </c>
      <c r="B1869" s="218">
        <v>1</v>
      </c>
      <c r="C1869" s="220" t="s">
        <v>574</v>
      </c>
      <c r="D1869" s="220" t="s">
        <v>575</v>
      </c>
      <c r="E1869" s="165">
        <v>877</v>
      </c>
    </row>
    <row r="1870" spans="1:5" x14ac:dyDescent="0.25">
      <c r="A1870" s="216" t="s">
        <v>2872</v>
      </c>
      <c r="B1870" s="218">
        <v>1</v>
      </c>
      <c r="C1870" s="220" t="s">
        <v>727</v>
      </c>
      <c r="D1870" s="220" t="s">
        <v>66</v>
      </c>
      <c r="E1870" s="165">
        <v>876</v>
      </c>
    </row>
    <row r="1871" spans="1:5" x14ac:dyDescent="0.25">
      <c r="A1871" s="216" t="s">
        <v>2873</v>
      </c>
      <c r="B1871" s="218">
        <v>1</v>
      </c>
      <c r="C1871" s="220" t="s">
        <v>2487</v>
      </c>
      <c r="D1871" s="220" t="s">
        <v>66</v>
      </c>
      <c r="E1871" s="165">
        <v>876</v>
      </c>
    </row>
    <row r="1872" spans="1:5" x14ac:dyDescent="0.25">
      <c r="A1872" s="216" t="s">
        <v>2899</v>
      </c>
      <c r="B1872" s="218" t="s">
        <v>48</v>
      </c>
      <c r="C1872" s="220" t="s">
        <v>822</v>
      </c>
      <c r="D1872" s="220" t="s">
        <v>192</v>
      </c>
      <c r="E1872" s="165">
        <v>875</v>
      </c>
    </row>
    <row r="1873" spans="1:5" x14ac:dyDescent="0.25">
      <c r="A1873" s="216" t="s">
        <v>2773</v>
      </c>
      <c r="B1873" s="218">
        <v>1</v>
      </c>
      <c r="C1873" s="220" t="s">
        <v>2774</v>
      </c>
      <c r="D1873" s="220" t="s">
        <v>142</v>
      </c>
      <c r="E1873" s="165">
        <v>875</v>
      </c>
    </row>
    <row r="1874" spans="1:5" x14ac:dyDescent="0.25">
      <c r="A1874" s="216" t="s">
        <v>2783</v>
      </c>
      <c r="B1874" s="218" t="s">
        <v>48</v>
      </c>
      <c r="C1874" s="220" t="s">
        <v>2784</v>
      </c>
      <c r="D1874" s="220" t="s">
        <v>75</v>
      </c>
      <c r="E1874" s="165">
        <v>875</v>
      </c>
    </row>
    <row r="1875" spans="1:5" x14ac:dyDescent="0.25">
      <c r="A1875" s="216" t="s">
        <v>3893</v>
      </c>
      <c r="B1875" s="218" t="s">
        <v>48</v>
      </c>
      <c r="C1875" s="220" t="s">
        <v>238</v>
      </c>
      <c r="D1875" s="220" t="s">
        <v>93</v>
      </c>
      <c r="E1875" s="165">
        <v>875</v>
      </c>
    </row>
    <row r="1876" spans="1:5" x14ac:dyDescent="0.25">
      <c r="A1876" s="216" t="s">
        <v>2970</v>
      </c>
      <c r="B1876" s="218">
        <v>1</v>
      </c>
      <c r="C1876" s="220" t="s">
        <v>245</v>
      </c>
      <c r="D1876" s="220" t="s">
        <v>69</v>
      </c>
      <c r="E1876" s="165">
        <v>875</v>
      </c>
    </row>
    <row r="1877" spans="1:5" x14ac:dyDescent="0.25">
      <c r="A1877" s="216" t="s">
        <v>2936</v>
      </c>
      <c r="B1877" s="218">
        <v>1</v>
      </c>
      <c r="C1877" s="220" t="s">
        <v>1457</v>
      </c>
      <c r="D1877" s="220" t="s">
        <v>50</v>
      </c>
      <c r="E1877" s="165">
        <v>875</v>
      </c>
    </row>
    <row r="1878" spans="1:5" x14ac:dyDescent="0.25">
      <c r="A1878" s="216" t="s">
        <v>11060</v>
      </c>
      <c r="B1878" s="218">
        <v>1</v>
      </c>
      <c r="C1878" s="220" t="s">
        <v>11061</v>
      </c>
      <c r="D1878" s="220" t="s">
        <v>56</v>
      </c>
      <c r="E1878" s="165">
        <v>875</v>
      </c>
    </row>
    <row r="1879" spans="1:5" x14ac:dyDescent="0.25">
      <c r="A1879" s="216" t="s">
        <v>3623</v>
      </c>
      <c r="B1879" s="218" t="s">
        <v>48</v>
      </c>
      <c r="C1879" s="220" t="s">
        <v>3624</v>
      </c>
      <c r="D1879" s="220" t="s">
        <v>69</v>
      </c>
      <c r="E1879" s="165">
        <v>873</v>
      </c>
    </row>
    <row r="1880" spans="1:5" x14ac:dyDescent="0.25">
      <c r="A1880" s="216" t="s">
        <v>2504</v>
      </c>
      <c r="B1880" s="218">
        <v>1</v>
      </c>
      <c r="C1880" s="220" t="s">
        <v>2505</v>
      </c>
      <c r="D1880" s="220" t="s">
        <v>56</v>
      </c>
      <c r="E1880" s="165">
        <v>871</v>
      </c>
    </row>
    <row r="1881" spans="1:5" x14ac:dyDescent="0.25">
      <c r="A1881" s="216" t="s">
        <v>3368</v>
      </c>
      <c r="B1881" s="218">
        <v>1</v>
      </c>
      <c r="C1881" s="220" t="s">
        <v>185</v>
      </c>
      <c r="D1881" s="220" t="s">
        <v>139</v>
      </c>
      <c r="E1881" s="165">
        <v>871</v>
      </c>
    </row>
    <row r="1882" spans="1:5" x14ac:dyDescent="0.25">
      <c r="A1882" s="216" t="s">
        <v>2665</v>
      </c>
      <c r="B1882" s="218" t="s">
        <v>48</v>
      </c>
      <c r="C1882" s="220" t="s">
        <v>536</v>
      </c>
      <c r="D1882" s="220" t="s">
        <v>56</v>
      </c>
      <c r="E1882" s="165">
        <v>871</v>
      </c>
    </row>
    <row r="1883" spans="1:5" x14ac:dyDescent="0.25">
      <c r="A1883" s="216" t="s">
        <v>3340</v>
      </c>
      <c r="B1883" s="218" t="s">
        <v>48</v>
      </c>
      <c r="C1883" s="220" t="s">
        <v>86</v>
      </c>
      <c r="D1883" s="220" t="s">
        <v>78</v>
      </c>
      <c r="E1883" s="165">
        <v>870</v>
      </c>
    </row>
    <row r="1884" spans="1:5" x14ac:dyDescent="0.25">
      <c r="A1884" s="216" t="s">
        <v>2785</v>
      </c>
      <c r="B1884" s="218" t="s">
        <v>48</v>
      </c>
      <c r="C1884" s="220" t="s">
        <v>473</v>
      </c>
      <c r="D1884" s="220" t="s">
        <v>82</v>
      </c>
      <c r="E1884" s="165">
        <v>869</v>
      </c>
    </row>
    <row r="1885" spans="1:5" x14ac:dyDescent="0.25">
      <c r="A1885" s="216" t="s">
        <v>2857</v>
      </c>
      <c r="B1885" s="218">
        <v>1</v>
      </c>
      <c r="C1885" s="220" t="s">
        <v>2641</v>
      </c>
      <c r="D1885" s="220" t="s">
        <v>72</v>
      </c>
      <c r="E1885" s="165">
        <v>869</v>
      </c>
    </row>
    <row r="1886" spans="1:5" x14ac:dyDescent="0.25">
      <c r="A1886" s="216" t="s">
        <v>2968</v>
      </c>
      <c r="B1886" s="218">
        <v>1</v>
      </c>
      <c r="C1886" s="220" t="s">
        <v>428</v>
      </c>
      <c r="D1886" s="220" t="s">
        <v>394</v>
      </c>
      <c r="E1886" s="165">
        <v>868</v>
      </c>
    </row>
    <row r="1887" spans="1:5" x14ac:dyDescent="0.25">
      <c r="A1887" s="216" t="s">
        <v>3205</v>
      </c>
      <c r="B1887" s="218">
        <v>1</v>
      </c>
      <c r="C1887" s="220" t="s">
        <v>58</v>
      </c>
      <c r="D1887" s="220" t="s">
        <v>59</v>
      </c>
      <c r="E1887" s="165">
        <v>868</v>
      </c>
    </row>
    <row r="1888" spans="1:5" x14ac:dyDescent="0.25">
      <c r="A1888" s="216" t="s">
        <v>2907</v>
      </c>
      <c r="B1888" s="218">
        <v>1</v>
      </c>
      <c r="C1888" s="220" t="s">
        <v>2908</v>
      </c>
      <c r="D1888" s="220" t="s">
        <v>192</v>
      </c>
      <c r="E1888" s="165">
        <v>865</v>
      </c>
    </row>
    <row r="1889" spans="1:5" x14ac:dyDescent="0.25">
      <c r="A1889" s="216" t="s">
        <v>3407</v>
      </c>
      <c r="B1889" s="218">
        <v>1</v>
      </c>
      <c r="C1889" s="220" t="s">
        <v>159</v>
      </c>
      <c r="D1889" s="220" t="s">
        <v>130</v>
      </c>
      <c r="E1889" s="165">
        <v>864</v>
      </c>
    </row>
    <row r="1890" spans="1:5" x14ac:dyDescent="0.25">
      <c r="A1890" s="216" t="s">
        <v>3006</v>
      </c>
      <c r="B1890" s="218">
        <v>1</v>
      </c>
      <c r="C1890" s="220" t="s">
        <v>3007</v>
      </c>
      <c r="D1890" s="220" t="s">
        <v>188</v>
      </c>
      <c r="E1890" s="165">
        <v>863</v>
      </c>
    </row>
    <row r="1891" spans="1:5" x14ac:dyDescent="0.25">
      <c r="A1891" s="216" t="s">
        <v>6494</v>
      </c>
      <c r="B1891" s="218" t="s">
        <v>48</v>
      </c>
      <c r="C1891" s="220" t="s">
        <v>1010</v>
      </c>
      <c r="D1891" s="220" t="s">
        <v>517</v>
      </c>
      <c r="E1891" s="165">
        <v>863</v>
      </c>
    </row>
    <row r="1892" spans="1:5" x14ac:dyDescent="0.25">
      <c r="A1892" s="216" t="s">
        <v>2850</v>
      </c>
      <c r="B1892" s="218">
        <v>1</v>
      </c>
      <c r="C1892" s="220" t="s">
        <v>2648</v>
      </c>
      <c r="D1892" s="220" t="s">
        <v>98</v>
      </c>
      <c r="E1892" s="165">
        <v>863</v>
      </c>
    </row>
    <row r="1893" spans="1:5" x14ac:dyDescent="0.25">
      <c r="A1893" s="216" t="s">
        <v>2997</v>
      </c>
      <c r="B1893" s="218">
        <v>1</v>
      </c>
      <c r="C1893" s="220" t="s">
        <v>640</v>
      </c>
      <c r="D1893" s="220" t="s">
        <v>69</v>
      </c>
      <c r="E1893" s="165">
        <v>862</v>
      </c>
    </row>
    <row r="1894" spans="1:5" x14ac:dyDescent="0.25">
      <c r="A1894" s="216" t="s">
        <v>3022</v>
      </c>
      <c r="B1894" s="218">
        <v>1</v>
      </c>
      <c r="C1894" s="220" t="s">
        <v>2374</v>
      </c>
      <c r="D1894" s="220" t="s">
        <v>188</v>
      </c>
      <c r="E1894" s="165">
        <v>862</v>
      </c>
    </row>
    <row r="1895" spans="1:5" x14ac:dyDescent="0.25">
      <c r="A1895" s="216" t="s">
        <v>2762</v>
      </c>
      <c r="B1895" s="218">
        <v>1</v>
      </c>
      <c r="C1895" s="220" t="s">
        <v>2763</v>
      </c>
      <c r="D1895" s="220" t="s">
        <v>394</v>
      </c>
      <c r="E1895" s="165">
        <v>862</v>
      </c>
    </row>
    <row r="1896" spans="1:5" x14ac:dyDescent="0.25">
      <c r="A1896" s="216" t="s">
        <v>2563</v>
      </c>
      <c r="B1896" s="218">
        <v>1</v>
      </c>
      <c r="C1896" s="220" t="s">
        <v>1006</v>
      </c>
      <c r="D1896" s="220" t="s">
        <v>277</v>
      </c>
      <c r="E1896" s="165">
        <v>861</v>
      </c>
    </row>
    <row r="1897" spans="1:5" x14ac:dyDescent="0.25">
      <c r="A1897" s="216" t="s">
        <v>2957</v>
      </c>
      <c r="B1897" s="218" t="s">
        <v>48</v>
      </c>
      <c r="C1897" s="220" t="s">
        <v>2958</v>
      </c>
      <c r="D1897" s="220" t="s">
        <v>124</v>
      </c>
      <c r="E1897" s="165">
        <v>861</v>
      </c>
    </row>
    <row r="1898" spans="1:5" x14ac:dyDescent="0.25">
      <c r="A1898" s="216" t="s">
        <v>10660</v>
      </c>
      <c r="B1898" s="218" t="s">
        <v>48</v>
      </c>
      <c r="C1898" s="220" t="s">
        <v>6489</v>
      </c>
      <c r="D1898" s="220" t="s">
        <v>66</v>
      </c>
      <c r="E1898" s="165">
        <v>860</v>
      </c>
    </row>
    <row r="1899" spans="1:5" x14ac:dyDescent="0.25">
      <c r="A1899" s="216" t="s">
        <v>2484</v>
      </c>
      <c r="B1899" s="218" t="s">
        <v>48</v>
      </c>
      <c r="C1899" s="220" t="s">
        <v>1810</v>
      </c>
      <c r="D1899" s="220" t="s">
        <v>75</v>
      </c>
      <c r="E1899" s="165">
        <v>860</v>
      </c>
    </row>
    <row r="1900" spans="1:5" x14ac:dyDescent="0.25">
      <c r="A1900" s="216" t="s">
        <v>2807</v>
      </c>
      <c r="B1900" s="218">
        <v>1</v>
      </c>
      <c r="C1900" s="220" t="s">
        <v>1457</v>
      </c>
      <c r="D1900" s="220" t="s">
        <v>272</v>
      </c>
      <c r="E1900" s="165">
        <v>860</v>
      </c>
    </row>
    <row r="1901" spans="1:5" x14ac:dyDescent="0.25">
      <c r="A1901" s="216" t="s">
        <v>11062</v>
      </c>
      <c r="B1901" s="218">
        <v>1</v>
      </c>
      <c r="C1901" s="220" t="s">
        <v>3549</v>
      </c>
      <c r="D1901" s="220" t="s">
        <v>50</v>
      </c>
      <c r="E1901" s="165">
        <v>860</v>
      </c>
    </row>
    <row r="1902" spans="1:5" x14ac:dyDescent="0.25">
      <c r="A1902" s="216" t="s">
        <v>2694</v>
      </c>
      <c r="B1902" s="218">
        <v>1</v>
      </c>
      <c r="C1902" s="220" t="s">
        <v>2277</v>
      </c>
      <c r="D1902" s="220" t="s">
        <v>277</v>
      </c>
      <c r="E1902" s="165">
        <v>859</v>
      </c>
    </row>
    <row r="1903" spans="1:5" x14ac:dyDescent="0.25">
      <c r="A1903" s="216" t="s">
        <v>2671</v>
      </c>
      <c r="B1903" s="218" t="s">
        <v>48</v>
      </c>
      <c r="C1903" s="220" t="s">
        <v>11063</v>
      </c>
      <c r="D1903" s="220" t="s">
        <v>108</v>
      </c>
      <c r="E1903" s="165">
        <v>857</v>
      </c>
    </row>
    <row r="1904" spans="1:5" x14ac:dyDescent="0.25">
      <c r="A1904" s="216" t="s">
        <v>2564</v>
      </c>
      <c r="B1904" s="218">
        <v>1</v>
      </c>
      <c r="C1904" s="220" t="s">
        <v>2565</v>
      </c>
      <c r="D1904" s="220" t="s">
        <v>124</v>
      </c>
      <c r="E1904" s="165">
        <v>857</v>
      </c>
    </row>
    <row r="1905" spans="1:5" x14ac:dyDescent="0.25">
      <c r="A1905" s="216" t="s">
        <v>2945</v>
      </c>
      <c r="B1905" s="218">
        <v>1</v>
      </c>
      <c r="C1905" s="220" t="s">
        <v>962</v>
      </c>
      <c r="D1905" s="220" t="s">
        <v>394</v>
      </c>
      <c r="E1905" s="165">
        <v>856</v>
      </c>
    </row>
    <row r="1906" spans="1:5" x14ac:dyDescent="0.25">
      <c r="A1906" s="216" t="s">
        <v>2547</v>
      </c>
      <c r="B1906" s="218" t="s">
        <v>48</v>
      </c>
      <c r="C1906" s="220" t="s">
        <v>2548</v>
      </c>
      <c r="D1906" s="220" t="s">
        <v>277</v>
      </c>
      <c r="E1906" s="165">
        <v>855</v>
      </c>
    </row>
    <row r="1907" spans="1:5" x14ac:dyDescent="0.25">
      <c r="A1907" s="216" t="s">
        <v>2827</v>
      </c>
      <c r="B1907" s="218">
        <v>1</v>
      </c>
      <c r="C1907" s="220" t="s">
        <v>2245</v>
      </c>
      <c r="D1907" s="220" t="s">
        <v>272</v>
      </c>
      <c r="E1907" s="165">
        <v>853</v>
      </c>
    </row>
    <row r="1908" spans="1:5" x14ac:dyDescent="0.25">
      <c r="A1908" s="216" t="s">
        <v>2918</v>
      </c>
      <c r="B1908" s="218">
        <v>1</v>
      </c>
      <c r="C1908" s="220" t="s">
        <v>2919</v>
      </c>
      <c r="D1908" s="220" t="s">
        <v>66</v>
      </c>
      <c r="E1908" s="165">
        <v>853</v>
      </c>
    </row>
    <row r="1909" spans="1:5" x14ac:dyDescent="0.25">
      <c r="A1909" s="216" t="s">
        <v>3482</v>
      </c>
      <c r="B1909" s="218">
        <v>1</v>
      </c>
      <c r="C1909" s="220" t="s">
        <v>3483</v>
      </c>
      <c r="D1909" s="220" t="s">
        <v>72</v>
      </c>
      <c r="E1909" s="165">
        <v>852</v>
      </c>
    </row>
    <row r="1910" spans="1:5" x14ac:dyDescent="0.25">
      <c r="A1910" s="216" t="s">
        <v>11064</v>
      </c>
      <c r="B1910" s="218" t="s">
        <v>48</v>
      </c>
      <c r="C1910" s="220" t="s">
        <v>2774</v>
      </c>
      <c r="D1910" s="220" t="s">
        <v>166</v>
      </c>
      <c r="E1910" s="165">
        <v>851</v>
      </c>
    </row>
    <row r="1911" spans="1:5" x14ac:dyDescent="0.25">
      <c r="A1911" s="216" t="s">
        <v>2817</v>
      </c>
      <c r="B1911" s="218" t="s">
        <v>48</v>
      </c>
      <c r="C1911" s="220" t="s">
        <v>2818</v>
      </c>
      <c r="D1911" s="220" t="s">
        <v>53</v>
      </c>
      <c r="E1911" s="165">
        <v>850</v>
      </c>
    </row>
    <row r="1912" spans="1:5" x14ac:dyDescent="0.25">
      <c r="A1912" s="216" t="s">
        <v>2929</v>
      </c>
      <c r="B1912" s="218">
        <v>1</v>
      </c>
      <c r="C1912" s="220" t="s">
        <v>2930</v>
      </c>
      <c r="D1912" s="220" t="s">
        <v>66</v>
      </c>
      <c r="E1912" s="165">
        <v>850</v>
      </c>
    </row>
    <row r="1913" spans="1:5" x14ac:dyDescent="0.25">
      <c r="A1913" s="216" t="s">
        <v>2931</v>
      </c>
      <c r="B1913" s="218">
        <v>1</v>
      </c>
      <c r="C1913" s="220" t="s">
        <v>2932</v>
      </c>
      <c r="D1913" s="220" t="s">
        <v>66</v>
      </c>
      <c r="E1913" s="165">
        <v>850</v>
      </c>
    </row>
    <row r="1914" spans="1:5" x14ac:dyDescent="0.25">
      <c r="A1914" s="216" t="s">
        <v>3030</v>
      </c>
      <c r="B1914" s="218" t="s">
        <v>48</v>
      </c>
      <c r="C1914" s="220" t="s">
        <v>3031</v>
      </c>
      <c r="D1914" s="220" t="s">
        <v>50</v>
      </c>
      <c r="E1914" s="165">
        <v>850</v>
      </c>
    </row>
    <row r="1915" spans="1:5" x14ac:dyDescent="0.25">
      <c r="A1915" s="216" t="s">
        <v>3319</v>
      </c>
      <c r="B1915" s="218" t="s">
        <v>48</v>
      </c>
      <c r="C1915" s="220" t="s">
        <v>939</v>
      </c>
      <c r="D1915" s="220" t="s">
        <v>82</v>
      </c>
      <c r="E1915" s="165">
        <v>850</v>
      </c>
    </row>
    <row r="1916" spans="1:5" x14ac:dyDescent="0.25">
      <c r="A1916" s="216" t="s">
        <v>2766</v>
      </c>
      <c r="B1916" s="218">
        <v>1</v>
      </c>
      <c r="C1916" s="220" t="s">
        <v>684</v>
      </c>
      <c r="D1916" s="220" t="s">
        <v>272</v>
      </c>
      <c r="E1916" s="165">
        <v>849</v>
      </c>
    </row>
    <row r="1917" spans="1:5" x14ac:dyDescent="0.25">
      <c r="A1917" s="216" t="s">
        <v>7862</v>
      </c>
      <c r="B1917" s="218" t="s">
        <v>48</v>
      </c>
      <c r="C1917" s="220" t="s">
        <v>7863</v>
      </c>
      <c r="D1917" s="220" t="s">
        <v>75</v>
      </c>
      <c r="E1917" s="165">
        <v>849</v>
      </c>
    </row>
    <row r="1918" spans="1:5" x14ac:dyDescent="0.25">
      <c r="A1918" s="216" t="s">
        <v>3412</v>
      </c>
      <c r="B1918" s="218">
        <v>1</v>
      </c>
      <c r="C1918" s="220" t="s">
        <v>2156</v>
      </c>
      <c r="D1918" s="220" t="s">
        <v>139</v>
      </c>
      <c r="E1918" s="165">
        <v>849</v>
      </c>
    </row>
    <row r="1919" spans="1:5" x14ac:dyDescent="0.25">
      <c r="A1919" s="216" t="s">
        <v>3113</v>
      </c>
      <c r="B1919" s="218" t="s">
        <v>48</v>
      </c>
      <c r="C1919" s="220" t="s">
        <v>3114</v>
      </c>
      <c r="D1919" s="220" t="s">
        <v>56</v>
      </c>
      <c r="E1919" s="165">
        <v>849</v>
      </c>
    </row>
    <row r="1920" spans="1:5" x14ac:dyDescent="0.25">
      <c r="A1920" s="216" t="s">
        <v>2848</v>
      </c>
      <c r="B1920" s="218">
        <v>1</v>
      </c>
      <c r="C1920" s="220" t="s">
        <v>2849</v>
      </c>
      <c r="D1920" s="220" t="s">
        <v>277</v>
      </c>
      <c r="E1920" s="165">
        <v>848</v>
      </c>
    </row>
    <row r="1921" spans="1:5" x14ac:dyDescent="0.25">
      <c r="A1921" s="216" t="s">
        <v>2890</v>
      </c>
      <c r="B1921" s="218">
        <v>1</v>
      </c>
      <c r="C1921" s="220" t="s">
        <v>2891</v>
      </c>
      <c r="D1921" s="220" t="s">
        <v>56</v>
      </c>
      <c r="E1921" s="165">
        <v>846</v>
      </c>
    </row>
    <row r="1922" spans="1:5" x14ac:dyDescent="0.25">
      <c r="A1922" s="216" t="s">
        <v>2894</v>
      </c>
      <c r="B1922" s="218" t="s">
        <v>48</v>
      </c>
      <c r="C1922" s="220" t="s">
        <v>1887</v>
      </c>
      <c r="D1922" s="220" t="s">
        <v>87</v>
      </c>
      <c r="E1922" s="165">
        <v>845</v>
      </c>
    </row>
    <row r="1923" spans="1:5" x14ac:dyDescent="0.25">
      <c r="A1923" s="216" t="s">
        <v>2804</v>
      </c>
      <c r="B1923" s="218" t="s">
        <v>48</v>
      </c>
      <c r="C1923" s="220" t="s">
        <v>2805</v>
      </c>
      <c r="D1923" s="220" t="s">
        <v>172</v>
      </c>
      <c r="E1923" s="165">
        <v>844</v>
      </c>
    </row>
    <row r="1924" spans="1:5" x14ac:dyDescent="0.25">
      <c r="A1924" s="216" t="s">
        <v>3391</v>
      </c>
      <c r="B1924" s="218">
        <v>1</v>
      </c>
      <c r="C1924" s="220" t="s">
        <v>1700</v>
      </c>
      <c r="D1924" s="220" t="s">
        <v>337</v>
      </c>
      <c r="E1924" s="165">
        <v>844</v>
      </c>
    </row>
    <row r="1925" spans="1:5" x14ac:dyDescent="0.25">
      <c r="A1925" s="216" t="s">
        <v>2887</v>
      </c>
      <c r="B1925" s="218">
        <v>1</v>
      </c>
      <c r="C1925" s="220" t="s">
        <v>2888</v>
      </c>
      <c r="D1925" s="220" t="s">
        <v>56</v>
      </c>
      <c r="E1925" s="165">
        <v>843</v>
      </c>
    </row>
    <row r="1926" spans="1:5" x14ac:dyDescent="0.25">
      <c r="A1926" s="216" t="s">
        <v>3379</v>
      </c>
      <c r="B1926" s="218" t="s">
        <v>48</v>
      </c>
      <c r="C1926" s="220" t="s">
        <v>3380</v>
      </c>
      <c r="D1926" s="220" t="s">
        <v>56</v>
      </c>
      <c r="E1926" s="165">
        <v>843</v>
      </c>
    </row>
    <row r="1927" spans="1:5" x14ac:dyDescent="0.25">
      <c r="A1927" s="216" t="s">
        <v>2841</v>
      </c>
      <c r="B1927" s="218" t="s">
        <v>48</v>
      </c>
      <c r="C1927" s="220" t="s">
        <v>2265</v>
      </c>
      <c r="D1927" s="220" t="s">
        <v>56</v>
      </c>
      <c r="E1927" s="165">
        <v>843</v>
      </c>
    </row>
    <row r="1928" spans="1:5" x14ac:dyDescent="0.25">
      <c r="A1928" s="216" t="s">
        <v>5603</v>
      </c>
      <c r="B1928" s="218">
        <v>1</v>
      </c>
      <c r="C1928" s="220" t="s">
        <v>1017</v>
      </c>
      <c r="D1928" s="220" t="s">
        <v>337</v>
      </c>
      <c r="E1928" s="165">
        <v>842</v>
      </c>
    </row>
    <row r="1929" spans="1:5" x14ac:dyDescent="0.25">
      <c r="A1929" s="216" t="s">
        <v>2166</v>
      </c>
      <c r="B1929" s="218" t="s">
        <v>48</v>
      </c>
      <c r="C1929" s="220" t="s">
        <v>2167</v>
      </c>
      <c r="D1929" s="220" t="s">
        <v>90</v>
      </c>
      <c r="E1929" s="165">
        <v>840</v>
      </c>
    </row>
    <row r="1930" spans="1:5" x14ac:dyDescent="0.25">
      <c r="A1930" s="216" t="s">
        <v>11065</v>
      </c>
      <c r="B1930" s="218" t="s">
        <v>48</v>
      </c>
      <c r="C1930" s="220" t="s">
        <v>1700</v>
      </c>
      <c r="D1930" s="220" t="s">
        <v>337</v>
      </c>
      <c r="E1930" s="165">
        <v>840</v>
      </c>
    </row>
    <row r="1931" spans="1:5" x14ac:dyDescent="0.25">
      <c r="A1931" s="216" t="s">
        <v>2793</v>
      </c>
      <c r="B1931" s="218">
        <v>1</v>
      </c>
      <c r="C1931" s="220" t="s">
        <v>841</v>
      </c>
      <c r="D1931" s="220" t="s">
        <v>130</v>
      </c>
      <c r="E1931" s="165">
        <v>840</v>
      </c>
    </row>
    <row r="1932" spans="1:5" x14ac:dyDescent="0.25">
      <c r="A1932" s="216" t="s">
        <v>3048</v>
      </c>
      <c r="B1932" s="218">
        <v>1</v>
      </c>
      <c r="C1932" s="220" t="s">
        <v>11066</v>
      </c>
      <c r="D1932" s="220" t="s">
        <v>188</v>
      </c>
      <c r="E1932" s="165">
        <v>840</v>
      </c>
    </row>
    <row r="1933" spans="1:5" x14ac:dyDescent="0.25">
      <c r="A1933" s="216" t="s">
        <v>3049</v>
      </c>
      <c r="B1933" s="218" t="s">
        <v>48</v>
      </c>
      <c r="C1933" s="220" t="s">
        <v>261</v>
      </c>
      <c r="D1933" s="220" t="s">
        <v>56</v>
      </c>
      <c r="E1933" s="165">
        <v>840</v>
      </c>
    </row>
    <row r="1934" spans="1:5" x14ac:dyDescent="0.25">
      <c r="A1934" s="216" t="s">
        <v>2724</v>
      </c>
      <c r="B1934" s="218">
        <v>1</v>
      </c>
      <c r="C1934" s="220" t="s">
        <v>429</v>
      </c>
      <c r="D1934" s="220" t="s">
        <v>98</v>
      </c>
      <c r="E1934" s="165">
        <v>838</v>
      </c>
    </row>
    <row r="1935" spans="1:5" x14ac:dyDescent="0.25">
      <c r="A1935" s="216" t="s">
        <v>3005</v>
      </c>
      <c r="B1935" s="218" t="s">
        <v>48</v>
      </c>
      <c r="C1935" s="220" t="s">
        <v>516</v>
      </c>
      <c r="D1935" s="220" t="s">
        <v>517</v>
      </c>
      <c r="E1935" s="165">
        <v>837</v>
      </c>
    </row>
    <row r="1936" spans="1:5" x14ac:dyDescent="0.25">
      <c r="A1936" s="216" t="s">
        <v>2941</v>
      </c>
      <c r="B1936" s="218">
        <v>1</v>
      </c>
      <c r="C1936" s="220" t="s">
        <v>2942</v>
      </c>
      <c r="D1936" s="220" t="s">
        <v>66</v>
      </c>
      <c r="E1936" s="165">
        <v>837</v>
      </c>
    </row>
    <row r="1937" spans="1:5" x14ac:dyDescent="0.25">
      <c r="A1937" s="216" t="s">
        <v>2984</v>
      </c>
      <c r="B1937" s="218">
        <v>1</v>
      </c>
      <c r="C1937" s="220" t="s">
        <v>159</v>
      </c>
      <c r="D1937" s="220" t="s">
        <v>130</v>
      </c>
      <c r="E1937" s="165">
        <v>837</v>
      </c>
    </row>
    <row r="1938" spans="1:5" x14ac:dyDescent="0.25">
      <c r="A1938" s="216" t="s">
        <v>3064</v>
      </c>
      <c r="B1938" s="218">
        <v>1</v>
      </c>
      <c r="C1938" s="220" t="s">
        <v>1418</v>
      </c>
      <c r="D1938" s="220" t="s">
        <v>188</v>
      </c>
      <c r="E1938" s="165">
        <v>836</v>
      </c>
    </row>
    <row r="1939" spans="1:5" x14ac:dyDescent="0.25">
      <c r="A1939" s="216" t="s">
        <v>2709</v>
      </c>
      <c r="B1939" s="218">
        <v>1</v>
      </c>
      <c r="C1939" s="220" t="s">
        <v>138</v>
      </c>
      <c r="D1939" s="220" t="s">
        <v>139</v>
      </c>
      <c r="E1939" s="165">
        <v>836</v>
      </c>
    </row>
    <row r="1940" spans="1:5" x14ac:dyDescent="0.25">
      <c r="A1940" s="216" t="s">
        <v>2865</v>
      </c>
      <c r="B1940" s="218">
        <v>1</v>
      </c>
      <c r="C1940" s="220" t="s">
        <v>2866</v>
      </c>
      <c r="D1940" s="220" t="s">
        <v>50</v>
      </c>
      <c r="E1940" s="165">
        <v>835</v>
      </c>
    </row>
    <row r="1941" spans="1:5" x14ac:dyDescent="0.25">
      <c r="A1941" s="216" t="s">
        <v>3110</v>
      </c>
      <c r="B1941" s="218" t="s">
        <v>48</v>
      </c>
      <c r="C1941" s="220" t="s">
        <v>3111</v>
      </c>
      <c r="D1941" s="220" t="s">
        <v>82</v>
      </c>
      <c r="E1941" s="165">
        <v>835</v>
      </c>
    </row>
    <row r="1942" spans="1:5" x14ac:dyDescent="0.25">
      <c r="A1942" s="216" t="s">
        <v>3416</v>
      </c>
      <c r="B1942" s="218" t="s">
        <v>48</v>
      </c>
      <c r="C1942" s="220" t="s">
        <v>3417</v>
      </c>
      <c r="D1942" s="220" t="s">
        <v>50</v>
      </c>
      <c r="E1942" s="165">
        <v>835</v>
      </c>
    </row>
    <row r="1943" spans="1:5" x14ac:dyDescent="0.25">
      <c r="A1943" s="216" t="s">
        <v>4292</v>
      </c>
      <c r="B1943" s="218" t="s">
        <v>48</v>
      </c>
      <c r="C1943" s="220" t="s">
        <v>350</v>
      </c>
      <c r="D1943" s="220" t="s">
        <v>69</v>
      </c>
      <c r="E1943" s="165">
        <v>834</v>
      </c>
    </row>
    <row r="1944" spans="1:5" x14ac:dyDescent="0.25">
      <c r="A1944" s="216" t="s">
        <v>3042</v>
      </c>
      <c r="B1944" s="218">
        <v>1</v>
      </c>
      <c r="C1944" s="220" t="s">
        <v>511</v>
      </c>
      <c r="D1944" s="220" t="s">
        <v>394</v>
      </c>
      <c r="E1944" s="165">
        <v>834</v>
      </c>
    </row>
    <row r="1945" spans="1:5" x14ac:dyDescent="0.25">
      <c r="A1945" s="216" t="s">
        <v>2869</v>
      </c>
      <c r="B1945" s="218">
        <v>1</v>
      </c>
      <c r="C1945" s="220" t="s">
        <v>2870</v>
      </c>
      <c r="D1945" s="220" t="s">
        <v>277</v>
      </c>
      <c r="E1945" s="165">
        <v>834</v>
      </c>
    </row>
    <row r="1946" spans="1:5" x14ac:dyDescent="0.25">
      <c r="A1946" s="216" t="s">
        <v>3362</v>
      </c>
      <c r="B1946" s="218">
        <v>1</v>
      </c>
      <c r="C1946" s="220" t="s">
        <v>768</v>
      </c>
      <c r="D1946" s="220" t="s">
        <v>264</v>
      </c>
      <c r="E1946" s="165">
        <v>831</v>
      </c>
    </row>
    <row r="1947" spans="1:5" x14ac:dyDescent="0.25">
      <c r="A1947" s="216" t="s">
        <v>3034</v>
      </c>
      <c r="B1947" s="218">
        <v>1</v>
      </c>
      <c r="C1947" s="220" t="s">
        <v>3035</v>
      </c>
      <c r="D1947" s="220" t="s">
        <v>50</v>
      </c>
      <c r="E1947" s="165">
        <v>831</v>
      </c>
    </row>
    <row r="1948" spans="1:5" x14ac:dyDescent="0.25">
      <c r="A1948" s="216" t="s">
        <v>3036</v>
      </c>
      <c r="B1948" s="218">
        <v>1</v>
      </c>
      <c r="C1948" s="220" t="s">
        <v>1113</v>
      </c>
      <c r="D1948" s="220" t="s">
        <v>50</v>
      </c>
      <c r="E1948" s="165">
        <v>831</v>
      </c>
    </row>
    <row r="1949" spans="1:5" x14ac:dyDescent="0.25">
      <c r="A1949" s="216" t="s">
        <v>2798</v>
      </c>
      <c r="B1949" s="218" t="s">
        <v>48</v>
      </c>
      <c r="C1949" s="220" t="s">
        <v>468</v>
      </c>
      <c r="D1949" s="220" t="s">
        <v>69</v>
      </c>
      <c r="E1949" s="165">
        <v>830</v>
      </c>
    </row>
    <row r="1950" spans="1:5" x14ac:dyDescent="0.25">
      <c r="A1950" s="216" t="s">
        <v>2566</v>
      </c>
      <c r="B1950" s="218">
        <v>1</v>
      </c>
      <c r="C1950" s="220" t="s">
        <v>2567</v>
      </c>
      <c r="D1950" s="220" t="s">
        <v>523</v>
      </c>
      <c r="E1950" s="165">
        <v>829</v>
      </c>
    </row>
    <row r="1951" spans="1:5" x14ac:dyDescent="0.25">
      <c r="A1951" s="216" t="s">
        <v>3100</v>
      </c>
      <c r="B1951" s="218">
        <v>1</v>
      </c>
      <c r="C1951" s="220" t="s">
        <v>3101</v>
      </c>
      <c r="D1951" s="220" t="s">
        <v>188</v>
      </c>
      <c r="E1951" s="165">
        <v>826</v>
      </c>
    </row>
    <row r="1952" spans="1:5" x14ac:dyDescent="0.25">
      <c r="A1952" s="216" t="s">
        <v>3184</v>
      </c>
      <c r="B1952" s="218">
        <v>1</v>
      </c>
      <c r="C1952" s="220" t="s">
        <v>3078</v>
      </c>
      <c r="D1952" s="220" t="s">
        <v>575</v>
      </c>
      <c r="E1952" s="165">
        <v>826</v>
      </c>
    </row>
    <row r="1953" spans="1:5" x14ac:dyDescent="0.25">
      <c r="A1953" s="216" t="s">
        <v>2859</v>
      </c>
      <c r="B1953" s="218">
        <v>1</v>
      </c>
      <c r="C1953" s="220" t="s">
        <v>481</v>
      </c>
      <c r="D1953" s="220" t="s">
        <v>142</v>
      </c>
      <c r="E1953" s="165">
        <v>826</v>
      </c>
    </row>
    <row r="1954" spans="1:5" x14ac:dyDescent="0.25">
      <c r="A1954" s="216" t="s">
        <v>3118</v>
      </c>
      <c r="B1954" s="218" t="s">
        <v>48</v>
      </c>
      <c r="C1954" s="220" t="s">
        <v>3119</v>
      </c>
      <c r="D1954" s="220" t="s">
        <v>277</v>
      </c>
      <c r="E1954" s="165">
        <v>825</v>
      </c>
    </row>
    <row r="1955" spans="1:5" x14ac:dyDescent="0.25">
      <c r="A1955" s="216" t="s">
        <v>3887</v>
      </c>
      <c r="B1955" s="218" t="s">
        <v>48</v>
      </c>
      <c r="C1955" s="220" t="s">
        <v>3888</v>
      </c>
      <c r="D1955" s="220" t="s">
        <v>69</v>
      </c>
      <c r="E1955" s="165">
        <v>825</v>
      </c>
    </row>
    <row r="1956" spans="1:5" x14ac:dyDescent="0.25">
      <c r="A1956" s="216" t="s">
        <v>3493</v>
      </c>
      <c r="B1956" s="218" t="s">
        <v>48</v>
      </c>
      <c r="C1956" s="220" t="s">
        <v>89</v>
      </c>
      <c r="D1956" s="220" t="s">
        <v>90</v>
      </c>
      <c r="E1956" s="165">
        <v>825</v>
      </c>
    </row>
    <row r="1957" spans="1:5" x14ac:dyDescent="0.25">
      <c r="A1957" s="216" t="s">
        <v>3019</v>
      </c>
      <c r="B1957" s="218" t="s">
        <v>48</v>
      </c>
      <c r="C1957" s="220" t="s">
        <v>3020</v>
      </c>
      <c r="D1957" s="220" t="s">
        <v>69</v>
      </c>
      <c r="E1957" s="165">
        <v>825</v>
      </c>
    </row>
    <row r="1958" spans="1:5" x14ac:dyDescent="0.25">
      <c r="A1958" s="216" t="s">
        <v>2923</v>
      </c>
      <c r="B1958" s="218">
        <v>1</v>
      </c>
      <c r="C1958" s="220" t="s">
        <v>2924</v>
      </c>
      <c r="D1958" s="220" t="s">
        <v>517</v>
      </c>
      <c r="E1958" s="165">
        <v>825</v>
      </c>
    </row>
    <row r="1959" spans="1:5" x14ac:dyDescent="0.25">
      <c r="A1959" s="216" t="s">
        <v>2977</v>
      </c>
      <c r="B1959" s="218">
        <v>1</v>
      </c>
      <c r="C1959" s="220" t="s">
        <v>2978</v>
      </c>
      <c r="D1959" s="220" t="s">
        <v>66</v>
      </c>
      <c r="E1959" s="165">
        <v>824</v>
      </c>
    </row>
    <row r="1960" spans="1:5" x14ac:dyDescent="0.25">
      <c r="A1960" s="216" t="s">
        <v>10616</v>
      </c>
      <c r="B1960" s="218">
        <v>1</v>
      </c>
      <c r="C1960" s="220" t="s">
        <v>1087</v>
      </c>
      <c r="D1960" s="220" t="s">
        <v>188</v>
      </c>
      <c r="E1960" s="165">
        <v>824</v>
      </c>
    </row>
    <row r="1961" spans="1:5" x14ac:dyDescent="0.25">
      <c r="A1961" s="216" t="s">
        <v>3688</v>
      </c>
      <c r="B1961" s="218" t="s">
        <v>48</v>
      </c>
      <c r="C1961" s="220" t="s">
        <v>768</v>
      </c>
      <c r="D1961" s="220" t="s">
        <v>264</v>
      </c>
      <c r="E1961" s="165">
        <v>823</v>
      </c>
    </row>
    <row r="1962" spans="1:5" x14ac:dyDescent="0.25">
      <c r="A1962" s="216" t="s">
        <v>3484</v>
      </c>
      <c r="B1962" s="218" t="s">
        <v>48</v>
      </c>
      <c r="C1962" s="220" t="s">
        <v>3485</v>
      </c>
      <c r="D1962" s="220" t="s">
        <v>90</v>
      </c>
      <c r="E1962" s="165">
        <v>822</v>
      </c>
    </row>
    <row r="1963" spans="1:5" x14ac:dyDescent="0.25">
      <c r="A1963" s="216" t="s">
        <v>2946</v>
      </c>
      <c r="B1963" s="218">
        <v>1</v>
      </c>
      <c r="C1963" s="220" t="s">
        <v>1418</v>
      </c>
      <c r="D1963" s="220" t="s">
        <v>188</v>
      </c>
      <c r="E1963" s="165">
        <v>820</v>
      </c>
    </row>
    <row r="1964" spans="1:5" x14ac:dyDescent="0.25">
      <c r="A1964" s="216" t="s">
        <v>3316</v>
      </c>
      <c r="B1964" s="218">
        <v>1</v>
      </c>
      <c r="C1964" s="220" t="s">
        <v>3317</v>
      </c>
      <c r="D1964" s="220" t="s">
        <v>56</v>
      </c>
      <c r="E1964" s="165">
        <v>820</v>
      </c>
    </row>
    <row r="1965" spans="1:5" x14ac:dyDescent="0.25">
      <c r="A1965" s="216" t="s">
        <v>3318</v>
      </c>
      <c r="B1965" s="218">
        <v>1</v>
      </c>
      <c r="C1965" s="220" t="s">
        <v>138</v>
      </c>
      <c r="D1965" s="220" t="s">
        <v>139</v>
      </c>
      <c r="E1965" s="165">
        <v>820</v>
      </c>
    </row>
    <row r="1966" spans="1:5" x14ac:dyDescent="0.25">
      <c r="A1966" s="216" t="s">
        <v>3821</v>
      </c>
      <c r="B1966" s="218" t="s">
        <v>48</v>
      </c>
      <c r="C1966" s="220" t="s">
        <v>1724</v>
      </c>
      <c r="D1966" s="220" t="s">
        <v>78</v>
      </c>
      <c r="E1966" s="165">
        <v>820</v>
      </c>
    </row>
    <row r="1967" spans="1:5" x14ac:dyDescent="0.25">
      <c r="A1967" s="216" t="s">
        <v>11067</v>
      </c>
      <c r="B1967" s="218">
        <v>1</v>
      </c>
      <c r="C1967" s="220" t="s">
        <v>679</v>
      </c>
      <c r="D1967" s="220" t="s">
        <v>206</v>
      </c>
      <c r="E1967" s="165">
        <v>820</v>
      </c>
    </row>
    <row r="1968" spans="1:5" x14ac:dyDescent="0.25">
      <c r="A1968" s="216" t="s">
        <v>11068</v>
      </c>
      <c r="B1968" s="218">
        <v>1</v>
      </c>
      <c r="C1968" s="220" t="s">
        <v>4786</v>
      </c>
      <c r="D1968" s="220" t="s">
        <v>59</v>
      </c>
      <c r="E1968" s="165">
        <v>820</v>
      </c>
    </row>
    <row r="1969" spans="1:5" x14ac:dyDescent="0.25">
      <c r="A1969" s="216" t="s">
        <v>3053</v>
      </c>
      <c r="B1969" s="218">
        <v>1</v>
      </c>
      <c r="C1969" s="220" t="s">
        <v>3054</v>
      </c>
      <c r="D1969" s="220" t="s">
        <v>50</v>
      </c>
      <c r="E1969" s="165">
        <v>819</v>
      </c>
    </row>
    <row r="1970" spans="1:5" x14ac:dyDescent="0.25">
      <c r="A1970" s="216" t="s">
        <v>3043</v>
      </c>
      <c r="B1970" s="218">
        <v>1</v>
      </c>
      <c r="C1970" s="220" t="s">
        <v>3044</v>
      </c>
      <c r="D1970" s="220" t="s">
        <v>63</v>
      </c>
      <c r="E1970" s="165">
        <v>819</v>
      </c>
    </row>
    <row r="1971" spans="1:5" x14ac:dyDescent="0.25">
      <c r="A1971" s="216" t="s">
        <v>11069</v>
      </c>
      <c r="B1971" s="218">
        <v>1</v>
      </c>
      <c r="C1971" s="220" t="s">
        <v>1889</v>
      </c>
      <c r="D1971" s="220" t="s">
        <v>277</v>
      </c>
      <c r="E1971" s="165">
        <v>818</v>
      </c>
    </row>
    <row r="1972" spans="1:5" x14ac:dyDescent="0.25">
      <c r="A1972" s="216" t="s">
        <v>2889</v>
      </c>
      <c r="B1972" s="218">
        <v>1</v>
      </c>
      <c r="C1972" s="220" t="s">
        <v>727</v>
      </c>
      <c r="D1972" s="220" t="s">
        <v>628</v>
      </c>
      <c r="E1972" s="165">
        <v>817</v>
      </c>
    </row>
    <row r="1973" spans="1:5" x14ac:dyDescent="0.25">
      <c r="A1973" s="216" t="s">
        <v>3183</v>
      </c>
      <c r="B1973" s="218" t="s">
        <v>48</v>
      </c>
      <c r="C1973" s="220" t="s">
        <v>447</v>
      </c>
      <c r="D1973" s="220" t="s">
        <v>63</v>
      </c>
      <c r="E1973" s="165">
        <v>815</v>
      </c>
    </row>
    <row r="1974" spans="1:5" x14ac:dyDescent="0.25">
      <c r="A1974" s="216" t="s">
        <v>3629</v>
      </c>
      <c r="B1974" s="218" t="s">
        <v>48</v>
      </c>
      <c r="C1974" s="220" t="s">
        <v>2432</v>
      </c>
      <c r="D1974" s="220" t="s">
        <v>66</v>
      </c>
      <c r="E1974" s="165">
        <v>814</v>
      </c>
    </row>
    <row r="1975" spans="1:5" x14ac:dyDescent="0.25">
      <c r="A1975" s="216" t="s">
        <v>3983</v>
      </c>
      <c r="B1975" s="218">
        <v>1</v>
      </c>
      <c r="C1975" s="220" t="s">
        <v>3984</v>
      </c>
      <c r="D1975" s="220" t="s">
        <v>69</v>
      </c>
      <c r="E1975" s="165">
        <v>814</v>
      </c>
    </row>
    <row r="1976" spans="1:5" x14ac:dyDescent="0.25">
      <c r="A1976" s="216" t="s">
        <v>3402</v>
      </c>
      <c r="B1976" s="218" t="s">
        <v>48</v>
      </c>
      <c r="C1976" s="220" t="s">
        <v>3403</v>
      </c>
      <c r="D1976" s="220" t="s">
        <v>166</v>
      </c>
      <c r="E1976" s="165">
        <v>813</v>
      </c>
    </row>
    <row r="1977" spans="1:5" x14ac:dyDescent="0.25">
      <c r="A1977" s="216" t="s">
        <v>3523</v>
      </c>
      <c r="B1977" s="218">
        <v>1</v>
      </c>
      <c r="C1977" s="220" t="s">
        <v>1331</v>
      </c>
      <c r="D1977" s="220" t="s">
        <v>348</v>
      </c>
      <c r="E1977" s="165">
        <v>812</v>
      </c>
    </row>
    <row r="1978" spans="1:5" x14ac:dyDescent="0.25">
      <c r="A1978" s="216" t="s">
        <v>3131</v>
      </c>
      <c r="B1978" s="218">
        <v>1</v>
      </c>
      <c r="C1978" s="220" t="s">
        <v>3132</v>
      </c>
      <c r="D1978" s="220" t="s">
        <v>188</v>
      </c>
      <c r="E1978" s="165">
        <v>812</v>
      </c>
    </row>
    <row r="1979" spans="1:5" x14ac:dyDescent="0.25">
      <c r="A1979" s="216" t="s">
        <v>2792</v>
      </c>
      <c r="B1979" s="218">
        <v>1</v>
      </c>
      <c r="C1979" s="220" t="s">
        <v>323</v>
      </c>
      <c r="D1979" s="220" t="s">
        <v>277</v>
      </c>
      <c r="E1979" s="165">
        <v>812</v>
      </c>
    </row>
    <row r="1980" spans="1:5" x14ac:dyDescent="0.25">
      <c r="A1980" s="216" t="s">
        <v>3117</v>
      </c>
      <c r="B1980" s="218">
        <v>1</v>
      </c>
      <c r="C1980" s="220" t="s">
        <v>233</v>
      </c>
      <c r="D1980" s="220" t="s">
        <v>56</v>
      </c>
      <c r="E1980" s="165">
        <v>811</v>
      </c>
    </row>
    <row r="1981" spans="1:5" x14ac:dyDescent="0.25">
      <c r="A1981" s="216" t="s">
        <v>11070</v>
      </c>
      <c r="B1981" s="218" t="s">
        <v>48</v>
      </c>
      <c r="C1981" s="220" t="s">
        <v>615</v>
      </c>
      <c r="D1981" s="220" t="s">
        <v>108</v>
      </c>
      <c r="E1981" s="165">
        <v>811</v>
      </c>
    </row>
    <row r="1982" spans="1:5" x14ac:dyDescent="0.25">
      <c r="A1982" s="216" t="s">
        <v>3724</v>
      </c>
      <c r="B1982" s="218">
        <v>1</v>
      </c>
      <c r="C1982" s="220" t="s">
        <v>3725</v>
      </c>
      <c r="D1982" s="220" t="s">
        <v>277</v>
      </c>
      <c r="E1982" s="165">
        <v>810</v>
      </c>
    </row>
    <row r="1983" spans="1:5" x14ac:dyDescent="0.25">
      <c r="A1983" s="216" t="s">
        <v>3263</v>
      </c>
      <c r="B1983" s="218" t="s">
        <v>48</v>
      </c>
      <c r="C1983" s="220" t="s">
        <v>3264</v>
      </c>
      <c r="D1983" s="220" t="s">
        <v>56</v>
      </c>
      <c r="E1983" s="165">
        <v>809</v>
      </c>
    </row>
    <row r="1984" spans="1:5" x14ac:dyDescent="0.25">
      <c r="A1984" s="216" t="s">
        <v>2892</v>
      </c>
      <c r="B1984" s="218">
        <v>1</v>
      </c>
      <c r="C1984" s="220" t="s">
        <v>2893</v>
      </c>
      <c r="D1984" s="220" t="s">
        <v>192</v>
      </c>
      <c r="E1984" s="165">
        <v>809</v>
      </c>
    </row>
    <row r="1985" spans="1:5" x14ac:dyDescent="0.25">
      <c r="A1985" s="216" t="s">
        <v>11071</v>
      </c>
      <c r="B1985" s="218" t="s">
        <v>48</v>
      </c>
      <c r="C1985" s="220" t="s">
        <v>89</v>
      </c>
      <c r="D1985" s="220" t="s">
        <v>90</v>
      </c>
      <c r="E1985" s="165">
        <v>807</v>
      </c>
    </row>
    <row r="1986" spans="1:5" x14ac:dyDescent="0.25">
      <c r="A1986" s="216" t="s">
        <v>2995</v>
      </c>
      <c r="B1986" s="218">
        <v>1</v>
      </c>
      <c r="C1986" s="220" t="s">
        <v>261</v>
      </c>
      <c r="D1986" s="220" t="s">
        <v>56</v>
      </c>
      <c r="E1986" s="165">
        <v>807</v>
      </c>
    </row>
    <row r="1987" spans="1:5" x14ac:dyDescent="0.25">
      <c r="A1987" s="216" t="s">
        <v>3465</v>
      </c>
      <c r="B1987" s="218">
        <v>1</v>
      </c>
      <c r="C1987" s="220" t="s">
        <v>1017</v>
      </c>
      <c r="D1987" s="220" t="s">
        <v>337</v>
      </c>
      <c r="E1987" s="165">
        <v>807</v>
      </c>
    </row>
    <row r="1988" spans="1:5" x14ac:dyDescent="0.25">
      <c r="A1988" s="216" t="s">
        <v>3270</v>
      </c>
      <c r="B1988" s="218" t="s">
        <v>48</v>
      </c>
      <c r="C1988" s="220" t="s">
        <v>92</v>
      </c>
      <c r="D1988" s="220" t="s">
        <v>93</v>
      </c>
      <c r="E1988" s="165">
        <v>807</v>
      </c>
    </row>
    <row r="1989" spans="1:5" x14ac:dyDescent="0.25">
      <c r="A1989" s="216" t="s">
        <v>3863</v>
      </c>
      <c r="B1989" s="218" t="s">
        <v>48</v>
      </c>
      <c r="C1989" s="220" t="s">
        <v>3864</v>
      </c>
      <c r="D1989" s="220" t="s">
        <v>75</v>
      </c>
      <c r="E1989" s="165">
        <v>807</v>
      </c>
    </row>
    <row r="1990" spans="1:5" x14ac:dyDescent="0.25">
      <c r="A1990" s="216" t="s">
        <v>10811</v>
      </c>
      <c r="B1990" s="218" t="s">
        <v>48</v>
      </c>
      <c r="C1990" s="220" t="s">
        <v>11072</v>
      </c>
      <c r="D1990" s="220" t="s">
        <v>177</v>
      </c>
      <c r="E1990" s="165">
        <v>807</v>
      </c>
    </row>
    <row r="1991" spans="1:5" x14ac:dyDescent="0.25">
      <c r="A1991" s="216" t="s">
        <v>2725</v>
      </c>
      <c r="B1991" s="218" t="s">
        <v>48</v>
      </c>
      <c r="C1991" s="220" t="s">
        <v>2726</v>
      </c>
      <c r="D1991" s="220" t="s">
        <v>63</v>
      </c>
      <c r="E1991" s="165">
        <v>807</v>
      </c>
    </row>
    <row r="1992" spans="1:5" x14ac:dyDescent="0.25">
      <c r="A1992" s="216" t="s">
        <v>3077</v>
      </c>
      <c r="B1992" s="218" t="s">
        <v>48</v>
      </c>
      <c r="C1992" s="220" t="s">
        <v>3078</v>
      </c>
      <c r="D1992" s="220" t="s">
        <v>575</v>
      </c>
      <c r="E1992" s="165">
        <v>805</v>
      </c>
    </row>
    <row r="1993" spans="1:5" x14ac:dyDescent="0.25">
      <c r="A1993" s="216" t="s">
        <v>3061</v>
      </c>
      <c r="B1993" s="218">
        <v>1</v>
      </c>
      <c r="C1993" s="220" t="s">
        <v>121</v>
      </c>
      <c r="D1993" s="220" t="s">
        <v>56</v>
      </c>
      <c r="E1993" s="165">
        <v>805</v>
      </c>
    </row>
    <row r="1994" spans="1:5" x14ac:dyDescent="0.25">
      <c r="A1994" s="216" t="s">
        <v>3450</v>
      </c>
      <c r="B1994" s="218">
        <v>1</v>
      </c>
      <c r="C1994" s="220" t="s">
        <v>3451</v>
      </c>
      <c r="D1994" s="220" t="s">
        <v>72</v>
      </c>
      <c r="E1994" s="165">
        <v>804</v>
      </c>
    </row>
    <row r="1995" spans="1:5" x14ac:dyDescent="0.25">
      <c r="A1995" s="216" t="s">
        <v>2944</v>
      </c>
      <c r="B1995" s="218">
        <v>1</v>
      </c>
      <c r="C1995" s="220" t="s">
        <v>1953</v>
      </c>
      <c r="D1995" s="220" t="s">
        <v>50</v>
      </c>
      <c r="E1995" s="165">
        <v>803</v>
      </c>
    </row>
    <row r="1996" spans="1:5" x14ac:dyDescent="0.25">
      <c r="A1996" s="216" t="s">
        <v>2986</v>
      </c>
      <c r="B1996" s="218">
        <v>1</v>
      </c>
      <c r="C1996" s="220" t="s">
        <v>1183</v>
      </c>
      <c r="D1996" s="220" t="s">
        <v>56</v>
      </c>
      <c r="E1996" s="165">
        <v>803</v>
      </c>
    </row>
    <row r="1997" spans="1:5" x14ac:dyDescent="0.25">
      <c r="A1997" s="216" t="s">
        <v>2987</v>
      </c>
      <c r="B1997" s="218">
        <v>1</v>
      </c>
      <c r="C1997" s="220" t="s">
        <v>219</v>
      </c>
      <c r="D1997" s="220" t="s">
        <v>56</v>
      </c>
      <c r="E1997" s="165">
        <v>803</v>
      </c>
    </row>
    <row r="1998" spans="1:5" x14ac:dyDescent="0.25">
      <c r="A1998" s="216" t="s">
        <v>2913</v>
      </c>
      <c r="B1998" s="218" t="s">
        <v>48</v>
      </c>
      <c r="C1998" s="220" t="s">
        <v>470</v>
      </c>
      <c r="D1998" s="220" t="s">
        <v>108</v>
      </c>
      <c r="E1998" s="165">
        <v>802</v>
      </c>
    </row>
    <row r="1999" spans="1:5" x14ac:dyDescent="0.25">
      <c r="A1999" s="216" t="s">
        <v>4541</v>
      </c>
      <c r="B1999" s="218">
        <v>1</v>
      </c>
      <c r="C1999" s="220" t="s">
        <v>3888</v>
      </c>
      <c r="D1999" s="220" t="s">
        <v>69</v>
      </c>
      <c r="E1999" s="165">
        <v>802</v>
      </c>
    </row>
    <row r="2000" spans="1:5" x14ac:dyDescent="0.25">
      <c r="A2000" s="216" t="s">
        <v>3365</v>
      </c>
      <c r="B2000" s="218">
        <v>1</v>
      </c>
      <c r="C2000" s="220" t="s">
        <v>4639</v>
      </c>
      <c r="D2000" s="220" t="s">
        <v>66</v>
      </c>
      <c r="E2000" s="165">
        <v>802</v>
      </c>
    </row>
    <row r="2001" spans="1:5" x14ac:dyDescent="0.25">
      <c r="A2001" s="216" t="s">
        <v>11073</v>
      </c>
      <c r="B2001" s="218">
        <v>1</v>
      </c>
      <c r="C2001" s="220" t="s">
        <v>768</v>
      </c>
      <c r="D2001" s="220" t="s">
        <v>264</v>
      </c>
      <c r="E2001" s="165">
        <v>800</v>
      </c>
    </row>
    <row r="2002" spans="1:5" x14ac:dyDescent="0.25">
      <c r="A2002" s="216" t="s">
        <v>11074</v>
      </c>
      <c r="B2002" s="218" t="s">
        <v>48</v>
      </c>
      <c r="C2002" s="220" t="s">
        <v>11075</v>
      </c>
      <c r="D2002" s="220" t="s">
        <v>192</v>
      </c>
      <c r="E2002" s="165">
        <v>800</v>
      </c>
    </row>
    <row r="2003" spans="1:5" x14ac:dyDescent="0.25">
      <c r="A2003" s="216" t="s">
        <v>2947</v>
      </c>
      <c r="B2003" s="218" t="s">
        <v>48</v>
      </c>
      <c r="C2003" s="220" t="s">
        <v>2948</v>
      </c>
      <c r="D2003" s="220" t="s">
        <v>272</v>
      </c>
      <c r="E2003" s="165">
        <v>800</v>
      </c>
    </row>
    <row r="2004" spans="1:5" x14ac:dyDescent="0.25">
      <c r="A2004" s="216" t="s">
        <v>3950</v>
      </c>
      <c r="B2004" s="218" t="s">
        <v>48</v>
      </c>
      <c r="C2004" s="220" t="s">
        <v>3951</v>
      </c>
      <c r="D2004" s="220" t="s">
        <v>188</v>
      </c>
      <c r="E2004" s="165">
        <v>800</v>
      </c>
    </row>
    <row r="2005" spans="1:5" x14ac:dyDescent="0.25">
      <c r="A2005" s="216" t="s">
        <v>4975</v>
      </c>
      <c r="B2005" s="218" t="s">
        <v>48</v>
      </c>
      <c r="C2005" s="220" t="s">
        <v>538</v>
      </c>
      <c r="D2005" s="220" t="s">
        <v>90</v>
      </c>
      <c r="E2005" s="165">
        <v>800</v>
      </c>
    </row>
    <row r="2006" spans="1:5" x14ac:dyDescent="0.25">
      <c r="A2006" s="216" t="s">
        <v>2614</v>
      </c>
      <c r="B2006" s="218" t="s">
        <v>48</v>
      </c>
      <c r="C2006" s="220" t="s">
        <v>1416</v>
      </c>
      <c r="D2006" s="220" t="s">
        <v>523</v>
      </c>
      <c r="E2006" s="165">
        <v>800</v>
      </c>
    </row>
    <row r="2007" spans="1:5" x14ac:dyDescent="0.25">
      <c r="A2007" s="216" t="s">
        <v>11076</v>
      </c>
      <c r="B2007" s="218" t="s">
        <v>48</v>
      </c>
      <c r="C2007" s="220" t="s">
        <v>11077</v>
      </c>
      <c r="D2007" s="220" t="s">
        <v>206</v>
      </c>
      <c r="E2007" s="165">
        <v>800</v>
      </c>
    </row>
    <row r="2008" spans="1:5" x14ac:dyDescent="0.25">
      <c r="A2008" s="216" t="s">
        <v>2917</v>
      </c>
      <c r="B2008" s="218" t="s">
        <v>48</v>
      </c>
      <c r="C2008" s="220" t="s">
        <v>2059</v>
      </c>
      <c r="D2008" s="220" t="s">
        <v>585</v>
      </c>
      <c r="E2008" s="165">
        <v>800</v>
      </c>
    </row>
    <row r="2009" spans="1:5" x14ac:dyDescent="0.25">
      <c r="A2009" s="216" t="s">
        <v>2631</v>
      </c>
      <c r="B2009" s="218" t="s">
        <v>48</v>
      </c>
      <c r="C2009" s="220" t="s">
        <v>2632</v>
      </c>
      <c r="D2009" s="220" t="s">
        <v>50</v>
      </c>
      <c r="E2009" s="165">
        <v>800</v>
      </c>
    </row>
    <row r="2010" spans="1:5" x14ac:dyDescent="0.25">
      <c r="A2010" s="216" t="s">
        <v>11078</v>
      </c>
      <c r="B2010" s="218" t="s">
        <v>48</v>
      </c>
      <c r="C2010" s="220" t="s">
        <v>8791</v>
      </c>
      <c r="D2010" s="220" t="s">
        <v>56</v>
      </c>
      <c r="E2010" s="165">
        <v>800</v>
      </c>
    </row>
    <row r="2011" spans="1:5" x14ac:dyDescent="0.25">
      <c r="A2011" s="216" t="s">
        <v>2701</v>
      </c>
      <c r="B2011" s="218" t="s">
        <v>48</v>
      </c>
      <c r="C2011" s="220" t="s">
        <v>2702</v>
      </c>
      <c r="D2011" s="220" t="s">
        <v>139</v>
      </c>
      <c r="E2011" s="165">
        <v>800</v>
      </c>
    </row>
    <row r="2012" spans="1:5" x14ac:dyDescent="0.25">
      <c r="A2012" s="216" t="s">
        <v>3148</v>
      </c>
      <c r="B2012" s="218" t="s">
        <v>48</v>
      </c>
      <c r="C2012" s="220" t="s">
        <v>3149</v>
      </c>
      <c r="D2012" s="220" t="s">
        <v>69</v>
      </c>
      <c r="E2012" s="165">
        <v>800</v>
      </c>
    </row>
    <row r="2013" spans="1:5" x14ac:dyDescent="0.25">
      <c r="A2013" s="216" t="s">
        <v>3062</v>
      </c>
      <c r="B2013" s="218" t="s">
        <v>48</v>
      </c>
      <c r="C2013" s="220" t="s">
        <v>3063</v>
      </c>
      <c r="D2013" s="220" t="s">
        <v>192</v>
      </c>
      <c r="E2013" s="165">
        <v>800</v>
      </c>
    </row>
    <row r="2014" spans="1:5" x14ac:dyDescent="0.25">
      <c r="A2014" s="216" t="s">
        <v>7807</v>
      </c>
      <c r="B2014" s="218" t="s">
        <v>48</v>
      </c>
      <c r="C2014" s="220" t="s">
        <v>7808</v>
      </c>
      <c r="D2014" s="220" t="s">
        <v>56</v>
      </c>
      <c r="E2014" s="165">
        <v>800</v>
      </c>
    </row>
    <row r="2015" spans="1:5" x14ac:dyDescent="0.25">
      <c r="A2015" s="216" t="s">
        <v>2771</v>
      </c>
      <c r="B2015" s="218" t="s">
        <v>48</v>
      </c>
      <c r="C2015" s="220" t="s">
        <v>2772</v>
      </c>
      <c r="D2015" s="220" t="s">
        <v>177</v>
      </c>
      <c r="E2015" s="165">
        <v>800</v>
      </c>
    </row>
    <row r="2016" spans="1:5" x14ac:dyDescent="0.25">
      <c r="A2016" s="216" t="s">
        <v>6606</v>
      </c>
      <c r="B2016" s="218" t="s">
        <v>48</v>
      </c>
      <c r="C2016" s="220" t="s">
        <v>2587</v>
      </c>
      <c r="D2016" s="220" t="s">
        <v>56</v>
      </c>
      <c r="E2016" s="165">
        <v>800</v>
      </c>
    </row>
    <row r="2017" spans="1:5" x14ac:dyDescent="0.25">
      <c r="A2017" s="216" t="s">
        <v>4289</v>
      </c>
      <c r="B2017" s="218" t="s">
        <v>48</v>
      </c>
      <c r="C2017" s="220" t="s">
        <v>135</v>
      </c>
      <c r="D2017" s="220" t="s">
        <v>108</v>
      </c>
      <c r="E2017" s="165">
        <v>800</v>
      </c>
    </row>
    <row r="2018" spans="1:5" x14ac:dyDescent="0.25">
      <c r="A2018" s="216" t="s">
        <v>2836</v>
      </c>
      <c r="B2018" s="218" t="s">
        <v>48</v>
      </c>
      <c r="C2018" s="220" t="s">
        <v>709</v>
      </c>
      <c r="D2018" s="220" t="s">
        <v>710</v>
      </c>
      <c r="E2018" s="165">
        <v>800</v>
      </c>
    </row>
    <row r="2019" spans="1:5" x14ac:dyDescent="0.25">
      <c r="A2019" s="216" t="s">
        <v>2900</v>
      </c>
      <c r="B2019" s="218" t="s">
        <v>48</v>
      </c>
      <c r="C2019" s="220" t="s">
        <v>2901</v>
      </c>
      <c r="D2019" s="220" t="s">
        <v>59</v>
      </c>
      <c r="E2019" s="165">
        <v>799</v>
      </c>
    </row>
    <row r="2020" spans="1:5" x14ac:dyDescent="0.25">
      <c r="A2020" s="216" t="s">
        <v>2959</v>
      </c>
      <c r="B2020" s="218">
        <v>1</v>
      </c>
      <c r="C2020" s="220" t="s">
        <v>2960</v>
      </c>
      <c r="D2020" s="220" t="s">
        <v>50</v>
      </c>
      <c r="E2020" s="165">
        <v>799</v>
      </c>
    </row>
    <row r="2021" spans="1:5" x14ac:dyDescent="0.25">
      <c r="A2021" s="216" t="s">
        <v>2820</v>
      </c>
      <c r="B2021" s="218" t="s">
        <v>48</v>
      </c>
      <c r="C2021" s="220" t="s">
        <v>473</v>
      </c>
      <c r="D2021" s="220" t="s">
        <v>82</v>
      </c>
      <c r="E2021" s="165">
        <v>799</v>
      </c>
    </row>
    <row r="2022" spans="1:5" x14ac:dyDescent="0.25">
      <c r="A2022" s="216" t="s">
        <v>3858</v>
      </c>
      <c r="B2022" s="218" t="s">
        <v>48</v>
      </c>
      <c r="C2022" s="220" t="s">
        <v>3859</v>
      </c>
      <c r="D2022" s="220" t="s">
        <v>63</v>
      </c>
      <c r="E2022" s="165">
        <v>799</v>
      </c>
    </row>
    <row r="2023" spans="1:5" x14ac:dyDescent="0.25">
      <c r="A2023" s="216" t="s">
        <v>3638</v>
      </c>
      <c r="B2023" s="218" t="s">
        <v>48</v>
      </c>
      <c r="C2023" s="220" t="s">
        <v>3639</v>
      </c>
      <c r="D2023" s="220" t="s">
        <v>523</v>
      </c>
      <c r="E2023" s="165">
        <v>798</v>
      </c>
    </row>
    <row r="2024" spans="1:5" x14ac:dyDescent="0.25">
      <c r="A2024" s="216" t="s">
        <v>10534</v>
      </c>
      <c r="B2024" s="218" t="s">
        <v>48</v>
      </c>
      <c r="C2024" s="220" t="s">
        <v>634</v>
      </c>
      <c r="D2024" s="220" t="s">
        <v>264</v>
      </c>
      <c r="E2024" s="165">
        <v>797</v>
      </c>
    </row>
    <row r="2025" spans="1:5" x14ac:dyDescent="0.25">
      <c r="A2025" s="216" t="s">
        <v>10644</v>
      </c>
      <c r="B2025" s="218" t="s">
        <v>48</v>
      </c>
      <c r="C2025" s="220" t="s">
        <v>11079</v>
      </c>
      <c r="D2025" s="220" t="s">
        <v>201</v>
      </c>
      <c r="E2025" s="165">
        <v>797</v>
      </c>
    </row>
    <row r="2026" spans="1:5" x14ac:dyDescent="0.25">
      <c r="A2026" s="216" t="s">
        <v>3127</v>
      </c>
      <c r="B2026" s="218" t="s">
        <v>48</v>
      </c>
      <c r="C2026" s="220" t="s">
        <v>3128</v>
      </c>
      <c r="D2026" s="220" t="s">
        <v>50</v>
      </c>
      <c r="E2026" s="165">
        <v>797</v>
      </c>
    </row>
    <row r="2027" spans="1:5" x14ac:dyDescent="0.25">
      <c r="A2027" s="216" t="s">
        <v>3004</v>
      </c>
      <c r="B2027" s="218">
        <v>1</v>
      </c>
      <c r="C2027" s="220" t="s">
        <v>176</v>
      </c>
      <c r="D2027" s="220" t="s">
        <v>177</v>
      </c>
      <c r="E2027" s="165">
        <v>797</v>
      </c>
    </row>
    <row r="2028" spans="1:5" x14ac:dyDescent="0.25">
      <c r="A2028" s="216" t="s">
        <v>3092</v>
      </c>
      <c r="B2028" s="218">
        <v>1</v>
      </c>
      <c r="C2028" s="220" t="s">
        <v>927</v>
      </c>
      <c r="D2028" s="220" t="s">
        <v>63</v>
      </c>
      <c r="E2028" s="165">
        <v>794</v>
      </c>
    </row>
    <row r="2029" spans="1:5" x14ac:dyDescent="0.25">
      <c r="A2029" s="216" t="s">
        <v>4186</v>
      </c>
      <c r="B2029" s="218" t="s">
        <v>48</v>
      </c>
      <c r="C2029" s="220" t="s">
        <v>843</v>
      </c>
      <c r="D2029" s="220" t="s">
        <v>59</v>
      </c>
      <c r="E2029" s="165">
        <v>794</v>
      </c>
    </row>
    <row r="2030" spans="1:5" x14ac:dyDescent="0.25">
      <c r="A2030" s="216" t="s">
        <v>3096</v>
      </c>
      <c r="B2030" s="218">
        <v>1</v>
      </c>
      <c r="C2030" s="220" t="s">
        <v>3097</v>
      </c>
      <c r="D2030" s="220" t="s">
        <v>63</v>
      </c>
      <c r="E2030" s="165">
        <v>794</v>
      </c>
    </row>
    <row r="2031" spans="1:5" x14ac:dyDescent="0.25">
      <c r="A2031" s="216" t="s">
        <v>8297</v>
      </c>
      <c r="B2031" s="218" t="s">
        <v>48</v>
      </c>
      <c r="C2031" s="220" t="s">
        <v>8298</v>
      </c>
      <c r="D2031" s="220" t="s">
        <v>59</v>
      </c>
      <c r="E2031" s="165">
        <v>792</v>
      </c>
    </row>
    <row r="2032" spans="1:5" x14ac:dyDescent="0.25">
      <c r="A2032" s="216" t="s">
        <v>2845</v>
      </c>
      <c r="B2032" s="218">
        <v>1</v>
      </c>
      <c r="C2032" s="220" t="s">
        <v>135</v>
      </c>
      <c r="D2032" s="220" t="s">
        <v>108</v>
      </c>
      <c r="E2032" s="165">
        <v>789</v>
      </c>
    </row>
    <row r="2033" spans="1:5" x14ac:dyDescent="0.25">
      <c r="A2033" s="216" t="s">
        <v>3095</v>
      </c>
      <c r="B2033" s="218" t="s">
        <v>48</v>
      </c>
      <c r="C2033" s="220" t="s">
        <v>2718</v>
      </c>
      <c r="D2033" s="220" t="s">
        <v>575</v>
      </c>
      <c r="E2033" s="165">
        <v>789</v>
      </c>
    </row>
    <row r="2034" spans="1:5" x14ac:dyDescent="0.25">
      <c r="A2034" s="216" t="s">
        <v>3098</v>
      </c>
      <c r="B2034" s="218" t="s">
        <v>48</v>
      </c>
      <c r="C2034" s="220" t="s">
        <v>3099</v>
      </c>
      <c r="D2034" s="220" t="s">
        <v>93</v>
      </c>
      <c r="E2034" s="165">
        <v>788</v>
      </c>
    </row>
    <row r="2035" spans="1:5" x14ac:dyDescent="0.25">
      <c r="A2035" s="216" t="s">
        <v>2909</v>
      </c>
      <c r="B2035" s="218">
        <v>1</v>
      </c>
      <c r="C2035" s="220" t="s">
        <v>468</v>
      </c>
      <c r="D2035" s="220" t="s">
        <v>69</v>
      </c>
      <c r="E2035" s="165">
        <v>788</v>
      </c>
    </row>
    <row r="2036" spans="1:5" x14ac:dyDescent="0.25">
      <c r="A2036" s="216" t="s">
        <v>2897</v>
      </c>
      <c r="B2036" s="218">
        <v>1</v>
      </c>
      <c r="C2036" s="220" t="s">
        <v>2898</v>
      </c>
      <c r="D2036" s="220" t="s">
        <v>517</v>
      </c>
      <c r="E2036" s="165">
        <v>786</v>
      </c>
    </row>
    <row r="2037" spans="1:5" x14ac:dyDescent="0.25">
      <c r="A2037" s="216" t="s">
        <v>4029</v>
      </c>
      <c r="B2037" s="218" t="s">
        <v>48</v>
      </c>
      <c r="C2037" s="220" t="s">
        <v>2916</v>
      </c>
      <c r="D2037" s="220" t="s">
        <v>93</v>
      </c>
      <c r="E2037" s="165">
        <v>786</v>
      </c>
    </row>
    <row r="2038" spans="1:5" x14ac:dyDescent="0.25">
      <c r="A2038" s="216" t="s">
        <v>3120</v>
      </c>
      <c r="B2038" s="218">
        <v>1</v>
      </c>
      <c r="C2038" s="220" t="s">
        <v>1628</v>
      </c>
      <c r="D2038" s="220" t="s">
        <v>63</v>
      </c>
      <c r="E2038" s="165">
        <v>785</v>
      </c>
    </row>
    <row r="2039" spans="1:5" x14ac:dyDescent="0.25">
      <c r="A2039" s="216" t="s">
        <v>3476</v>
      </c>
      <c r="B2039" s="218">
        <v>1</v>
      </c>
      <c r="C2039" s="220" t="s">
        <v>634</v>
      </c>
      <c r="D2039" s="220" t="s">
        <v>264</v>
      </c>
      <c r="E2039" s="165">
        <v>785</v>
      </c>
    </row>
    <row r="2040" spans="1:5" x14ac:dyDescent="0.25">
      <c r="A2040" s="216" t="s">
        <v>3058</v>
      </c>
      <c r="B2040" s="218" t="s">
        <v>48</v>
      </c>
      <c r="C2040" s="220" t="s">
        <v>3059</v>
      </c>
      <c r="D2040" s="220" t="s">
        <v>56</v>
      </c>
      <c r="E2040" s="165">
        <v>785</v>
      </c>
    </row>
    <row r="2041" spans="1:5" x14ac:dyDescent="0.25">
      <c r="A2041" s="216" t="s">
        <v>3683</v>
      </c>
      <c r="B2041" s="218">
        <v>1</v>
      </c>
      <c r="C2041" s="220" t="s">
        <v>2391</v>
      </c>
      <c r="D2041" s="220" t="s">
        <v>72</v>
      </c>
      <c r="E2041" s="165">
        <v>785</v>
      </c>
    </row>
    <row r="2042" spans="1:5" x14ac:dyDescent="0.25">
      <c r="A2042" s="216" t="s">
        <v>3093</v>
      </c>
      <c r="B2042" s="218" t="s">
        <v>48</v>
      </c>
      <c r="C2042" s="220" t="s">
        <v>3094</v>
      </c>
      <c r="D2042" s="220" t="s">
        <v>59</v>
      </c>
      <c r="E2042" s="165">
        <v>784</v>
      </c>
    </row>
    <row r="2043" spans="1:5" x14ac:dyDescent="0.25">
      <c r="A2043" s="216" t="s">
        <v>3040</v>
      </c>
      <c r="B2043" s="218">
        <v>1</v>
      </c>
      <c r="C2043" s="220" t="s">
        <v>3041</v>
      </c>
      <c r="D2043" s="220" t="s">
        <v>78</v>
      </c>
      <c r="E2043" s="165">
        <v>784</v>
      </c>
    </row>
    <row r="2044" spans="1:5" x14ac:dyDescent="0.25">
      <c r="A2044" s="216" t="s">
        <v>1985</v>
      </c>
      <c r="B2044" s="218" t="s">
        <v>48</v>
      </c>
      <c r="C2044" s="220" t="s">
        <v>1986</v>
      </c>
      <c r="D2044" s="220" t="s">
        <v>585</v>
      </c>
      <c r="E2044" s="165">
        <v>784</v>
      </c>
    </row>
    <row r="2045" spans="1:5" x14ac:dyDescent="0.25">
      <c r="A2045" s="216" t="s">
        <v>2490</v>
      </c>
      <c r="B2045" s="218">
        <v>1</v>
      </c>
      <c r="C2045" s="220" t="s">
        <v>2491</v>
      </c>
      <c r="D2045" s="220" t="s">
        <v>166</v>
      </c>
      <c r="E2045" s="165">
        <v>784</v>
      </c>
    </row>
    <row r="2046" spans="1:5" x14ac:dyDescent="0.25">
      <c r="A2046" s="216" t="s">
        <v>2760</v>
      </c>
      <c r="B2046" s="218" t="s">
        <v>48</v>
      </c>
      <c r="C2046" s="220" t="s">
        <v>1986</v>
      </c>
      <c r="D2046" s="220" t="s">
        <v>585</v>
      </c>
      <c r="E2046" s="165">
        <v>784</v>
      </c>
    </row>
    <row r="2047" spans="1:5" x14ac:dyDescent="0.25">
      <c r="A2047" s="216" t="s">
        <v>2475</v>
      </c>
      <c r="B2047" s="218" t="s">
        <v>48</v>
      </c>
      <c r="C2047" s="220" t="s">
        <v>89</v>
      </c>
      <c r="D2047" s="220" t="s">
        <v>90</v>
      </c>
      <c r="E2047" s="165">
        <v>783</v>
      </c>
    </row>
    <row r="2048" spans="1:5" x14ac:dyDescent="0.25">
      <c r="A2048" s="216" t="s">
        <v>2852</v>
      </c>
      <c r="B2048" s="218">
        <v>1</v>
      </c>
      <c r="C2048" s="220" t="s">
        <v>1006</v>
      </c>
      <c r="D2048" s="220" t="s">
        <v>277</v>
      </c>
      <c r="E2048" s="165">
        <v>782</v>
      </c>
    </row>
    <row r="2049" spans="1:5" x14ac:dyDescent="0.25">
      <c r="A2049" s="216" t="s">
        <v>3246</v>
      </c>
      <c r="B2049" s="218">
        <v>1</v>
      </c>
      <c r="C2049" s="220" t="s">
        <v>138</v>
      </c>
      <c r="D2049" s="220" t="s">
        <v>139</v>
      </c>
      <c r="E2049" s="165">
        <v>781</v>
      </c>
    </row>
    <row r="2050" spans="1:5" x14ac:dyDescent="0.25">
      <c r="A2050" s="216" t="s">
        <v>3138</v>
      </c>
      <c r="B2050" s="218" t="s">
        <v>48</v>
      </c>
      <c r="C2050" s="220" t="s">
        <v>3139</v>
      </c>
      <c r="D2050" s="220" t="s">
        <v>59</v>
      </c>
      <c r="E2050" s="165">
        <v>781</v>
      </c>
    </row>
    <row r="2051" spans="1:5" x14ac:dyDescent="0.25">
      <c r="A2051" s="216" t="s">
        <v>9649</v>
      </c>
      <c r="B2051" s="218" t="s">
        <v>48</v>
      </c>
      <c r="C2051" s="220" t="s">
        <v>266</v>
      </c>
      <c r="D2051" s="220" t="s">
        <v>206</v>
      </c>
      <c r="E2051" s="165">
        <v>781</v>
      </c>
    </row>
    <row r="2052" spans="1:5" x14ac:dyDescent="0.25">
      <c r="A2052" s="216" t="s">
        <v>3810</v>
      </c>
      <c r="B2052" s="218" t="s">
        <v>48</v>
      </c>
      <c r="C2052" s="220" t="s">
        <v>393</v>
      </c>
      <c r="D2052" s="220" t="s">
        <v>166</v>
      </c>
      <c r="E2052" s="165">
        <v>781</v>
      </c>
    </row>
    <row r="2053" spans="1:5" x14ac:dyDescent="0.25">
      <c r="A2053" s="216" t="s">
        <v>3477</v>
      </c>
      <c r="B2053" s="218" t="s">
        <v>48</v>
      </c>
      <c r="C2053" s="220" t="s">
        <v>238</v>
      </c>
      <c r="D2053" s="220" t="s">
        <v>93</v>
      </c>
      <c r="E2053" s="165">
        <v>780</v>
      </c>
    </row>
    <row r="2054" spans="1:5" x14ac:dyDescent="0.25">
      <c r="A2054" s="216" t="s">
        <v>3332</v>
      </c>
      <c r="B2054" s="218" t="s">
        <v>48</v>
      </c>
      <c r="C2054" s="220" t="s">
        <v>3333</v>
      </c>
      <c r="D2054" s="220" t="s">
        <v>710</v>
      </c>
      <c r="E2054" s="165">
        <v>780</v>
      </c>
    </row>
    <row r="2055" spans="1:5" x14ac:dyDescent="0.25">
      <c r="A2055" s="216" t="s">
        <v>3415</v>
      </c>
      <c r="B2055" s="218">
        <v>1</v>
      </c>
      <c r="C2055" s="220" t="s">
        <v>86</v>
      </c>
      <c r="D2055" s="220" t="s">
        <v>78</v>
      </c>
      <c r="E2055" s="165">
        <v>780</v>
      </c>
    </row>
    <row r="2056" spans="1:5" x14ac:dyDescent="0.25">
      <c r="A2056" s="216" t="s">
        <v>3442</v>
      </c>
      <c r="B2056" s="218" t="s">
        <v>48</v>
      </c>
      <c r="C2056" s="220" t="s">
        <v>144</v>
      </c>
      <c r="D2056" s="220" t="s">
        <v>59</v>
      </c>
      <c r="E2056" s="165">
        <v>780</v>
      </c>
    </row>
    <row r="2057" spans="1:5" x14ac:dyDescent="0.25">
      <c r="A2057" s="216" t="s">
        <v>2911</v>
      </c>
      <c r="B2057" s="218" t="s">
        <v>48</v>
      </c>
      <c r="C2057" s="220" t="s">
        <v>2912</v>
      </c>
      <c r="D2057" s="220" t="s">
        <v>69</v>
      </c>
      <c r="E2057" s="165">
        <v>780</v>
      </c>
    </row>
    <row r="2058" spans="1:5" x14ac:dyDescent="0.25">
      <c r="A2058" s="216" t="s">
        <v>2949</v>
      </c>
      <c r="B2058" s="218" t="s">
        <v>48</v>
      </c>
      <c r="C2058" s="220" t="s">
        <v>1963</v>
      </c>
      <c r="D2058" s="220" t="s">
        <v>90</v>
      </c>
      <c r="E2058" s="165">
        <v>780</v>
      </c>
    </row>
    <row r="2059" spans="1:5" x14ac:dyDescent="0.25">
      <c r="A2059" s="216" t="s">
        <v>3075</v>
      </c>
      <c r="B2059" s="218">
        <v>1</v>
      </c>
      <c r="C2059" s="220" t="s">
        <v>3076</v>
      </c>
      <c r="D2059" s="220" t="s">
        <v>66</v>
      </c>
      <c r="E2059" s="165">
        <v>779</v>
      </c>
    </row>
    <row r="2060" spans="1:5" x14ac:dyDescent="0.25">
      <c r="A2060" s="216" t="s">
        <v>6470</v>
      </c>
      <c r="B2060" s="218">
        <v>1</v>
      </c>
      <c r="C2060" s="220" t="s">
        <v>371</v>
      </c>
      <c r="D2060" s="220" t="s">
        <v>69</v>
      </c>
      <c r="E2060" s="165">
        <v>779</v>
      </c>
    </row>
    <row r="2061" spans="1:5" x14ac:dyDescent="0.25">
      <c r="A2061" s="216" t="s">
        <v>3217</v>
      </c>
      <c r="B2061" s="218" t="s">
        <v>48</v>
      </c>
      <c r="C2061" s="220" t="s">
        <v>1500</v>
      </c>
      <c r="D2061" s="220" t="s">
        <v>98</v>
      </c>
      <c r="E2061" s="165">
        <v>778</v>
      </c>
    </row>
    <row r="2062" spans="1:5" x14ac:dyDescent="0.25">
      <c r="A2062" s="216" t="s">
        <v>3177</v>
      </c>
      <c r="B2062" s="218" t="s">
        <v>48</v>
      </c>
      <c r="C2062" s="220" t="s">
        <v>289</v>
      </c>
      <c r="D2062" s="220" t="s">
        <v>69</v>
      </c>
      <c r="E2062" s="165">
        <v>777</v>
      </c>
    </row>
    <row r="2063" spans="1:5" x14ac:dyDescent="0.25">
      <c r="A2063" s="216" t="s">
        <v>3037</v>
      </c>
      <c r="B2063" s="218" t="s">
        <v>48</v>
      </c>
      <c r="C2063" s="220" t="s">
        <v>3038</v>
      </c>
      <c r="D2063" s="220" t="s">
        <v>59</v>
      </c>
      <c r="E2063" s="165">
        <v>777</v>
      </c>
    </row>
    <row r="2064" spans="1:5" x14ac:dyDescent="0.25">
      <c r="A2064" s="216" t="s">
        <v>4293</v>
      </c>
      <c r="B2064" s="218" t="s">
        <v>48</v>
      </c>
      <c r="C2064" s="220" t="s">
        <v>4294</v>
      </c>
      <c r="D2064" s="220" t="s">
        <v>63</v>
      </c>
      <c r="E2064" s="165">
        <v>776</v>
      </c>
    </row>
    <row r="2065" spans="1:5" x14ac:dyDescent="0.25">
      <c r="A2065" s="216" t="s">
        <v>2682</v>
      </c>
      <c r="B2065" s="218" t="s">
        <v>48</v>
      </c>
      <c r="C2065" s="220" t="s">
        <v>58</v>
      </c>
      <c r="D2065" s="220" t="s">
        <v>59</v>
      </c>
      <c r="E2065" s="165">
        <v>775</v>
      </c>
    </row>
    <row r="2066" spans="1:5" x14ac:dyDescent="0.25">
      <c r="A2066" s="216" t="s">
        <v>3284</v>
      </c>
      <c r="B2066" s="218" t="s">
        <v>48</v>
      </c>
      <c r="C2066" s="220" t="s">
        <v>198</v>
      </c>
      <c r="D2066" s="220" t="s">
        <v>63</v>
      </c>
      <c r="E2066" s="165">
        <v>775</v>
      </c>
    </row>
    <row r="2067" spans="1:5" x14ac:dyDescent="0.25">
      <c r="A2067" s="216" t="s">
        <v>11080</v>
      </c>
      <c r="B2067" s="218">
        <v>1</v>
      </c>
      <c r="C2067" s="220" t="s">
        <v>2912</v>
      </c>
      <c r="D2067" s="220" t="s">
        <v>69</v>
      </c>
      <c r="E2067" s="165">
        <v>775</v>
      </c>
    </row>
    <row r="2068" spans="1:5" x14ac:dyDescent="0.25">
      <c r="A2068" s="216" t="s">
        <v>3737</v>
      </c>
      <c r="B2068" s="218" t="s">
        <v>48</v>
      </c>
      <c r="C2068" s="220" t="s">
        <v>3738</v>
      </c>
      <c r="D2068" s="220" t="s">
        <v>93</v>
      </c>
      <c r="E2068" s="165">
        <v>773</v>
      </c>
    </row>
    <row r="2069" spans="1:5" x14ac:dyDescent="0.25">
      <c r="A2069" s="216" t="s">
        <v>4887</v>
      </c>
      <c r="B2069" s="218" t="s">
        <v>48</v>
      </c>
      <c r="C2069" s="220" t="s">
        <v>68</v>
      </c>
      <c r="D2069" s="220" t="s">
        <v>63</v>
      </c>
      <c r="E2069" s="165">
        <v>772</v>
      </c>
    </row>
    <row r="2070" spans="1:5" x14ac:dyDescent="0.25">
      <c r="A2070" s="216" t="s">
        <v>3065</v>
      </c>
      <c r="B2070" s="218">
        <v>1</v>
      </c>
      <c r="C2070" s="220" t="s">
        <v>289</v>
      </c>
      <c r="D2070" s="220" t="s">
        <v>69</v>
      </c>
      <c r="E2070" s="165">
        <v>772</v>
      </c>
    </row>
    <row r="2071" spans="1:5" x14ac:dyDescent="0.25">
      <c r="A2071" s="216" t="s">
        <v>3066</v>
      </c>
      <c r="B2071" s="218">
        <v>1</v>
      </c>
      <c r="C2071" s="220" t="s">
        <v>289</v>
      </c>
      <c r="D2071" s="220" t="s">
        <v>69</v>
      </c>
      <c r="E2071" s="165">
        <v>772</v>
      </c>
    </row>
    <row r="2072" spans="1:5" x14ac:dyDescent="0.25">
      <c r="A2072" s="216" t="s">
        <v>3919</v>
      </c>
      <c r="B2072" s="218" t="s">
        <v>48</v>
      </c>
      <c r="C2072" s="220" t="s">
        <v>684</v>
      </c>
      <c r="D2072" s="220" t="s">
        <v>264</v>
      </c>
      <c r="E2072" s="165">
        <v>771</v>
      </c>
    </row>
    <row r="2073" spans="1:5" x14ac:dyDescent="0.25">
      <c r="A2073" s="216" t="s">
        <v>3084</v>
      </c>
      <c r="B2073" s="218">
        <v>1</v>
      </c>
      <c r="C2073" s="220" t="s">
        <v>727</v>
      </c>
      <c r="D2073" s="220" t="s">
        <v>66</v>
      </c>
      <c r="E2073" s="165">
        <v>770</v>
      </c>
    </row>
    <row r="2074" spans="1:5" x14ac:dyDescent="0.25">
      <c r="A2074" s="216" t="s">
        <v>2510</v>
      </c>
      <c r="B2074" s="218" t="s">
        <v>48</v>
      </c>
      <c r="C2074" s="220" t="s">
        <v>138</v>
      </c>
      <c r="D2074" s="220" t="s">
        <v>139</v>
      </c>
      <c r="E2074" s="165">
        <v>770</v>
      </c>
    </row>
    <row r="2075" spans="1:5" x14ac:dyDescent="0.25">
      <c r="A2075" s="216" t="s">
        <v>3115</v>
      </c>
      <c r="B2075" s="218">
        <v>1</v>
      </c>
      <c r="C2075" s="220" t="s">
        <v>179</v>
      </c>
      <c r="D2075" s="220" t="s">
        <v>66</v>
      </c>
      <c r="E2075" s="165">
        <v>769</v>
      </c>
    </row>
    <row r="2076" spans="1:5" x14ac:dyDescent="0.25">
      <c r="A2076" s="216" t="s">
        <v>3857</v>
      </c>
      <c r="B2076" s="218" t="s">
        <v>48</v>
      </c>
      <c r="C2076" s="220" t="s">
        <v>498</v>
      </c>
      <c r="D2076" s="220" t="s">
        <v>75</v>
      </c>
      <c r="E2076" s="165">
        <v>769</v>
      </c>
    </row>
    <row r="2077" spans="1:5" x14ac:dyDescent="0.25">
      <c r="A2077" s="216" t="s">
        <v>3673</v>
      </c>
      <c r="B2077" s="218">
        <v>1</v>
      </c>
      <c r="C2077" s="220" t="s">
        <v>238</v>
      </c>
      <c r="D2077" s="220" t="s">
        <v>130</v>
      </c>
      <c r="E2077" s="165">
        <v>766</v>
      </c>
    </row>
    <row r="2078" spans="1:5" x14ac:dyDescent="0.25">
      <c r="A2078" s="216" t="s">
        <v>3070</v>
      </c>
      <c r="B2078" s="218">
        <v>1</v>
      </c>
      <c r="C2078" s="220" t="s">
        <v>509</v>
      </c>
      <c r="D2078" s="220" t="s">
        <v>56</v>
      </c>
      <c r="E2078" s="165">
        <v>766</v>
      </c>
    </row>
    <row r="2079" spans="1:5" x14ac:dyDescent="0.25">
      <c r="A2079" s="216" t="s">
        <v>3547</v>
      </c>
      <c r="B2079" s="218" t="s">
        <v>48</v>
      </c>
      <c r="C2079" s="220" t="s">
        <v>1414</v>
      </c>
      <c r="D2079" s="220" t="s">
        <v>139</v>
      </c>
      <c r="E2079" s="165">
        <v>765</v>
      </c>
    </row>
    <row r="2080" spans="1:5" x14ac:dyDescent="0.25">
      <c r="A2080" s="216" t="s">
        <v>3413</v>
      </c>
      <c r="B2080" s="218" t="s">
        <v>48</v>
      </c>
      <c r="C2080" s="220" t="s">
        <v>3192</v>
      </c>
      <c r="D2080" s="220" t="s">
        <v>192</v>
      </c>
      <c r="E2080" s="165">
        <v>765</v>
      </c>
    </row>
    <row r="2081" spans="1:5" x14ac:dyDescent="0.25">
      <c r="A2081" s="216" t="s">
        <v>2511</v>
      </c>
      <c r="B2081" s="218" t="s">
        <v>48</v>
      </c>
      <c r="C2081" s="220" t="s">
        <v>1174</v>
      </c>
      <c r="D2081" s="220" t="s">
        <v>90</v>
      </c>
      <c r="E2081" s="165">
        <v>763</v>
      </c>
    </row>
    <row r="2082" spans="1:5" x14ac:dyDescent="0.25">
      <c r="A2082" s="216" t="s">
        <v>3071</v>
      </c>
      <c r="B2082" s="218">
        <v>1</v>
      </c>
      <c r="C2082" s="220" t="s">
        <v>1275</v>
      </c>
      <c r="D2082" s="220" t="s">
        <v>78</v>
      </c>
      <c r="E2082" s="165">
        <v>763</v>
      </c>
    </row>
    <row r="2083" spans="1:5" x14ac:dyDescent="0.25">
      <c r="A2083" s="216" t="s">
        <v>3271</v>
      </c>
      <c r="B2083" s="218">
        <v>1</v>
      </c>
      <c r="C2083" s="220" t="s">
        <v>3272</v>
      </c>
      <c r="D2083" s="220" t="s">
        <v>201</v>
      </c>
      <c r="E2083" s="165">
        <v>762</v>
      </c>
    </row>
    <row r="2084" spans="1:5" x14ac:dyDescent="0.25">
      <c r="A2084" s="216" t="s">
        <v>11081</v>
      </c>
      <c r="B2084" s="218">
        <v>1</v>
      </c>
      <c r="C2084" s="220" t="s">
        <v>11082</v>
      </c>
      <c r="D2084" s="220" t="s">
        <v>113</v>
      </c>
      <c r="E2084" s="165">
        <v>762</v>
      </c>
    </row>
    <row r="2085" spans="1:5" x14ac:dyDescent="0.25">
      <c r="A2085" s="216" t="s">
        <v>3116</v>
      </c>
      <c r="B2085" s="218">
        <v>1</v>
      </c>
      <c r="C2085" s="220" t="s">
        <v>845</v>
      </c>
      <c r="D2085" s="220" t="s">
        <v>66</v>
      </c>
      <c r="E2085" s="165">
        <v>761</v>
      </c>
    </row>
    <row r="2086" spans="1:5" x14ac:dyDescent="0.25">
      <c r="A2086" s="216" t="s">
        <v>5145</v>
      </c>
      <c r="B2086" s="218" t="s">
        <v>48</v>
      </c>
      <c r="C2086" s="220" t="s">
        <v>5045</v>
      </c>
      <c r="D2086" s="220" t="s">
        <v>56</v>
      </c>
      <c r="E2086" s="165">
        <v>760</v>
      </c>
    </row>
    <row r="2087" spans="1:5" x14ac:dyDescent="0.25">
      <c r="A2087" s="216" t="s">
        <v>2273</v>
      </c>
      <c r="B2087" s="218" t="s">
        <v>48</v>
      </c>
      <c r="C2087" s="220" t="s">
        <v>2274</v>
      </c>
      <c r="D2087" s="220" t="s">
        <v>90</v>
      </c>
      <c r="E2087" s="165">
        <v>760</v>
      </c>
    </row>
    <row r="2088" spans="1:5" x14ac:dyDescent="0.25">
      <c r="A2088" s="216" t="s">
        <v>1833</v>
      </c>
      <c r="B2088" s="218">
        <v>1</v>
      </c>
      <c r="C2088" s="220" t="s">
        <v>86</v>
      </c>
      <c r="D2088" s="220" t="s">
        <v>78</v>
      </c>
      <c r="E2088" s="165">
        <v>759</v>
      </c>
    </row>
    <row r="2089" spans="1:5" x14ac:dyDescent="0.25">
      <c r="A2089" s="216" t="s">
        <v>2982</v>
      </c>
      <c r="B2089" s="218">
        <v>1</v>
      </c>
      <c r="C2089" s="220" t="s">
        <v>2983</v>
      </c>
      <c r="D2089" s="220" t="s">
        <v>69</v>
      </c>
      <c r="E2089" s="165">
        <v>759</v>
      </c>
    </row>
    <row r="2090" spans="1:5" x14ac:dyDescent="0.25">
      <c r="A2090" s="216" t="s">
        <v>2837</v>
      </c>
      <c r="B2090" s="218" t="s">
        <v>48</v>
      </c>
      <c r="C2090" s="220" t="s">
        <v>2838</v>
      </c>
      <c r="D2090" s="220" t="s">
        <v>108</v>
      </c>
      <c r="E2090" s="165">
        <v>759</v>
      </c>
    </row>
    <row r="2091" spans="1:5" x14ac:dyDescent="0.25">
      <c r="A2091" s="216" t="s">
        <v>3489</v>
      </c>
      <c r="B2091" s="218">
        <v>1</v>
      </c>
      <c r="C2091" s="220" t="s">
        <v>756</v>
      </c>
      <c r="D2091" s="220" t="s">
        <v>66</v>
      </c>
      <c r="E2091" s="165">
        <v>757</v>
      </c>
    </row>
    <row r="2092" spans="1:5" x14ac:dyDescent="0.25">
      <c r="A2092" s="216" t="s">
        <v>7416</v>
      </c>
      <c r="B2092" s="218" t="s">
        <v>48</v>
      </c>
      <c r="C2092" s="220" t="s">
        <v>1610</v>
      </c>
      <c r="D2092" s="220" t="s">
        <v>166</v>
      </c>
      <c r="E2092" s="165">
        <v>757</v>
      </c>
    </row>
    <row r="2093" spans="1:5" x14ac:dyDescent="0.25">
      <c r="A2093" s="216" t="s">
        <v>2853</v>
      </c>
      <c r="B2093" s="218">
        <v>1</v>
      </c>
      <c r="C2093" s="220" t="s">
        <v>2854</v>
      </c>
      <c r="D2093" s="220" t="s">
        <v>72</v>
      </c>
      <c r="E2093" s="165">
        <v>757</v>
      </c>
    </row>
    <row r="2094" spans="1:5" x14ac:dyDescent="0.25">
      <c r="A2094" s="216" t="s">
        <v>2322</v>
      </c>
      <c r="B2094" s="218" t="s">
        <v>48</v>
      </c>
      <c r="C2094" s="220" t="s">
        <v>135</v>
      </c>
      <c r="D2094" s="220" t="s">
        <v>108</v>
      </c>
      <c r="E2094" s="165">
        <v>757</v>
      </c>
    </row>
    <row r="2095" spans="1:5" x14ac:dyDescent="0.25">
      <c r="A2095" s="216" t="s">
        <v>3157</v>
      </c>
      <c r="B2095" s="218">
        <v>1</v>
      </c>
      <c r="C2095" s="220" t="s">
        <v>3158</v>
      </c>
      <c r="D2095" s="220" t="s">
        <v>66</v>
      </c>
      <c r="E2095" s="165">
        <v>756</v>
      </c>
    </row>
    <row r="2096" spans="1:5" x14ac:dyDescent="0.25">
      <c r="A2096" s="216" t="s">
        <v>2542</v>
      </c>
      <c r="B2096" s="218" t="s">
        <v>48</v>
      </c>
      <c r="C2096" s="220" t="s">
        <v>2543</v>
      </c>
      <c r="D2096" s="220" t="s">
        <v>63</v>
      </c>
      <c r="E2096" s="165">
        <v>755</v>
      </c>
    </row>
    <row r="2097" spans="1:5" x14ac:dyDescent="0.25">
      <c r="A2097" s="216" t="s">
        <v>3268</v>
      </c>
      <c r="B2097" s="218">
        <v>1</v>
      </c>
      <c r="C2097" s="220" t="s">
        <v>3269</v>
      </c>
      <c r="D2097" s="220" t="s">
        <v>56</v>
      </c>
      <c r="E2097" s="165">
        <v>755</v>
      </c>
    </row>
    <row r="2098" spans="1:5" x14ac:dyDescent="0.25">
      <c r="A2098" s="216" t="s">
        <v>3002</v>
      </c>
      <c r="B2098" s="218" t="s">
        <v>48</v>
      </c>
      <c r="C2098" s="220" t="s">
        <v>3003</v>
      </c>
      <c r="D2098" s="220" t="s">
        <v>87</v>
      </c>
      <c r="E2098" s="165">
        <v>755</v>
      </c>
    </row>
    <row r="2099" spans="1:5" x14ac:dyDescent="0.25">
      <c r="A2099" s="216" t="s">
        <v>3305</v>
      </c>
      <c r="B2099" s="218" t="s">
        <v>48</v>
      </c>
      <c r="C2099" s="220" t="s">
        <v>3306</v>
      </c>
      <c r="D2099" s="220" t="s">
        <v>710</v>
      </c>
      <c r="E2099" s="165">
        <v>754</v>
      </c>
    </row>
    <row r="2100" spans="1:5" x14ac:dyDescent="0.25">
      <c r="A2100" s="216" t="s">
        <v>3011</v>
      </c>
      <c r="B2100" s="218" t="s">
        <v>48</v>
      </c>
      <c r="C2100" s="220" t="s">
        <v>71</v>
      </c>
      <c r="D2100" s="220" t="s">
        <v>166</v>
      </c>
      <c r="E2100" s="165">
        <v>754</v>
      </c>
    </row>
    <row r="2101" spans="1:5" x14ac:dyDescent="0.25">
      <c r="A2101" s="216" t="s">
        <v>3072</v>
      </c>
      <c r="B2101" s="218">
        <v>1</v>
      </c>
      <c r="C2101" s="220" t="s">
        <v>3073</v>
      </c>
      <c r="D2101" s="220" t="s">
        <v>98</v>
      </c>
      <c r="E2101" s="165">
        <v>753</v>
      </c>
    </row>
    <row r="2102" spans="1:5" x14ac:dyDescent="0.25">
      <c r="A2102" s="216" t="s">
        <v>2881</v>
      </c>
      <c r="B2102" s="218">
        <v>1</v>
      </c>
      <c r="C2102" s="220" t="s">
        <v>138</v>
      </c>
      <c r="D2102" s="220" t="s">
        <v>139</v>
      </c>
      <c r="E2102" s="165">
        <v>753</v>
      </c>
    </row>
    <row r="2103" spans="1:5" x14ac:dyDescent="0.25">
      <c r="A2103" s="216" t="s">
        <v>3219</v>
      </c>
      <c r="B2103" s="218" t="s">
        <v>48</v>
      </c>
      <c r="C2103" s="220" t="s">
        <v>1819</v>
      </c>
      <c r="D2103" s="220" t="s">
        <v>277</v>
      </c>
      <c r="E2103" s="165">
        <v>752</v>
      </c>
    </row>
    <row r="2104" spans="1:5" x14ac:dyDescent="0.25">
      <c r="A2104" s="216" t="s">
        <v>3105</v>
      </c>
      <c r="B2104" s="218" t="s">
        <v>48</v>
      </c>
      <c r="C2104" s="220" t="s">
        <v>3106</v>
      </c>
      <c r="D2104" s="220" t="s">
        <v>56</v>
      </c>
      <c r="E2104" s="165">
        <v>752</v>
      </c>
    </row>
    <row r="2105" spans="1:5" x14ac:dyDescent="0.25">
      <c r="A2105" s="216" t="s">
        <v>3535</v>
      </c>
      <c r="B2105" s="218" t="s">
        <v>48</v>
      </c>
      <c r="C2105" s="220" t="s">
        <v>952</v>
      </c>
      <c r="D2105" s="220" t="s">
        <v>75</v>
      </c>
      <c r="E2105" s="165">
        <v>751</v>
      </c>
    </row>
    <row r="2106" spans="1:5" x14ac:dyDescent="0.25">
      <c r="A2106" s="216" t="s">
        <v>3185</v>
      </c>
      <c r="B2106" s="218">
        <v>1</v>
      </c>
      <c r="C2106" s="220" t="s">
        <v>556</v>
      </c>
      <c r="D2106" s="220" t="s">
        <v>222</v>
      </c>
      <c r="E2106" s="165">
        <v>751</v>
      </c>
    </row>
    <row r="2107" spans="1:5" x14ac:dyDescent="0.25">
      <c r="A2107" s="216" t="s">
        <v>3538</v>
      </c>
      <c r="B2107" s="218" t="s">
        <v>48</v>
      </c>
      <c r="C2107" s="220" t="s">
        <v>473</v>
      </c>
      <c r="D2107" s="220" t="s">
        <v>82</v>
      </c>
      <c r="E2107" s="165">
        <v>750</v>
      </c>
    </row>
    <row r="2108" spans="1:5" x14ac:dyDescent="0.25">
      <c r="A2108" s="216" t="s">
        <v>3837</v>
      </c>
      <c r="B2108" s="218" t="s">
        <v>48</v>
      </c>
      <c r="C2108" s="220" t="s">
        <v>61</v>
      </c>
      <c r="D2108" s="220" t="s">
        <v>56</v>
      </c>
      <c r="E2108" s="165">
        <v>750</v>
      </c>
    </row>
    <row r="2109" spans="1:5" x14ac:dyDescent="0.25">
      <c r="A2109" s="216" t="s">
        <v>2285</v>
      </c>
      <c r="B2109" s="218" t="s">
        <v>48</v>
      </c>
      <c r="C2109" s="220" t="s">
        <v>390</v>
      </c>
      <c r="D2109" s="220" t="s">
        <v>93</v>
      </c>
      <c r="E2109" s="165">
        <v>750</v>
      </c>
    </row>
    <row r="2110" spans="1:5" x14ac:dyDescent="0.25">
      <c r="A2110" s="216" t="s">
        <v>3534</v>
      </c>
      <c r="B2110" s="218" t="s">
        <v>48</v>
      </c>
      <c r="C2110" s="220" t="s">
        <v>1293</v>
      </c>
      <c r="D2110" s="220" t="s">
        <v>108</v>
      </c>
      <c r="E2110" s="165">
        <v>750</v>
      </c>
    </row>
    <row r="2111" spans="1:5" x14ac:dyDescent="0.25">
      <c r="A2111" s="216" t="s">
        <v>11083</v>
      </c>
      <c r="B2111" s="218" t="s">
        <v>48</v>
      </c>
      <c r="C2111" s="220" t="s">
        <v>11084</v>
      </c>
      <c r="D2111" s="220" t="s">
        <v>56</v>
      </c>
      <c r="E2111" s="165">
        <v>750</v>
      </c>
    </row>
    <row r="2112" spans="1:5" x14ac:dyDescent="0.25">
      <c r="A2112" s="216" t="s">
        <v>3979</v>
      </c>
      <c r="B2112" s="218" t="s">
        <v>48</v>
      </c>
      <c r="C2112" s="220" t="s">
        <v>3980</v>
      </c>
      <c r="D2112" s="220" t="s">
        <v>75</v>
      </c>
      <c r="E2112" s="165">
        <v>750</v>
      </c>
    </row>
    <row r="2113" spans="1:5" x14ac:dyDescent="0.25">
      <c r="A2113" s="216" t="s">
        <v>7450</v>
      </c>
      <c r="B2113" s="218" t="s">
        <v>48</v>
      </c>
      <c r="C2113" s="220" t="s">
        <v>7451</v>
      </c>
      <c r="D2113" s="220" t="s">
        <v>90</v>
      </c>
      <c r="E2113" s="165">
        <v>750</v>
      </c>
    </row>
    <row r="2114" spans="1:5" x14ac:dyDescent="0.25">
      <c r="A2114" s="216" t="s">
        <v>11085</v>
      </c>
      <c r="B2114" s="218" t="s">
        <v>48</v>
      </c>
      <c r="C2114" s="220" t="s">
        <v>7451</v>
      </c>
      <c r="D2114" s="220" t="s">
        <v>90</v>
      </c>
      <c r="E2114" s="165">
        <v>750</v>
      </c>
    </row>
    <row r="2115" spans="1:5" x14ac:dyDescent="0.25">
      <c r="A2115" s="216" t="s">
        <v>3806</v>
      </c>
      <c r="B2115" s="218" t="s">
        <v>48</v>
      </c>
      <c r="C2115" s="220" t="s">
        <v>68</v>
      </c>
      <c r="D2115" s="220" t="s">
        <v>63</v>
      </c>
      <c r="E2115" s="165">
        <v>750</v>
      </c>
    </row>
    <row r="2116" spans="1:5" x14ac:dyDescent="0.25">
      <c r="A2116" s="216" t="s">
        <v>3286</v>
      </c>
      <c r="B2116" s="218">
        <v>1</v>
      </c>
      <c r="C2116" s="220" t="s">
        <v>1821</v>
      </c>
      <c r="D2116" s="220" t="s">
        <v>56</v>
      </c>
      <c r="E2116" s="165">
        <v>750</v>
      </c>
    </row>
    <row r="2117" spans="1:5" x14ac:dyDescent="0.25">
      <c r="A2117" s="216" t="s">
        <v>3122</v>
      </c>
      <c r="B2117" s="218">
        <v>1</v>
      </c>
      <c r="C2117" s="220" t="s">
        <v>3123</v>
      </c>
      <c r="D2117" s="220" t="s">
        <v>56</v>
      </c>
      <c r="E2117" s="165">
        <v>749</v>
      </c>
    </row>
    <row r="2118" spans="1:5" x14ac:dyDescent="0.25">
      <c r="A2118" s="216" t="s">
        <v>3124</v>
      </c>
      <c r="B2118" s="218">
        <v>1</v>
      </c>
      <c r="C2118" s="220" t="s">
        <v>1525</v>
      </c>
      <c r="D2118" s="220" t="s">
        <v>56</v>
      </c>
      <c r="E2118" s="165">
        <v>749</v>
      </c>
    </row>
    <row r="2119" spans="1:5" x14ac:dyDescent="0.25">
      <c r="A2119" s="216" t="s">
        <v>3732</v>
      </c>
      <c r="B2119" s="218">
        <v>1</v>
      </c>
      <c r="C2119" s="220" t="s">
        <v>1345</v>
      </c>
      <c r="D2119" s="220" t="s">
        <v>130</v>
      </c>
      <c r="E2119" s="165">
        <v>749</v>
      </c>
    </row>
    <row r="2120" spans="1:5" x14ac:dyDescent="0.25">
      <c r="A2120" s="216" t="s">
        <v>3625</v>
      </c>
      <c r="B2120" s="218" t="s">
        <v>48</v>
      </c>
      <c r="C2120" s="220" t="s">
        <v>428</v>
      </c>
      <c r="D2120" s="220" t="s">
        <v>394</v>
      </c>
      <c r="E2120" s="165">
        <v>749</v>
      </c>
    </row>
    <row r="2121" spans="1:5" x14ac:dyDescent="0.25">
      <c r="A2121" s="216" t="s">
        <v>8501</v>
      </c>
      <c r="B2121" s="218">
        <v>1</v>
      </c>
      <c r="C2121" s="220" t="s">
        <v>8502</v>
      </c>
      <c r="D2121" s="220" t="s">
        <v>50</v>
      </c>
      <c r="E2121" s="165">
        <v>748</v>
      </c>
    </row>
    <row r="2122" spans="1:5" x14ac:dyDescent="0.25">
      <c r="A2122" s="216" t="s">
        <v>2732</v>
      </c>
      <c r="B2122" s="218" t="s">
        <v>48</v>
      </c>
      <c r="C2122" s="220" t="s">
        <v>2733</v>
      </c>
      <c r="D2122" s="220" t="s">
        <v>59</v>
      </c>
      <c r="E2122" s="165">
        <v>747</v>
      </c>
    </row>
    <row r="2123" spans="1:5" x14ac:dyDescent="0.25">
      <c r="A2123" s="216" t="s">
        <v>3187</v>
      </c>
      <c r="B2123" s="218" t="s">
        <v>48</v>
      </c>
      <c r="C2123" s="220" t="s">
        <v>3188</v>
      </c>
      <c r="D2123" s="220" t="s">
        <v>585</v>
      </c>
      <c r="E2123" s="165">
        <v>747</v>
      </c>
    </row>
    <row r="2124" spans="1:5" x14ac:dyDescent="0.25">
      <c r="A2124" s="216" t="s">
        <v>3261</v>
      </c>
      <c r="B2124" s="218">
        <v>1</v>
      </c>
      <c r="C2124" s="220" t="s">
        <v>428</v>
      </c>
      <c r="D2124" s="220" t="s">
        <v>394</v>
      </c>
      <c r="E2124" s="165">
        <v>747</v>
      </c>
    </row>
    <row r="2125" spans="1:5" x14ac:dyDescent="0.25">
      <c r="A2125" s="216" t="s">
        <v>11086</v>
      </c>
      <c r="B2125" s="218" t="s">
        <v>48</v>
      </c>
      <c r="C2125" s="220" t="s">
        <v>735</v>
      </c>
      <c r="D2125" s="220" t="s">
        <v>63</v>
      </c>
      <c r="E2125" s="165">
        <v>746</v>
      </c>
    </row>
    <row r="2126" spans="1:5" x14ac:dyDescent="0.25">
      <c r="A2126" s="216" t="s">
        <v>2926</v>
      </c>
      <c r="B2126" s="218">
        <v>1</v>
      </c>
      <c r="C2126" s="220" t="s">
        <v>2927</v>
      </c>
      <c r="D2126" s="220" t="s">
        <v>87</v>
      </c>
      <c r="E2126" s="165">
        <v>745</v>
      </c>
    </row>
    <row r="2127" spans="1:5" x14ac:dyDescent="0.25">
      <c r="A2127" s="216" t="s">
        <v>3314</v>
      </c>
      <c r="B2127" s="218" t="s">
        <v>48</v>
      </c>
      <c r="C2127" s="220" t="s">
        <v>3315</v>
      </c>
      <c r="D2127" s="220" t="s">
        <v>166</v>
      </c>
      <c r="E2127" s="165">
        <v>744</v>
      </c>
    </row>
    <row r="2128" spans="1:5" x14ac:dyDescent="0.25">
      <c r="A2128" s="216" t="s">
        <v>6193</v>
      </c>
      <c r="B2128" s="218" t="s">
        <v>48</v>
      </c>
      <c r="C2128" s="220" t="s">
        <v>1700</v>
      </c>
      <c r="D2128" s="220" t="s">
        <v>337</v>
      </c>
      <c r="E2128" s="165">
        <v>742</v>
      </c>
    </row>
    <row r="2129" spans="1:5" x14ac:dyDescent="0.25">
      <c r="A2129" s="216" t="s">
        <v>3176</v>
      </c>
      <c r="B2129" s="218">
        <v>1</v>
      </c>
      <c r="C2129" s="220" t="s">
        <v>1700</v>
      </c>
      <c r="D2129" s="220" t="s">
        <v>337</v>
      </c>
      <c r="E2129" s="165">
        <v>741</v>
      </c>
    </row>
    <row r="2130" spans="1:5" x14ac:dyDescent="0.25">
      <c r="A2130" s="216" t="s">
        <v>7679</v>
      </c>
      <c r="B2130" s="218" t="s">
        <v>48</v>
      </c>
      <c r="C2130" s="220" t="s">
        <v>7680</v>
      </c>
      <c r="D2130" s="220" t="s">
        <v>78</v>
      </c>
      <c r="E2130" s="165">
        <v>740</v>
      </c>
    </row>
    <row r="2131" spans="1:5" x14ac:dyDescent="0.25">
      <c r="A2131" s="216" t="s">
        <v>3160</v>
      </c>
      <c r="B2131" s="218">
        <v>1</v>
      </c>
      <c r="C2131" s="220" t="s">
        <v>477</v>
      </c>
      <c r="D2131" s="220" t="s">
        <v>56</v>
      </c>
      <c r="E2131" s="165">
        <v>740</v>
      </c>
    </row>
    <row r="2132" spans="1:5" x14ac:dyDescent="0.25">
      <c r="A2132" s="216" t="s">
        <v>3291</v>
      </c>
      <c r="B2132" s="218">
        <v>1</v>
      </c>
      <c r="C2132" s="220" t="s">
        <v>1516</v>
      </c>
      <c r="D2132" s="220" t="s">
        <v>177</v>
      </c>
      <c r="E2132" s="165">
        <v>740</v>
      </c>
    </row>
    <row r="2133" spans="1:5" x14ac:dyDescent="0.25">
      <c r="A2133" s="216" t="s">
        <v>2882</v>
      </c>
      <c r="B2133" s="218" t="s">
        <v>48</v>
      </c>
      <c r="C2133" s="220" t="s">
        <v>2883</v>
      </c>
      <c r="D2133" s="220" t="s">
        <v>59</v>
      </c>
      <c r="E2133" s="165">
        <v>740</v>
      </c>
    </row>
    <row r="2134" spans="1:5" x14ac:dyDescent="0.25">
      <c r="A2134" s="216" t="s">
        <v>2979</v>
      </c>
      <c r="B2134" s="218">
        <v>1</v>
      </c>
      <c r="C2134" s="220" t="s">
        <v>90</v>
      </c>
      <c r="D2134" s="220" t="s">
        <v>441</v>
      </c>
      <c r="E2134" s="165">
        <v>739</v>
      </c>
    </row>
    <row r="2135" spans="1:5" x14ac:dyDescent="0.25">
      <c r="A2135" s="216" t="s">
        <v>2602</v>
      </c>
      <c r="B2135" s="218" t="s">
        <v>48</v>
      </c>
      <c r="C2135" s="220" t="s">
        <v>2603</v>
      </c>
      <c r="D2135" s="220" t="s">
        <v>108</v>
      </c>
      <c r="E2135" s="165">
        <v>739</v>
      </c>
    </row>
    <row r="2136" spans="1:5" x14ac:dyDescent="0.25">
      <c r="A2136" s="216" t="s">
        <v>11087</v>
      </c>
      <c r="B2136" s="218">
        <v>1</v>
      </c>
      <c r="C2136" s="220" t="s">
        <v>11088</v>
      </c>
      <c r="D2136" s="220" t="s">
        <v>188</v>
      </c>
      <c r="E2136" s="165">
        <v>738</v>
      </c>
    </row>
    <row r="2137" spans="1:5" x14ac:dyDescent="0.25">
      <c r="A2137" s="216" t="s">
        <v>5012</v>
      </c>
      <c r="B2137" s="218" t="s">
        <v>48</v>
      </c>
      <c r="C2137" s="220" t="s">
        <v>5013</v>
      </c>
      <c r="D2137" s="220" t="s">
        <v>166</v>
      </c>
      <c r="E2137" s="165">
        <v>738</v>
      </c>
    </row>
    <row r="2138" spans="1:5" x14ac:dyDescent="0.25">
      <c r="A2138" s="216" t="s">
        <v>3310</v>
      </c>
      <c r="B2138" s="218" t="s">
        <v>48</v>
      </c>
      <c r="C2138" s="220" t="s">
        <v>259</v>
      </c>
      <c r="D2138" s="220" t="s">
        <v>50</v>
      </c>
      <c r="E2138" s="165">
        <v>737</v>
      </c>
    </row>
    <row r="2139" spans="1:5" x14ac:dyDescent="0.25">
      <c r="A2139" s="216" t="s">
        <v>1097</v>
      </c>
      <c r="B2139" s="218">
        <v>1</v>
      </c>
      <c r="C2139" s="220" t="s">
        <v>1098</v>
      </c>
      <c r="D2139" s="220" t="s">
        <v>66</v>
      </c>
      <c r="E2139" s="165">
        <v>737</v>
      </c>
    </row>
    <row r="2140" spans="1:5" x14ac:dyDescent="0.25">
      <c r="A2140" s="216" t="s">
        <v>11089</v>
      </c>
      <c r="B2140" s="218" t="s">
        <v>48</v>
      </c>
      <c r="C2140" s="220" t="s">
        <v>266</v>
      </c>
      <c r="D2140" s="220" t="s">
        <v>206</v>
      </c>
      <c r="E2140" s="165">
        <v>736</v>
      </c>
    </row>
    <row r="2141" spans="1:5" x14ac:dyDescent="0.25">
      <c r="A2141" s="216" t="s">
        <v>3039</v>
      </c>
      <c r="B2141" s="218">
        <v>1</v>
      </c>
      <c r="C2141" s="220" t="s">
        <v>2983</v>
      </c>
      <c r="D2141" s="220" t="s">
        <v>69</v>
      </c>
      <c r="E2141" s="165">
        <v>736</v>
      </c>
    </row>
    <row r="2142" spans="1:5" x14ac:dyDescent="0.25">
      <c r="A2142" s="216" t="s">
        <v>2904</v>
      </c>
      <c r="B2142" s="218">
        <v>1</v>
      </c>
      <c r="C2142" s="220" t="s">
        <v>159</v>
      </c>
      <c r="D2142" s="220" t="s">
        <v>130</v>
      </c>
      <c r="E2142" s="165">
        <v>736</v>
      </c>
    </row>
    <row r="2143" spans="1:5" x14ac:dyDescent="0.25">
      <c r="A2143" s="216" t="s">
        <v>3165</v>
      </c>
      <c r="B2143" s="218">
        <v>1</v>
      </c>
      <c r="C2143" s="220" t="s">
        <v>1622</v>
      </c>
      <c r="D2143" s="220" t="s">
        <v>56</v>
      </c>
      <c r="E2143" s="165">
        <v>735</v>
      </c>
    </row>
    <row r="2144" spans="1:5" x14ac:dyDescent="0.25">
      <c r="A2144" s="216" t="s">
        <v>3166</v>
      </c>
      <c r="B2144" s="218">
        <v>1</v>
      </c>
      <c r="C2144" s="220" t="s">
        <v>986</v>
      </c>
      <c r="D2144" s="220" t="s">
        <v>56</v>
      </c>
      <c r="E2144" s="165">
        <v>735</v>
      </c>
    </row>
    <row r="2145" spans="1:5" x14ac:dyDescent="0.25">
      <c r="A2145" s="216" t="s">
        <v>3312</v>
      </c>
      <c r="B2145" s="218" t="s">
        <v>48</v>
      </c>
      <c r="C2145" s="220" t="s">
        <v>3313</v>
      </c>
      <c r="D2145" s="220" t="s">
        <v>166</v>
      </c>
      <c r="E2145" s="165">
        <v>729</v>
      </c>
    </row>
    <row r="2146" spans="1:5" x14ac:dyDescent="0.25">
      <c r="A2146" s="216" t="s">
        <v>3125</v>
      </c>
      <c r="B2146" s="218">
        <v>1</v>
      </c>
      <c r="C2146" s="220" t="s">
        <v>3126</v>
      </c>
      <c r="D2146" s="220" t="s">
        <v>72</v>
      </c>
      <c r="E2146" s="165">
        <v>729</v>
      </c>
    </row>
    <row r="2147" spans="1:5" x14ac:dyDescent="0.25">
      <c r="A2147" s="216" t="s">
        <v>3646</v>
      </c>
      <c r="B2147" s="218">
        <v>1</v>
      </c>
      <c r="C2147" s="220" t="s">
        <v>3647</v>
      </c>
      <c r="D2147" s="220" t="s">
        <v>264</v>
      </c>
      <c r="E2147" s="165">
        <v>729</v>
      </c>
    </row>
    <row r="2148" spans="1:5" x14ac:dyDescent="0.25">
      <c r="A2148" s="216" t="s">
        <v>2967</v>
      </c>
      <c r="B2148" s="218">
        <v>1</v>
      </c>
      <c r="C2148" s="220" t="s">
        <v>429</v>
      </c>
      <c r="D2148" s="220" t="s">
        <v>98</v>
      </c>
      <c r="E2148" s="165">
        <v>728</v>
      </c>
    </row>
    <row r="2149" spans="1:5" x14ac:dyDescent="0.25">
      <c r="A2149" s="216" t="s">
        <v>3023</v>
      </c>
      <c r="B2149" s="218" t="s">
        <v>48</v>
      </c>
      <c r="C2149" s="220" t="s">
        <v>2336</v>
      </c>
      <c r="D2149" s="220" t="s">
        <v>108</v>
      </c>
      <c r="E2149" s="165">
        <v>726</v>
      </c>
    </row>
    <row r="2150" spans="1:5" x14ac:dyDescent="0.25">
      <c r="A2150" s="216" t="s">
        <v>10879</v>
      </c>
      <c r="B2150" s="218" t="s">
        <v>48</v>
      </c>
      <c r="C2150" s="220" t="s">
        <v>363</v>
      </c>
      <c r="D2150" s="220" t="s">
        <v>56</v>
      </c>
      <c r="E2150" s="165">
        <v>725</v>
      </c>
    </row>
    <row r="2151" spans="1:5" x14ac:dyDescent="0.25">
      <c r="A2151" s="216" t="s">
        <v>10561</v>
      </c>
      <c r="B2151" s="218" t="s">
        <v>48</v>
      </c>
      <c r="C2151" s="220" t="s">
        <v>766</v>
      </c>
      <c r="D2151" s="220" t="s">
        <v>108</v>
      </c>
      <c r="E2151" s="165">
        <v>724</v>
      </c>
    </row>
    <row r="2152" spans="1:5" x14ac:dyDescent="0.25">
      <c r="A2152" s="216" t="s">
        <v>2915</v>
      </c>
      <c r="B2152" s="218">
        <v>1</v>
      </c>
      <c r="C2152" s="220" t="s">
        <v>2916</v>
      </c>
      <c r="D2152" s="220" t="s">
        <v>93</v>
      </c>
      <c r="E2152" s="165">
        <v>724</v>
      </c>
    </row>
    <row r="2153" spans="1:5" x14ac:dyDescent="0.25">
      <c r="A2153" s="216" t="s">
        <v>3151</v>
      </c>
      <c r="B2153" s="218" t="s">
        <v>48</v>
      </c>
      <c r="C2153" s="220" t="s">
        <v>3152</v>
      </c>
      <c r="D2153" s="220" t="s">
        <v>585</v>
      </c>
      <c r="E2153" s="165">
        <v>724</v>
      </c>
    </row>
    <row r="2154" spans="1:5" x14ac:dyDescent="0.25">
      <c r="A2154" s="216" t="s">
        <v>3279</v>
      </c>
      <c r="B2154" s="218">
        <v>1</v>
      </c>
      <c r="C2154" s="220" t="s">
        <v>810</v>
      </c>
      <c r="D2154" s="220" t="s">
        <v>774</v>
      </c>
      <c r="E2154" s="165">
        <v>723</v>
      </c>
    </row>
    <row r="2155" spans="1:5" x14ac:dyDescent="0.25">
      <c r="A2155" s="216" t="s">
        <v>4031</v>
      </c>
      <c r="B2155" s="218" t="s">
        <v>48</v>
      </c>
      <c r="C2155" s="220" t="s">
        <v>4032</v>
      </c>
      <c r="D2155" s="220" t="s">
        <v>98</v>
      </c>
      <c r="E2155" s="165">
        <v>723</v>
      </c>
    </row>
    <row r="2156" spans="1:5" x14ac:dyDescent="0.25">
      <c r="A2156" s="216" t="s">
        <v>3198</v>
      </c>
      <c r="B2156" s="218">
        <v>1</v>
      </c>
      <c r="C2156" s="220" t="s">
        <v>3199</v>
      </c>
      <c r="D2156" s="220" t="s">
        <v>78</v>
      </c>
      <c r="E2156" s="165">
        <v>722</v>
      </c>
    </row>
    <row r="2157" spans="1:5" x14ac:dyDescent="0.25">
      <c r="A2157" s="216" t="s">
        <v>3283</v>
      </c>
      <c r="B2157" s="218">
        <v>1</v>
      </c>
      <c r="C2157" s="220" t="s">
        <v>1747</v>
      </c>
      <c r="D2157" s="220" t="s">
        <v>394</v>
      </c>
      <c r="E2157" s="165">
        <v>722</v>
      </c>
    </row>
    <row r="2158" spans="1:5" x14ac:dyDescent="0.25">
      <c r="A2158" s="216" t="s">
        <v>6084</v>
      </c>
      <c r="B2158" s="218" t="s">
        <v>48</v>
      </c>
      <c r="C2158" s="220" t="s">
        <v>6085</v>
      </c>
      <c r="D2158" s="220" t="s">
        <v>188</v>
      </c>
      <c r="E2158" s="165">
        <v>722</v>
      </c>
    </row>
    <row r="2159" spans="1:5" x14ac:dyDescent="0.25">
      <c r="A2159" s="216" t="s">
        <v>3083</v>
      </c>
      <c r="B2159" s="218">
        <v>1</v>
      </c>
      <c r="C2159" s="220" t="s">
        <v>1331</v>
      </c>
      <c r="D2159" s="220" t="s">
        <v>348</v>
      </c>
      <c r="E2159" s="165">
        <v>722</v>
      </c>
    </row>
    <row r="2160" spans="1:5" x14ac:dyDescent="0.25">
      <c r="A2160" s="216" t="s">
        <v>11090</v>
      </c>
      <c r="B2160" s="218" t="s">
        <v>48</v>
      </c>
      <c r="C2160" s="220" t="s">
        <v>4120</v>
      </c>
      <c r="D2160" s="220" t="s">
        <v>56</v>
      </c>
      <c r="E2160" s="165">
        <v>720</v>
      </c>
    </row>
    <row r="2161" spans="1:5" x14ac:dyDescent="0.25">
      <c r="A2161" s="216" t="s">
        <v>3290</v>
      </c>
      <c r="B2161" s="218" t="s">
        <v>48</v>
      </c>
      <c r="C2161" s="220" t="s">
        <v>2883</v>
      </c>
      <c r="D2161" s="220" t="s">
        <v>59</v>
      </c>
      <c r="E2161" s="165">
        <v>720</v>
      </c>
    </row>
    <row r="2162" spans="1:5" x14ac:dyDescent="0.25">
      <c r="A2162" s="216" t="s">
        <v>3247</v>
      </c>
      <c r="B2162" s="218">
        <v>1</v>
      </c>
      <c r="C2162" s="220" t="s">
        <v>790</v>
      </c>
      <c r="D2162" s="220" t="s">
        <v>66</v>
      </c>
      <c r="E2162" s="165">
        <v>720</v>
      </c>
    </row>
    <row r="2163" spans="1:5" x14ac:dyDescent="0.25">
      <c r="A2163" s="216" t="s">
        <v>2751</v>
      </c>
      <c r="B2163" s="218" t="s">
        <v>48</v>
      </c>
      <c r="C2163" s="220" t="s">
        <v>2752</v>
      </c>
      <c r="D2163" s="220" t="s">
        <v>98</v>
      </c>
      <c r="E2163" s="165">
        <v>720</v>
      </c>
    </row>
    <row r="2164" spans="1:5" x14ac:dyDescent="0.25">
      <c r="A2164" s="216" t="s">
        <v>3708</v>
      </c>
      <c r="B2164" s="218" t="s">
        <v>48</v>
      </c>
      <c r="C2164" s="220" t="s">
        <v>3709</v>
      </c>
      <c r="D2164" s="220" t="s">
        <v>82</v>
      </c>
      <c r="E2164" s="165">
        <v>718</v>
      </c>
    </row>
    <row r="2165" spans="1:5" x14ac:dyDescent="0.25">
      <c r="A2165" s="216" t="s">
        <v>3411</v>
      </c>
      <c r="B2165" s="218">
        <v>1</v>
      </c>
      <c r="C2165" s="220" t="s">
        <v>1657</v>
      </c>
      <c r="D2165" s="220" t="s">
        <v>63</v>
      </c>
      <c r="E2165" s="165">
        <v>717</v>
      </c>
    </row>
    <row r="2166" spans="1:5" x14ac:dyDescent="0.25">
      <c r="A2166" s="216" t="s">
        <v>3225</v>
      </c>
      <c r="B2166" s="218">
        <v>1</v>
      </c>
      <c r="C2166" s="220" t="s">
        <v>3226</v>
      </c>
      <c r="D2166" s="220" t="s">
        <v>72</v>
      </c>
      <c r="E2166" s="165">
        <v>716</v>
      </c>
    </row>
    <row r="2167" spans="1:5" x14ac:dyDescent="0.25">
      <c r="A2167" s="216" t="s">
        <v>3337</v>
      </c>
      <c r="B2167" s="218">
        <v>1</v>
      </c>
      <c r="C2167" s="220" t="s">
        <v>3338</v>
      </c>
      <c r="D2167" s="220" t="s">
        <v>50</v>
      </c>
      <c r="E2167" s="165">
        <v>715</v>
      </c>
    </row>
    <row r="2168" spans="1:5" x14ac:dyDescent="0.25">
      <c r="A2168" s="216" t="s">
        <v>3221</v>
      </c>
      <c r="B2168" s="218">
        <v>1</v>
      </c>
      <c r="C2168" s="220" t="s">
        <v>2365</v>
      </c>
      <c r="D2168" s="220" t="s">
        <v>78</v>
      </c>
      <c r="E2168" s="165">
        <v>714</v>
      </c>
    </row>
    <row r="2169" spans="1:5" x14ac:dyDescent="0.25">
      <c r="A2169" s="216" t="s">
        <v>3237</v>
      </c>
      <c r="B2169" s="218">
        <v>1</v>
      </c>
      <c r="C2169" s="220" t="s">
        <v>1510</v>
      </c>
      <c r="D2169" s="220" t="s">
        <v>56</v>
      </c>
      <c r="E2169" s="165">
        <v>712</v>
      </c>
    </row>
    <row r="2170" spans="1:5" x14ac:dyDescent="0.25">
      <c r="A2170" s="216" t="s">
        <v>6475</v>
      </c>
      <c r="B2170" s="218" t="s">
        <v>48</v>
      </c>
      <c r="C2170" s="220" t="s">
        <v>221</v>
      </c>
      <c r="D2170" s="220" t="s">
        <v>166</v>
      </c>
      <c r="E2170" s="165">
        <v>712</v>
      </c>
    </row>
    <row r="2171" spans="1:5" x14ac:dyDescent="0.25">
      <c r="A2171" s="216" t="s">
        <v>3211</v>
      </c>
      <c r="B2171" s="218">
        <v>1</v>
      </c>
      <c r="C2171" s="220" t="s">
        <v>3212</v>
      </c>
      <c r="D2171" s="220" t="s">
        <v>517</v>
      </c>
      <c r="E2171" s="165">
        <v>712</v>
      </c>
    </row>
    <row r="2172" spans="1:5" x14ac:dyDescent="0.25">
      <c r="A2172" s="216" t="s">
        <v>11091</v>
      </c>
      <c r="B2172" s="218">
        <v>1</v>
      </c>
      <c r="C2172" s="220" t="s">
        <v>7727</v>
      </c>
      <c r="D2172" s="220" t="s">
        <v>139</v>
      </c>
      <c r="E2172" s="165">
        <v>711</v>
      </c>
    </row>
    <row r="2173" spans="1:5" x14ac:dyDescent="0.25">
      <c r="A2173" s="216" t="s">
        <v>3329</v>
      </c>
      <c r="B2173" s="218" t="s">
        <v>48</v>
      </c>
      <c r="C2173" s="220" t="s">
        <v>270</v>
      </c>
      <c r="D2173" s="220" t="s">
        <v>177</v>
      </c>
      <c r="E2173" s="165">
        <v>711</v>
      </c>
    </row>
    <row r="2174" spans="1:5" x14ac:dyDescent="0.25">
      <c r="A2174" s="216" t="s">
        <v>3334</v>
      </c>
      <c r="B2174" s="218">
        <v>1</v>
      </c>
      <c r="C2174" s="220" t="s">
        <v>3335</v>
      </c>
      <c r="D2174" s="220" t="s">
        <v>63</v>
      </c>
      <c r="E2174" s="165">
        <v>710</v>
      </c>
    </row>
    <row r="2175" spans="1:5" x14ac:dyDescent="0.25">
      <c r="A2175" s="216" t="s">
        <v>2954</v>
      </c>
      <c r="B2175" s="218" t="s">
        <v>48</v>
      </c>
      <c r="C2175" s="220" t="s">
        <v>2955</v>
      </c>
      <c r="D2175" s="220" t="s">
        <v>56</v>
      </c>
      <c r="E2175" s="165">
        <v>710</v>
      </c>
    </row>
    <row r="2176" spans="1:5" x14ac:dyDescent="0.25">
      <c r="A2176" s="216" t="s">
        <v>3396</v>
      </c>
      <c r="B2176" s="218">
        <v>1</v>
      </c>
      <c r="C2176" s="220" t="s">
        <v>219</v>
      </c>
      <c r="D2176" s="220" t="s">
        <v>56</v>
      </c>
      <c r="E2176" s="165">
        <v>709</v>
      </c>
    </row>
    <row r="2177" spans="1:5" x14ac:dyDescent="0.25">
      <c r="A2177" s="216" t="s">
        <v>6705</v>
      </c>
      <c r="B2177" s="218" t="s">
        <v>48</v>
      </c>
      <c r="C2177" s="220" t="s">
        <v>6706</v>
      </c>
      <c r="D2177" s="220" t="s">
        <v>82</v>
      </c>
      <c r="E2177" s="165">
        <v>709</v>
      </c>
    </row>
    <row r="2178" spans="1:5" x14ac:dyDescent="0.25">
      <c r="A2178" s="216" t="s">
        <v>5351</v>
      </c>
      <c r="B2178" s="218" t="s">
        <v>48</v>
      </c>
      <c r="C2178" s="220" t="s">
        <v>5352</v>
      </c>
      <c r="D2178" s="220" t="s">
        <v>56</v>
      </c>
      <c r="E2178" s="165">
        <v>708</v>
      </c>
    </row>
    <row r="2179" spans="1:5" x14ac:dyDescent="0.25">
      <c r="A2179" s="216" t="s">
        <v>2661</v>
      </c>
      <c r="B2179" s="218" t="s">
        <v>48</v>
      </c>
      <c r="C2179" s="220" t="s">
        <v>2662</v>
      </c>
      <c r="D2179" s="220" t="s">
        <v>108</v>
      </c>
      <c r="E2179" s="165">
        <v>707</v>
      </c>
    </row>
    <row r="2180" spans="1:5" x14ac:dyDescent="0.25">
      <c r="A2180" s="216" t="s">
        <v>2851</v>
      </c>
      <c r="B2180" s="218" t="s">
        <v>48</v>
      </c>
      <c r="C2180" s="220" t="s">
        <v>138</v>
      </c>
      <c r="D2180" s="220" t="s">
        <v>139</v>
      </c>
      <c r="E2180" s="165">
        <v>707</v>
      </c>
    </row>
    <row r="2181" spans="1:5" x14ac:dyDescent="0.25">
      <c r="A2181" s="216" t="s">
        <v>2366</v>
      </c>
      <c r="B2181" s="218" t="s">
        <v>48</v>
      </c>
      <c r="C2181" s="220" t="s">
        <v>1963</v>
      </c>
      <c r="D2181" s="220" t="s">
        <v>90</v>
      </c>
      <c r="E2181" s="165">
        <v>706</v>
      </c>
    </row>
    <row r="2182" spans="1:5" x14ac:dyDescent="0.25">
      <c r="A2182" s="216" t="s">
        <v>4348</v>
      </c>
      <c r="B2182" s="218" t="s">
        <v>48</v>
      </c>
      <c r="C2182" s="220" t="s">
        <v>4349</v>
      </c>
      <c r="D2182" s="220" t="s">
        <v>378</v>
      </c>
      <c r="E2182" s="165">
        <v>706</v>
      </c>
    </row>
    <row r="2183" spans="1:5" x14ac:dyDescent="0.25">
      <c r="A2183" s="216" t="s">
        <v>3243</v>
      </c>
      <c r="B2183" s="218" t="s">
        <v>48</v>
      </c>
      <c r="C2183" s="220" t="s">
        <v>289</v>
      </c>
      <c r="D2183" s="220" t="s">
        <v>66</v>
      </c>
      <c r="E2183" s="165">
        <v>706</v>
      </c>
    </row>
    <row r="2184" spans="1:5" x14ac:dyDescent="0.25">
      <c r="A2184" s="216" t="s">
        <v>3169</v>
      </c>
      <c r="B2184" s="218" t="s">
        <v>48</v>
      </c>
      <c r="C2184" s="220" t="s">
        <v>784</v>
      </c>
      <c r="D2184" s="220" t="s">
        <v>56</v>
      </c>
      <c r="E2184" s="165">
        <v>705</v>
      </c>
    </row>
    <row r="2185" spans="1:5" x14ac:dyDescent="0.25">
      <c r="A2185" s="216" t="s">
        <v>3557</v>
      </c>
      <c r="B2185" s="218">
        <v>1</v>
      </c>
      <c r="C2185" s="220" t="s">
        <v>3558</v>
      </c>
      <c r="D2185" s="220" t="s">
        <v>56</v>
      </c>
      <c r="E2185" s="165">
        <v>704</v>
      </c>
    </row>
    <row r="2186" spans="1:5" x14ac:dyDescent="0.25">
      <c r="A2186" s="216" t="s">
        <v>3262</v>
      </c>
      <c r="B2186" s="218" t="s">
        <v>48</v>
      </c>
      <c r="C2186" s="220" t="s">
        <v>289</v>
      </c>
      <c r="D2186" s="220" t="s">
        <v>69</v>
      </c>
      <c r="E2186" s="165">
        <v>704</v>
      </c>
    </row>
    <row r="2187" spans="1:5" x14ac:dyDescent="0.25">
      <c r="A2187" s="216" t="s">
        <v>3408</v>
      </c>
      <c r="B2187" s="218">
        <v>1</v>
      </c>
      <c r="C2187" s="220" t="s">
        <v>1643</v>
      </c>
      <c r="D2187" s="220" t="s">
        <v>56</v>
      </c>
      <c r="E2187" s="165">
        <v>704</v>
      </c>
    </row>
    <row r="2188" spans="1:5" x14ac:dyDescent="0.25">
      <c r="A2188" s="216" t="s">
        <v>3358</v>
      </c>
      <c r="B2188" s="218">
        <v>1</v>
      </c>
      <c r="C2188" s="220" t="s">
        <v>3359</v>
      </c>
      <c r="D2188" s="220" t="s">
        <v>63</v>
      </c>
      <c r="E2188" s="165">
        <v>704</v>
      </c>
    </row>
    <row r="2189" spans="1:5" x14ac:dyDescent="0.25">
      <c r="A2189" s="216" t="s">
        <v>3285</v>
      </c>
      <c r="B2189" s="218">
        <v>1</v>
      </c>
      <c r="C2189" s="220" t="s">
        <v>727</v>
      </c>
      <c r="D2189" s="220" t="s">
        <v>66</v>
      </c>
      <c r="E2189" s="165">
        <v>704</v>
      </c>
    </row>
    <row r="2190" spans="1:5" x14ac:dyDescent="0.25">
      <c r="A2190" s="216" t="s">
        <v>3259</v>
      </c>
      <c r="B2190" s="218">
        <v>1</v>
      </c>
      <c r="C2190" s="220" t="s">
        <v>169</v>
      </c>
      <c r="D2190" s="220" t="s">
        <v>56</v>
      </c>
      <c r="E2190" s="165">
        <v>703</v>
      </c>
    </row>
    <row r="2191" spans="1:5" x14ac:dyDescent="0.25">
      <c r="A2191" s="216" t="s">
        <v>3582</v>
      </c>
      <c r="B2191" s="218">
        <v>1</v>
      </c>
      <c r="C2191" s="220" t="s">
        <v>369</v>
      </c>
      <c r="D2191" s="220" t="s">
        <v>277</v>
      </c>
      <c r="E2191" s="165">
        <v>702</v>
      </c>
    </row>
    <row r="2192" spans="1:5" x14ac:dyDescent="0.25">
      <c r="A2192" s="216" t="s">
        <v>3366</v>
      </c>
      <c r="B2192" s="218">
        <v>1</v>
      </c>
      <c r="C2192" s="220" t="s">
        <v>3367</v>
      </c>
      <c r="D2192" s="220" t="s">
        <v>63</v>
      </c>
      <c r="E2192" s="165">
        <v>702</v>
      </c>
    </row>
    <row r="2193" spans="1:5" x14ac:dyDescent="0.25">
      <c r="A2193" s="216" t="s">
        <v>2449</v>
      </c>
      <c r="B2193" s="218" t="s">
        <v>48</v>
      </c>
      <c r="C2193" s="220" t="s">
        <v>511</v>
      </c>
      <c r="D2193" s="220" t="s">
        <v>82</v>
      </c>
      <c r="E2193" s="165">
        <v>701</v>
      </c>
    </row>
    <row r="2194" spans="1:5" x14ac:dyDescent="0.25">
      <c r="A2194" s="216" t="s">
        <v>2876</v>
      </c>
      <c r="B2194" s="218">
        <v>1</v>
      </c>
      <c r="C2194" s="220" t="s">
        <v>2877</v>
      </c>
      <c r="D2194" s="220" t="s">
        <v>277</v>
      </c>
      <c r="E2194" s="165">
        <v>701</v>
      </c>
    </row>
    <row r="2195" spans="1:5" x14ac:dyDescent="0.25">
      <c r="A2195" s="216" t="s">
        <v>5779</v>
      </c>
      <c r="B2195" s="218">
        <v>1</v>
      </c>
      <c r="C2195" s="220" t="s">
        <v>5780</v>
      </c>
      <c r="D2195" s="220" t="s">
        <v>56</v>
      </c>
      <c r="E2195" s="165">
        <v>701</v>
      </c>
    </row>
    <row r="2196" spans="1:5" x14ac:dyDescent="0.25">
      <c r="A2196" s="216" t="s">
        <v>2878</v>
      </c>
      <c r="B2196" s="218">
        <v>1</v>
      </c>
      <c r="C2196" s="220" t="s">
        <v>2879</v>
      </c>
      <c r="D2196" s="220" t="s">
        <v>277</v>
      </c>
      <c r="E2196" s="165">
        <v>701</v>
      </c>
    </row>
    <row r="2197" spans="1:5" x14ac:dyDescent="0.25">
      <c r="A2197" s="216" t="s">
        <v>3622</v>
      </c>
      <c r="B2197" s="218" t="s">
        <v>48</v>
      </c>
      <c r="C2197" s="220" t="s">
        <v>259</v>
      </c>
      <c r="D2197" s="220" t="s">
        <v>50</v>
      </c>
      <c r="E2197" s="165">
        <v>700</v>
      </c>
    </row>
    <row r="2198" spans="1:5" x14ac:dyDescent="0.25">
      <c r="A2198" s="216" t="s">
        <v>3182</v>
      </c>
      <c r="B2198" s="218">
        <v>1</v>
      </c>
      <c r="C2198" s="220" t="s">
        <v>647</v>
      </c>
      <c r="D2198" s="220" t="s">
        <v>236</v>
      </c>
      <c r="E2198" s="165">
        <v>700</v>
      </c>
    </row>
    <row r="2199" spans="1:5" x14ac:dyDescent="0.25">
      <c r="A2199" s="216" t="s">
        <v>2812</v>
      </c>
      <c r="B2199" s="218" t="s">
        <v>48</v>
      </c>
      <c r="C2199" s="220" t="s">
        <v>2813</v>
      </c>
      <c r="D2199" s="220" t="s">
        <v>192</v>
      </c>
      <c r="E2199" s="165">
        <v>700</v>
      </c>
    </row>
    <row r="2200" spans="1:5" x14ac:dyDescent="0.25">
      <c r="A2200" s="216" t="s">
        <v>5526</v>
      </c>
      <c r="B2200" s="218" t="s">
        <v>48</v>
      </c>
      <c r="C2200" s="220" t="s">
        <v>219</v>
      </c>
      <c r="D2200" s="220" t="s">
        <v>56</v>
      </c>
      <c r="E2200" s="165">
        <v>700</v>
      </c>
    </row>
    <row r="2201" spans="1:5" x14ac:dyDescent="0.25">
      <c r="A2201" s="216" t="s">
        <v>3714</v>
      </c>
      <c r="B2201" s="218" t="s">
        <v>48</v>
      </c>
      <c r="C2201" s="220" t="s">
        <v>925</v>
      </c>
      <c r="D2201" s="220" t="s">
        <v>394</v>
      </c>
      <c r="E2201" s="165">
        <v>700</v>
      </c>
    </row>
    <row r="2202" spans="1:5" x14ac:dyDescent="0.25">
      <c r="A2202" s="216" t="s">
        <v>3406</v>
      </c>
      <c r="B2202" s="218">
        <v>1</v>
      </c>
      <c r="C2202" s="220" t="s">
        <v>788</v>
      </c>
      <c r="D2202" s="220" t="s">
        <v>69</v>
      </c>
      <c r="E2202" s="165">
        <v>700</v>
      </c>
    </row>
    <row r="2203" spans="1:5" x14ac:dyDescent="0.25">
      <c r="A2203" s="216" t="s">
        <v>4297</v>
      </c>
      <c r="B2203" s="218" t="s">
        <v>48</v>
      </c>
      <c r="C2203" s="220" t="s">
        <v>501</v>
      </c>
      <c r="D2203" s="220" t="s">
        <v>264</v>
      </c>
      <c r="E2203" s="165">
        <v>700</v>
      </c>
    </row>
    <row r="2204" spans="1:5" x14ac:dyDescent="0.25">
      <c r="A2204" s="216" t="s">
        <v>3677</v>
      </c>
      <c r="B2204" s="218" t="s">
        <v>48</v>
      </c>
      <c r="C2204" s="220" t="s">
        <v>3678</v>
      </c>
      <c r="D2204" s="220" t="s">
        <v>50</v>
      </c>
      <c r="E2204" s="165">
        <v>700</v>
      </c>
    </row>
    <row r="2205" spans="1:5" x14ac:dyDescent="0.25">
      <c r="A2205" s="216" t="s">
        <v>4148</v>
      </c>
      <c r="B2205" s="218" t="s">
        <v>48</v>
      </c>
      <c r="C2205" s="220" t="s">
        <v>4149</v>
      </c>
      <c r="D2205" s="220" t="s">
        <v>188</v>
      </c>
      <c r="E2205" s="165">
        <v>700</v>
      </c>
    </row>
    <row r="2206" spans="1:5" x14ac:dyDescent="0.25">
      <c r="A2206" s="216" t="s">
        <v>3706</v>
      </c>
      <c r="B2206" s="218" t="s">
        <v>48</v>
      </c>
      <c r="C2206" s="220" t="s">
        <v>171</v>
      </c>
      <c r="D2206" s="220" t="s">
        <v>108</v>
      </c>
      <c r="E2206" s="165">
        <v>700</v>
      </c>
    </row>
    <row r="2207" spans="1:5" x14ac:dyDescent="0.25">
      <c r="A2207" s="216" t="s">
        <v>3667</v>
      </c>
      <c r="B2207" s="218" t="s">
        <v>48</v>
      </c>
      <c r="C2207" s="220" t="s">
        <v>1034</v>
      </c>
      <c r="D2207" s="220" t="s">
        <v>139</v>
      </c>
      <c r="E2207" s="165">
        <v>700</v>
      </c>
    </row>
    <row r="2208" spans="1:5" x14ac:dyDescent="0.25">
      <c r="A2208" s="216" t="s">
        <v>3150</v>
      </c>
      <c r="B2208" s="218" t="s">
        <v>48</v>
      </c>
      <c r="C2208" s="220" t="s">
        <v>1495</v>
      </c>
      <c r="D2208" s="220" t="s">
        <v>56</v>
      </c>
      <c r="E2208" s="165">
        <v>700</v>
      </c>
    </row>
    <row r="2209" spans="1:5" x14ac:dyDescent="0.25">
      <c r="A2209" s="216" t="s">
        <v>10867</v>
      </c>
      <c r="B2209" s="218" t="s">
        <v>48</v>
      </c>
      <c r="C2209" s="220" t="s">
        <v>89</v>
      </c>
      <c r="D2209" s="220" t="s">
        <v>90</v>
      </c>
      <c r="E2209" s="165">
        <v>700</v>
      </c>
    </row>
    <row r="2210" spans="1:5" x14ac:dyDescent="0.25">
      <c r="A2210" s="216" t="s">
        <v>4691</v>
      </c>
      <c r="B2210" s="218" t="s">
        <v>48</v>
      </c>
      <c r="C2210" s="220" t="s">
        <v>313</v>
      </c>
      <c r="D2210" s="220" t="s">
        <v>90</v>
      </c>
      <c r="E2210" s="165">
        <v>700</v>
      </c>
    </row>
    <row r="2211" spans="1:5" x14ac:dyDescent="0.25">
      <c r="A2211" s="216" t="s">
        <v>3438</v>
      </c>
      <c r="B2211" s="218" t="s">
        <v>48</v>
      </c>
      <c r="C2211" s="220" t="s">
        <v>3439</v>
      </c>
      <c r="D2211" s="220" t="s">
        <v>50</v>
      </c>
      <c r="E2211" s="165">
        <v>700</v>
      </c>
    </row>
    <row r="2212" spans="1:5" x14ac:dyDescent="0.25">
      <c r="A2212" s="216" t="s">
        <v>3209</v>
      </c>
      <c r="B2212" s="218">
        <v>1</v>
      </c>
      <c r="C2212" s="220" t="s">
        <v>3210</v>
      </c>
      <c r="D2212" s="220" t="s">
        <v>50</v>
      </c>
      <c r="E2212" s="165">
        <v>699</v>
      </c>
    </row>
    <row r="2213" spans="1:5" x14ac:dyDescent="0.25">
      <c r="A2213" s="216" t="s">
        <v>3436</v>
      </c>
      <c r="B2213" s="218" t="s">
        <v>48</v>
      </c>
      <c r="C2213" s="220" t="s">
        <v>3437</v>
      </c>
      <c r="D2213" s="220" t="s">
        <v>53</v>
      </c>
      <c r="E2213" s="165">
        <v>698</v>
      </c>
    </row>
    <row r="2214" spans="1:5" x14ac:dyDescent="0.25">
      <c r="A2214" s="216" t="s">
        <v>3389</v>
      </c>
      <c r="B2214" s="218">
        <v>1</v>
      </c>
      <c r="C2214" s="220" t="s">
        <v>3390</v>
      </c>
      <c r="D2214" s="220" t="s">
        <v>50</v>
      </c>
      <c r="E2214" s="165">
        <v>698</v>
      </c>
    </row>
    <row r="2215" spans="1:5" x14ac:dyDescent="0.25">
      <c r="A2215" s="216" t="s">
        <v>3280</v>
      </c>
      <c r="B2215" s="218">
        <v>1</v>
      </c>
      <c r="C2215" s="220" t="s">
        <v>3281</v>
      </c>
      <c r="D2215" s="220" t="s">
        <v>72</v>
      </c>
      <c r="E2215" s="165">
        <v>697</v>
      </c>
    </row>
    <row r="2216" spans="1:5" x14ac:dyDescent="0.25">
      <c r="A2216" s="216" t="s">
        <v>3143</v>
      </c>
      <c r="B2216" s="218">
        <v>1</v>
      </c>
      <c r="C2216" s="220" t="s">
        <v>522</v>
      </c>
      <c r="D2216" s="220" t="s">
        <v>523</v>
      </c>
      <c r="E2216" s="165">
        <v>697</v>
      </c>
    </row>
    <row r="2217" spans="1:5" x14ac:dyDescent="0.25">
      <c r="A2217" s="216" t="s">
        <v>7120</v>
      </c>
      <c r="B2217" s="218">
        <v>1</v>
      </c>
      <c r="C2217" s="220" t="s">
        <v>727</v>
      </c>
      <c r="D2217" s="220" t="s">
        <v>66</v>
      </c>
      <c r="E2217" s="165">
        <v>697</v>
      </c>
    </row>
    <row r="2218" spans="1:5" x14ac:dyDescent="0.25">
      <c r="A2218" s="216" t="s">
        <v>3311</v>
      </c>
      <c r="B2218" s="218">
        <v>1</v>
      </c>
      <c r="C2218" s="220" t="s">
        <v>2432</v>
      </c>
      <c r="D2218" s="220" t="s">
        <v>66</v>
      </c>
      <c r="E2218" s="165">
        <v>696</v>
      </c>
    </row>
    <row r="2219" spans="1:5" x14ac:dyDescent="0.25">
      <c r="A2219" s="216" t="s">
        <v>3794</v>
      </c>
      <c r="B2219" s="218">
        <v>1</v>
      </c>
      <c r="C2219" s="220" t="s">
        <v>104</v>
      </c>
      <c r="D2219" s="220" t="s">
        <v>105</v>
      </c>
      <c r="E2219" s="165">
        <v>695</v>
      </c>
    </row>
    <row r="2220" spans="1:5" x14ac:dyDescent="0.25">
      <c r="A2220" s="216" t="s">
        <v>3424</v>
      </c>
      <c r="B2220" s="218" t="s">
        <v>48</v>
      </c>
      <c r="C2220" s="220" t="s">
        <v>3425</v>
      </c>
      <c r="D2220" s="220" t="s">
        <v>124</v>
      </c>
      <c r="E2220" s="165">
        <v>695</v>
      </c>
    </row>
    <row r="2221" spans="1:5" x14ac:dyDescent="0.25">
      <c r="A2221" s="216" t="s">
        <v>3220</v>
      </c>
      <c r="B2221" s="218">
        <v>1</v>
      </c>
      <c r="C2221" s="220" t="s">
        <v>259</v>
      </c>
      <c r="D2221" s="220" t="s">
        <v>50</v>
      </c>
      <c r="E2221" s="165">
        <v>695</v>
      </c>
    </row>
    <row r="2222" spans="1:5" x14ac:dyDescent="0.25">
      <c r="A2222" s="216" t="s">
        <v>2860</v>
      </c>
      <c r="B2222" s="218" t="s">
        <v>48</v>
      </c>
      <c r="C2222" s="220" t="s">
        <v>640</v>
      </c>
      <c r="D2222" s="220" t="s">
        <v>69</v>
      </c>
      <c r="E2222" s="165">
        <v>693</v>
      </c>
    </row>
    <row r="2223" spans="1:5" x14ac:dyDescent="0.25">
      <c r="A2223" s="216" t="s">
        <v>3541</v>
      </c>
      <c r="B2223" s="218" t="s">
        <v>48</v>
      </c>
      <c r="C2223" s="220" t="s">
        <v>3542</v>
      </c>
      <c r="D2223" s="220" t="s">
        <v>56</v>
      </c>
      <c r="E2223" s="165">
        <v>693</v>
      </c>
    </row>
    <row r="2224" spans="1:5" x14ac:dyDescent="0.25">
      <c r="A2224" s="216" t="s">
        <v>4815</v>
      </c>
      <c r="B2224" s="218" t="s">
        <v>48</v>
      </c>
      <c r="C2224" s="220" t="s">
        <v>257</v>
      </c>
      <c r="D2224" s="220" t="s">
        <v>108</v>
      </c>
      <c r="E2224" s="165">
        <v>693</v>
      </c>
    </row>
    <row r="2225" spans="1:5" x14ac:dyDescent="0.25">
      <c r="A2225" s="216" t="s">
        <v>3426</v>
      </c>
      <c r="B2225" s="218">
        <v>1</v>
      </c>
      <c r="C2225" s="220" t="s">
        <v>270</v>
      </c>
      <c r="D2225" s="220" t="s">
        <v>177</v>
      </c>
      <c r="E2225" s="165">
        <v>693</v>
      </c>
    </row>
    <row r="2226" spans="1:5" x14ac:dyDescent="0.25">
      <c r="A2226" s="216" t="s">
        <v>3394</v>
      </c>
      <c r="B2226" s="218">
        <v>1</v>
      </c>
      <c r="C2226" s="220" t="s">
        <v>3395</v>
      </c>
      <c r="D2226" s="220" t="s">
        <v>63</v>
      </c>
      <c r="E2226" s="165">
        <v>692</v>
      </c>
    </row>
    <row r="2227" spans="1:5" x14ac:dyDescent="0.25">
      <c r="A2227" s="216" t="s">
        <v>4899</v>
      </c>
      <c r="B2227" s="218">
        <v>1</v>
      </c>
      <c r="C2227" s="220" t="s">
        <v>11092</v>
      </c>
      <c r="D2227" s="220" t="s">
        <v>69</v>
      </c>
      <c r="E2227" s="165">
        <v>692</v>
      </c>
    </row>
    <row r="2228" spans="1:5" x14ac:dyDescent="0.25">
      <c r="A2228" s="216" t="s">
        <v>3200</v>
      </c>
      <c r="B2228" s="218">
        <v>1</v>
      </c>
      <c r="C2228" s="220" t="s">
        <v>3201</v>
      </c>
      <c r="D2228" s="220" t="s">
        <v>192</v>
      </c>
      <c r="E2228" s="165">
        <v>692</v>
      </c>
    </row>
    <row r="2229" spans="1:5" x14ac:dyDescent="0.25">
      <c r="A2229" s="216" t="s">
        <v>3277</v>
      </c>
      <c r="B2229" s="218">
        <v>1</v>
      </c>
      <c r="C2229" s="220" t="s">
        <v>3278</v>
      </c>
      <c r="D2229" s="220" t="s">
        <v>188</v>
      </c>
      <c r="E2229" s="165">
        <v>691</v>
      </c>
    </row>
    <row r="2230" spans="1:5" x14ac:dyDescent="0.25">
      <c r="A2230" s="216" t="s">
        <v>3178</v>
      </c>
      <c r="B2230" s="218">
        <v>1</v>
      </c>
      <c r="C2230" s="220" t="s">
        <v>90</v>
      </c>
      <c r="D2230" s="220" t="s">
        <v>441</v>
      </c>
      <c r="E2230" s="165">
        <v>691</v>
      </c>
    </row>
    <row r="2231" spans="1:5" x14ac:dyDescent="0.25">
      <c r="A2231" s="216" t="s">
        <v>3690</v>
      </c>
      <c r="B2231" s="218" t="s">
        <v>48</v>
      </c>
      <c r="C2231" s="220" t="s">
        <v>3691</v>
      </c>
      <c r="D2231" s="220" t="s">
        <v>166</v>
      </c>
      <c r="E2231" s="165">
        <v>691</v>
      </c>
    </row>
    <row r="2232" spans="1:5" x14ac:dyDescent="0.25">
      <c r="A2232" s="216" t="s">
        <v>2446</v>
      </c>
      <c r="B2232" s="218" t="s">
        <v>48</v>
      </c>
      <c r="C2232" s="220" t="s">
        <v>782</v>
      </c>
      <c r="D2232" s="220" t="s">
        <v>93</v>
      </c>
      <c r="E2232" s="165">
        <v>690</v>
      </c>
    </row>
    <row r="2233" spans="1:5" x14ac:dyDescent="0.25">
      <c r="A2233" s="216" t="s">
        <v>3328</v>
      </c>
      <c r="B2233" s="218" t="s">
        <v>48</v>
      </c>
      <c r="C2233" s="220" t="s">
        <v>466</v>
      </c>
      <c r="D2233" s="220" t="s">
        <v>206</v>
      </c>
      <c r="E2233" s="165">
        <v>690</v>
      </c>
    </row>
    <row r="2234" spans="1:5" x14ac:dyDescent="0.25">
      <c r="A2234" s="216" t="s">
        <v>3140</v>
      </c>
      <c r="B2234" s="218">
        <v>1</v>
      </c>
      <c r="C2234" s="220" t="s">
        <v>1645</v>
      </c>
      <c r="D2234" s="220" t="s">
        <v>130</v>
      </c>
      <c r="E2234" s="165">
        <v>690</v>
      </c>
    </row>
    <row r="2235" spans="1:5" x14ac:dyDescent="0.25">
      <c r="A2235" s="216" t="s">
        <v>3303</v>
      </c>
      <c r="B2235" s="218" t="s">
        <v>48</v>
      </c>
      <c r="C2235" s="220" t="s">
        <v>3304</v>
      </c>
      <c r="D2235" s="220" t="s">
        <v>93</v>
      </c>
      <c r="E2235" s="165">
        <v>690</v>
      </c>
    </row>
    <row r="2236" spans="1:5" x14ac:dyDescent="0.25">
      <c r="A2236" s="216" t="s">
        <v>3431</v>
      </c>
      <c r="B2236" s="218" t="s">
        <v>48</v>
      </c>
      <c r="C2236" s="220" t="s">
        <v>3432</v>
      </c>
      <c r="D2236" s="220" t="s">
        <v>272</v>
      </c>
      <c r="E2236" s="165">
        <v>690</v>
      </c>
    </row>
    <row r="2237" spans="1:5" x14ac:dyDescent="0.25">
      <c r="A2237" s="216" t="s">
        <v>3370</v>
      </c>
      <c r="B2237" s="218" t="s">
        <v>48</v>
      </c>
      <c r="C2237" s="220" t="s">
        <v>3371</v>
      </c>
      <c r="D2237" s="220" t="s">
        <v>75</v>
      </c>
      <c r="E2237" s="165">
        <v>689</v>
      </c>
    </row>
    <row r="2238" spans="1:5" x14ac:dyDescent="0.25">
      <c r="A2238" s="216" t="s">
        <v>3671</v>
      </c>
      <c r="B2238" s="218" t="s">
        <v>48</v>
      </c>
      <c r="C2238" s="220" t="s">
        <v>3672</v>
      </c>
      <c r="D2238" s="220" t="s">
        <v>53</v>
      </c>
      <c r="E2238" s="165">
        <v>689</v>
      </c>
    </row>
    <row r="2239" spans="1:5" x14ac:dyDescent="0.25">
      <c r="A2239" s="216" t="s">
        <v>11093</v>
      </c>
      <c r="B2239" s="218">
        <v>1</v>
      </c>
      <c r="C2239" s="220" t="s">
        <v>464</v>
      </c>
      <c r="D2239" s="220" t="s">
        <v>56</v>
      </c>
      <c r="E2239" s="165">
        <v>689</v>
      </c>
    </row>
    <row r="2240" spans="1:5" x14ac:dyDescent="0.25">
      <c r="A2240" s="216" t="s">
        <v>3336</v>
      </c>
      <c r="B2240" s="218" t="s">
        <v>48</v>
      </c>
      <c r="C2240" s="220" t="s">
        <v>144</v>
      </c>
      <c r="D2240" s="220" t="s">
        <v>59</v>
      </c>
      <c r="E2240" s="165">
        <v>688</v>
      </c>
    </row>
    <row r="2241" spans="1:5" x14ac:dyDescent="0.25">
      <c r="A2241" s="216" t="s">
        <v>4090</v>
      </c>
      <c r="B2241" s="218" t="s">
        <v>48</v>
      </c>
      <c r="C2241" s="220" t="s">
        <v>2049</v>
      </c>
      <c r="D2241" s="220" t="s">
        <v>63</v>
      </c>
      <c r="E2241" s="165">
        <v>688</v>
      </c>
    </row>
    <row r="2242" spans="1:5" x14ac:dyDescent="0.25">
      <c r="A2242" s="216" t="s">
        <v>6007</v>
      </c>
      <c r="B2242" s="218">
        <v>1</v>
      </c>
      <c r="C2242" s="220" t="s">
        <v>4532</v>
      </c>
      <c r="D2242" s="220" t="s">
        <v>78</v>
      </c>
      <c r="E2242" s="165">
        <v>688</v>
      </c>
    </row>
    <row r="2243" spans="1:5" x14ac:dyDescent="0.25">
      <c r="A2243" s="216" t="s">
        <v>3191</v>
      </c>
      <c r="B2243" s="218">
        <v>1</v>
      </c>
      <c r="C2243" s="220" t="s">
        <v>3192</v>
      </c>
      <c r="D2243" s="220" t="s">
        <v>93</v>
      </c>
      <c r="E2243" s="165">
        <v>688</v>
      </c>
    </row>
    <row r="2244" spans="1:5" x14ac:dyDescent="0.25">
      <c r="A2244" s="216" t="s">
        <v>3350</v>
      </c>
      <c r="B2244" s="218">
        <v>1</v>
      </c>
      <c r="C2244" s="220" t="s">
        <v>3351</v>
      </c>
      <c r="D2244" s="220" t="s">
        <v>66</v>
      </c>
      <c r="E2244" s="165">
        <v>687</v>
      </c>
    </row>
    <row r="2245" spans="1:5" x14ac:dyDescent="0.25">
      <c r="A2245" s="216" t="s">
        <v>10515</v>
      </c>
      <c r="B2245" s="218">
        <v>1</v>
      </c>
      <c r="C2245" s="220" t="s">
        <v>2919</v>
      </c>
      <c r="D2245" s="220" t="s">
        <v>66</v>
      </c>
      <c r="E2245" s="165">
        <v>687</v>
      </c>
    </row>
    <row r="2246" spans="1:5" x14ac:dyDescent="0.25">
      <c r="A2246" s="216" t="s">
        <v>3008</v>
      </c>
      <c r="B2246" s="218" t="s">
        <v>48</v>
      </c>
      <c r="C2246" s="220" t="s">
        <v>3009</v>
      </c>
      <c r="D2246" s="220" t="s">
        <v>66</v>
      </c>
      <c r="E2246" s="165">
        <v>687</v>
      </c>
    </row>
    <row r="2247" spans="1:5" x14ac:dyDescent="0.25">
      <c r="A2247" s="216" t="s">
        <v>3761</v>
      </c>
      <c r="B2247" s="218" t="s">
        <v>48</v>
      </c>
      <c r="C2247" s="220" t="s">
        <v>285</v>
      </c>
      <c r="D2247" s="220" t="s">
        <v>59</v>
      </c>
      <c r="E2247" s="165">
        <v>687</v>
      </c>
    </row>
    <row r="2248" spans="1:5" x14ac:dyDescent="0.25">
      <c r="A2248" s="216" t="s">
        <v>3387</v>
      </c>
      <c r="B2248" s="218">
        <v>1</v>
      </c>
      <c r="C2248" s="220" t="s">
        <v>3388</v>
      </c>
      <c r="D2248" s="220" t="s">
        <v>774</v>
      </c>
      <c r="E2248" s="165">
        <v>687</v>
      </c>
    </row>
    <row r="2249" spans="1:5" x14ac:dyDescent="0.25">
      <c r="A2249" s="216" t="s">
        <v>3112</v>
      </c>
      <c r="B2249" s="218">
        <v>1</v>
      </c>
      <c r="C2249" s="220" t="s">
        <v>61</v>
      </c>
      <c r="D2249" s="220" t="s">
        <v>56</v>
      </c>
      <c r="E2249" s="165">
        <v>687</v>
      </c>
    </row>
    <row r="2250" spans="1:5" x14ac:dyDescent="0.25">
      <c r="A2250" s="216" t="s">
        <v>3301</v>
      </c>
      <c r="B2250" s="218">
        <v>1</v>
      </c>
      <c r="C2250" s="220" t="s">
        <v>891</v>
      </c>
      <c r="D2250" s="220" t="s">
        <v>56</v>
      </c>
      <c r="E2250" s="165">
        <v>686</v>
      </c>
    </row>
    <row r="2251" spans="1:5" x14ac:dyDescent="0.25">
      <c r="A2251" s="216" t="s">
        <v>4199</v>
      </c>
      <c r="B2251" s="218" t="s">
        <v>48</v>
      </c>
      <c r="C2251" s="220" t="s">
        <v>4200</v>
      </c>
      <c r="D2251" s="220" t="s">
        <v>90</v>
      </c>
      <c r="E2251" s="165">
        <v>686</v>
      </c>
    </row>
    <row r="2252" spans="1:5" x14ac:dyDescent="0.25">
      <c r="A2252" s="216" t="s">
        <v>3571</v>
      </c>
      <c r="B2252" s="218" t="s">
        <v>48</v>
      </c>
      <c r="C2252" s="220" t="s">
        <v>3572</v>
      </c>
      <c r="D2252" s="220" t="s">
        <v>177</v>
      </c>
      <c r="E2252" s="165">
        <v>685</v>
      </c>
    </row>
    <row r="2253" spans="1:5" x14ac:dyDescent="0.25">
      <c r="A2253" s="216" t="s">
        <v>4275</v>
      </c>
      <c r="B2253" s="218">
        <v>1</v>
      </c>
      <c r="C2253" s="220" t="s">
        <v>4276</v>
      </c>
      <c r="D2253" s="220" t="s">
        <v>118</v>
      </c>
      <c r="E2253" s="165">
        <v>684</v>
      </c>
    </row>
    <row r="2254" spans="1:5" x14ac:dyDescent="0.25">
      <c r="A2254" s="216" t="s">
        <v>2962</v>
      </c>
      <c r="B2254" s="218" t="s">
        <v>48</v>
      </c>
      <c r="C2254" s="220" t="s">
        <v>2963</v>
      </c>
      <c r="D2254" s="220" t="s">
        <v>90</v>
      </c>
      <c r="E2254" s="165">
        <v>684</v>
      </c>
    </row>
    <row r="2255" spans="1:5" x14ac:dyDescent="0.25">
      <c r="A2255" s="216" t="s">
        <v>3831</v>
      </c>
      <c r="B2255" s="218" t="s">
        <v>48</v>
      </c>
      <c r="C2255" s="220" t="s">
        <v>283</v>
      </c>
      <c r="D2255" s="220" t="s">
        <v>59</v>
      </c>
      <c r="E2255" s="165">
        <v>684</v>
      </c>
    </row>
    <row r="2256" spans="1:5" x14ac:dyDescent="0.25">
      <c r="A2256" s="216" t="s">
        <v>4281</v>
      </c>
      <c r="B2256" s="218">
        <v>1</v>
      </c>
      <c r="C2256" s="220" t="s">
        <v>3544</v>
      </c>
      <c r="D2256" s="220" t="s">
        <v>118</v>
      </c>
      <c r="E2256" s="165">
        <v>684</v>
      </c>
    </row>
    <row r="2257" spans="1:5" x14ac:dyDescent="0.25">
      <c r="A2257" s="216" t="s">
        <v>3486</v>
      </c>
      <c r="B2257" s="218">
        <v>1</v>
      </c>
      <c r="C2257" s="220" t="s">
        <v>3487</v>
      </c>
      <c r="D2257" s="220" t="s">
        <v>188</v>
      </c>
      <c r="E2257" s="165">
        <v>684</v>
      </c>
    </row>
    <row r="2258" spans="1:5" x14ac:dyDescent="0.25">
      <c r="A2258" s="216" t="s">
        <v>3051</v>
      </c>
      <c r="B2258" s="218" t="s">
        <v>48</v>
      </c>
      <c r="C2258" s="220" t="s">
        <v>380</v>
      </c>
      <c r="D2258" s="220" t="s">
        <v>90</v>
      </c>
      <c r="E2258" s="165">
        <v>684</v>
      </c>
    </row>
    <row r="2259" spans="1:5" x14ac:dyDescent="0.25">
      <c r="A2259" s="216" t="s">
        <v>3251</v>
      </c>
      <c r="B2259" s="218">
        <v>1</v>
      </c>
      <c r="C2259" s="220" t="s">
        <v>2849</v>
      </c>
      <c r="D2259" s="220" t="s">
        <v>277</v>
      </c>
      <c r="E2259" s="165">
        <v>683</v>
      </c>
    </row>
    <row r="2260" spans="1:5" x14ac:dyDescent="0.25">
      <c r="A2260" s="216" t="s">
        <v>7362</v>
      </c>
      <c r="B2260" s="218" t="s">
        <v>48</v>
      </c>
      <c r="C2260" s="220" t="s">
        <v>456</v>
      </c>
      <c r="D2260" s="220" t="s">
        <v>63</v>
      </c>
      <c r="E2260" s="165">
        <v>683</v>
      </c>
    </row>
    <row r="2261" spans="1:5" x14ac:dyDescent="0.25">
      <c r="A2261" s="216" t="s">
        <v>3393</v>
      </c>
      <c r="B2261" s="218">
        <v>1</v>
      </c>
      <c r="C2261" s="220" t="s">
        <v>129</v>
      </c>
      <c r="D2261" s="220" t="s">
        <v>130</v>
      </c>
      <c r="E2261" s="165">
        <v>682</v>
      </c>
    </row>
    <row r="2262" spans="1:5" x14ac:dyDescent="0.25">
      <c r="A2262" s="216" t="s">
        <v>3536</v>
      </c>
      <c r="B2262" s="218" t="s">
        <v>48</v>
      </c>
      <c r="C2262" s="220" t="s">
        <v>396</v>
      </c>
      <c r="D2262" s="220" t="s">
        <v>188</v>
      </c>
      <c r="E2262" s="165">
        <v>682</v>
      </c>
    </row>
    <row r="2263" spans="1:5" x14ac:dyDescent="0.25">
      <c r="A2263" s="216" t="s">
        <v>3323</v>
      </c>
      <c r="B2263" s="218">
        <v>1</v>
      </c>
      <c r="C2263" s="220" t="s">
        <v>452</v>
      </c>
      <c r="D2263" s="220" t="s">
        <v>78</v>
      </c>
      <c r="E2263" s="165">
        <v>681</v>
      </c>
    </row>
    <row r="2264" spans="1:5" x14ac:dyDescent="0.25">
      <c r="A2264" s="216" t="s">
        <v>2124</v>
      </c>
      <c r="B2264" s="218" t="s">
        <v>48</v>
      </c>
      <c r="C2264" s="220" t="s">
        <v>2125</v>
      </c>
      <c r="D2264" s="220" t="s">
        <v>56</v>
      </c>
      <c r="E2264" s="165">
        <v>680</v>
      </c>
    </row>
    <row r="2265" spans="1:5" x14ac:dyDescent="0.25">
      <c r="A2265" s="216" t="s">
        <v>3421</v>
      </c>
      <c r="B2265" s="218">
        <v>1</v>
      </c>
      <c r="C2265" s="220" t="s">
        <v>1431</v>
      </c>
      <c r="D2265" s="220" t="s">
        <v>63</v>
      </c>
      <c r="E2265" s="165">
        <v>679</v>
      </c>
    </row>
    <row r="2266" spans="1:5" x14ac:dyDescent="0.25">
      <c r="A2266" s="216" t="s">
        <v>3067</v>
      </c>
      <c r="B2266" s="218" t="s">
        <v>48</v>
      </c>
      <c r="C2266" s="220" t="s">
        <v>3068</v>
      </c>
      <c r="D2266" s="220" t="s">
        <v>206</v>
      </c>
      <c r="E2266" s="165">
        <v>678</v>
      </c>
    </row>
    <row r="2267" spans="1:5" x14ac:dyDescent="0.25">
      <c r="A2267" s="216" t="s">
        <v>3236</v>
      </c>
      <c r="B2267" s="218" t="s">
        <v>48</v>
      </c>
      <c r="C2267" s="220" t="s">
        <v>2336</v>
      </c>
      <c r="D2267" s="220" t="s">
        <v>166</v>
      </c>
      <c r="E2267" s="165">
        <v>675</v>
      </c>
    </row>
    <row r="2268" spans="1:5" x14ac:dyDescent="0.25">
      <c r="A2268" s="216" t="s">
        <v>3103</v>
      </c>
      <c r="B2268" s="218">
        <v>1</v>
      </c>
      <c r="C2268" s="220" t="s">
        <v>1835</v>
      </c>
      <c r="D2268" s="220" t="s">
        <v>93</v>
      </c>
      <c r="E2268" s="165">
        <v>673</v>
      </c>
    </row>
    <row r="2269" spans="1:5" x14ac:dyDescent="0.25">
      <c r="A2269" s="216" t="s">
        <v>2188</v>
      </c>
      <c r="B2269" s="218" t="s">
        <v>48</v>
      </c>
      <c r="C2269" s="220" t="s">
        <v>2189</v>
      </c>
      <c r="D2269" s="220" t="s">
        <v>90</v>
      </c>
      <c r="E2269" s="165">
        <v>673</v>
      </c>
    </row>
    <row r="2270" spans="1:5" x14ac:dyDescent="0.25">
      <c r="A2270" s="216" t="s">
        <v>3171</v>
      </c>
      <c r="B2270" s="218">
        <v>1</v>
      </c>
      <c r="C2270" s="220" t="s">
        <v>3172</v>
      </c>
      <c r="D2270" s="220" t="s">
        <v>87</v>
      </c>
      <c r="E2270" s="165">
        <v>672</v>
      </c>
    </row>
    <row r="2271" spans="1:5" x14ac:dyDescent="0.25">
      <c r="A2271" s="216" t="s">
        <v>3440</v>
      </c>
      <c r="B2271" s="218" t="s">
        <v>48</v>
      </c>
      <c r="C2271" s="220" t="s">
        <v>404</v>
      </c>
      <c r="D2271" s="220" t="s">
        <v>59</v>
      </c>
      <c r="E2271" s="165">
        <v>672</v>
      </c>
    </row>
    <row r="2272" spans="1:5" x14ac:dyDescent="0.25">
      <c r="A2272" s="216" t="s">
        <v>4042</v>
      </c>
      <c r="B2272" s="218" t="s">
        <v>48</v>
      </c>
      <c r="C2272" s="220" t="s">
        <v>287</v>
      </c>
      <c r="D2272" s="220" t="s">
        <v>82</v>
      </c>
      <c r="E2272" s="165">
        <v>671</v>
      </c>
    </row>
    <row r="2273" spans="1:5" x14ac:dyDescent="0.25">
      <c r="A2273" s="216" t="s">
        <v>4896</v>
      </c>
      <c r="B2273" s="218" t="s">
        <v>48</v>
      </c>
      <c r="C2273" s="220" t="s">
        <v>949</v>
      </c>
      <c r="D2273" s="220" t="s">
        <v>75</v>
      </c>
      <c r="E2273" s="165">
        <v>671</v>
      </c>
    </row>
    <row r="2274" spans="1:5" x14ac:dyDescent="0.25">
      <c r="A2274" s="216" t="s">
        <v>2925</v>
      </c>
      <c r="B2274" s="218" t="s">
        <v>48</v>
      </c>
      <c r="C2274" s="220" t="s">
        <v>102</v>
      </c>
      <c r="D2274" s="220" t="s">
        <v>93</v>
      </c>
      <c r="E2274" s="165">
        <v>670</v>
      </c>
    </row>
    <row r="2275" spans="1:5" x14ac:dyDescent="0.25">
      <c r="A2275" s="216" t="s">
        <v>3509</v>
      </c>
      <c r="B2275" s="218" t="s">
        <v>48</v>
      </c>
      <c r="C2275" s="220" t="s">
        <v>3510</v>
      </c>
      <c r="D2275" s="220" t="s">
        <v>264</v>
      </c>
      <c r="E2275" s="165">
        <v>669</v>
      </c>
    </row>
    <row r="2276" spans="1:5" x14ac:dyDescent="0.25">
      <c r="A2276" s="216" t="s">
        <v>2885</v>
      </c>
      <c r="B2276" s="218" t="s">
        <v>48</v>
      </c>
      <c r="C2276" s="220" t="s">
        <v>956</v>
      </c>
      <c r="D2276" s="220" t="s">
        <v>69</v>
      </c>
      <c r="E2276" s="165">
        <v>668</v>
      </c>
    </row>
    <row r="2277" spans="1:5" x14ac:dyDescent="0.25">
      <c r="A2277" s="216" t="s">
        <v>3257</v>
      </c>
      <c r="B2277" s="218">
        <v>1</v>
      </c>
      <c r="C2277" s="220" t="s">
        <v>3258</v>
      </c>
      <c r="D2277" s="220" t="s">
        <v>201</v>
      </c>
      <c r="E2277" s="165">
        <v>668</v>
      </c>
    </row>
    <row r="2278" spans="1:5" x14ac:dyDescent="0.25">
      <c r="A2278" s="216" t="s">
        <v>3882</v>
      </c>
      <c r="B2278" s="218">
        <v>1</v>
      </c>
      <c r="C2278" s="220" t="s">
        <v>1416</v>
      </c>
      <c r="D2278" s="220" t="s">
        <v>523</v>
      </c>
      <c r="E2278" s="165">
        <v>668</v>
      </c>
    </row>
    <row r="2279" spans="1:5" x14ac:dyDescent="0.25">
      <c r="A2279" s="216" t="s">
        <v>3080</v>
      </c>
      <c r="B2279" s="218">
        <v>1</v>
      </c>
      <c r="C2279" s="220" t="s">
        <v>3081</v>
      </c>
      <c r="D2279" s="220" t="s">
        <v>59</v>
      </c>
      <c r="E2279" s="165">
        <v>668</v>
      </c>
    </row>
    <row r="2280" spans="1:5" x14ac:dyDescent="0.25">
      <c r="A2280" s="216" t="s">
        <v>3433</v>
      </c>
      <c r="B2280" s="218">
        <v>1</v>
      </c>
      <c r="C2280" s="220" t="s">
        <v>3434</v>
      </c>
      <c r="D2280" s="220" t="s">
        <v>192</v>
      </c>
      <c r="E2280" s="165">
        <v>668</v>
      </c>
    </row>
    <row r="2281" spans="1:5" x14ac:dyDescent="0.25">
      <c r="A2281" s="216" t="s">
        <v>3079</v>
      </c>
      <c r="B2281" s="218">
        <v>1</v>
      </c>
      <c r="C2281" s="220" t="s">
        <v>171</v>
      </c>
      <c r="D2281" s="220" t="s">
        <v>172</v>
      </c>
      <c r="E2281" s="165">
        <v>666</v>
      </c>
    </row>
    <row r="2282" spans="1:5" x14ac:dyDescent="0.25">
      <c r="A2282" s="216" t="s">
        <v>4618</v>
      </c>
      <c r="B2282" s="218" t="s">
        <v>48</v>
      </c>
      <c r="C2282" s="220" t="s">
        <v>538</v>
      </c>
      <c r="D2282" s="220" t="s">
        <v>90</v>
      </c>
      <c r="E2282" s="165">
        <v>666</v>
      </c>
    </row>
    <row r="2283" spans="1:5" x14ac:dyDescent="0.25">
      <c r="A2283" s="216" t="s">
        <v>4253</v>
      </c>
      <c r="B2283" s="218" t="s">
        <v>48</v>
      </c>
      <c r="C2283" s="220" t="s">
        <v>470</v>
      </c>
      <c r="D2283" s="220" t="s">
        <v>130</v>
      </c>
      <c r="E2283" s="165">
        <v>666</v>
      </c>
    </row>
    <row r="2284" spans="1:5" x14ac:dyDescent="0.25">
      <c r="A2284" s="216" t="s">
        <v>3873</v>
      </c>
      <c r="B2284" s="218" t="s">
        <v>48</v>
      </c>
      <c r="C2284" s="220" t="s">
        <v>1113</v>
      </c>
      <c r="D2284" s="220" t="s">
        <v>50</v>
      </c>
      <c r="E2284" s="165">
        <v>665</v>
      </c>
    </row>
    <row r="2285" spans="1:5" x14ac:dyDescent="0.25">
      <c r="A2285" s="216" t="s">
        <v>3327</v>
      </c>
      <c r="B2285" s="218" t="s">
        <v>48</v>
      </c>
      <c r="C2285" s="220" t="s">
        <v>3094</v>
      </c>
      <c r="D2285" s="220" t="s">
        <v>59</v>
      </c>
      <c r="E2285" s="165">
        <v>665</v>
      </c>
    </row>
    <row r="2286" spans="1:5" x14ac:dyDescent="0.25">
      <c r="A2286" s="216" t="s">
        <v>3222</v>
      </c>
      <c r="B2286" s="218">
        <v>1</v>
      </c>
      <c r="C2286" s="220" t="s">
        <v>3223</v>
      </c>
      <c r="D2286" s="220" t="s">
        <v>130</v>
      </c>
      <c r="E2286" s="165">
        <v>665</v>
      </c>
    </row>
    <row r="2287" spans="1:5" x14ac:dyDescent="0.25">
      <c r="A2287" s="216" t="s">
        <v>3750</v>
      </c>
      <c r="B2287" s="218" t="s">
        <v>48</v>
      </c>
      <c r="C2287" s="220" t="s">
        <v>1115</v>
      </c>
      <c r="D2287" s="220" t="s">
        <v>93</v>
      </c>
      <c r="E2287" s="165">
        <v>664</v>
      </c>
    </row>
    <row r="2288" spans="1:5" x14ac:dyDescent="0.25">
      <c r="A2288" s="216" t="s">
        <v>4344</v>
      </c>
      <c r="B2288" s="218" t="s">
        <v>48</v>
      </c>
      <c r="C2288" s="220" t="s">
        <v>1730</v>
      </c>
      <c r="D2288" s="220" t="s">
        <v>585</v>
      </c>
      <c r="E2288" s="165">
        <v>662</v>
      </c>
    </row>
    <row r="2289" spans="1:5" x14ac:dyDescent="0.25">
      <c r="A2289" s="216" t="s">
        <v>3321</v>
      </c>
      <c r="B2289" s="218">
        <v>1</v>
      </c>
      <c r="C2289" s="220" t="s">
        <v>3322</v>
      </c>
      <c r="D2289" s="220" t="s">
        <v>50</v>
      </c>
      <c r="E2289" s="165">
        <v>662</v>
      </c>
    </row>
    <row r="2290" spans="1:5" x14ac:dyDescent="0.25">
      <c r="A2290" s="216" t="s">
        <v>3564</v>
      </c>
      <c r="B2290" s="218" t="s">
        <v>48</v>
      </c>
      <c r="C2290" s="220" t="s">
        <v>3565</v>
      </c>
      <c r="D2290" s="220" t="s">
        <v>774</v>
      </c>
      <c r="E2290" s="165">
        <v>659</v>
      </c>
    </row>
    <row r="2291" spans="1:5" x14ac:dyDescent="0.25">
      <c r="A2291" s="216" t="s">
        <v>3121</v>
      </c>
      <c r="B2291" s="218">
        <v>1</v>
      </c>
      <c r="C2291" s="220" t="s">
        <v>138</v>
      </c>
      <c r="D2291" s="220" t="s">
        <v>139</v>
      </c>
      <c r="E2291" s="165">
        <v>658</v>
      </c>
    </row>
    <row r="2292" spans="1:5" x14ac:dyDescent="0.25">
      <c r="A2292" s="216" t="s">
        <v>3429</v>
      </c>
      <c r="B2292" s="218">
        <v>1</v>
      </c>
      <c r="C2292" s="220" t="s">
        <v>104</v>
      </c>
      <c r="D2292" s="220" t="s">
        <v>105</v>
      </c>
      <c r="E2292" s="165">
        <v>658</v>
      </c>
    </row>
    <row r="2293" spans="1:5" x14ac:dyDescent="0.25">
      <c r="A2293" s="216" t="s">
        <v>3398</v>
      </c>
      <c r="B2293" s="218">
        <v>1</v>
      </c>
      <c r="C2293" s="220" t="s">
        <v>233</v>
      </c>
      <c r="D2293" s="220" t="s">
        <v>56</v>
      </c>
      <c r="E2293" s="165">
        <v>657</v>
      </c>
    </row>
    <row r="2294" spans="1:5" x14ac:dyDescent="0.25">
      <c r="A2294" s="216" t="s">
        <v>4533</v>
      </c>
      <c r="B2294" s="218">
        <v>1</v>
      </c>
      <c r="C2294" s="220" t="s">
        <v>3158</v>
      </c>
      <c r="D2294" s="220" t="s">
        <v>66</v>
      </c>
      <c r="E2294" s="165">
        <v>657</v>
      </c>
    </row>
    <row r="2295" spans="1:5" x14ac:dyDescent="0.25">
      <c r="A2295" s="216" t="s">
        <v>3513</v>
      </c>
      <c r="B2295" s="218" t="s">
        <v>48</v>
      </c>
      <c r="C2295" s="220" t="s">
        <v>3514</v>
      </c>
      <c r="D2295" s="220" t="s">
        <v>108</v>
      </c>
      <c r="E2295" s="165">
        <v>657</v>
      </c>
    </row>
    <row r="2296" spans="1:5" x14ac:dyDescent="0.25">
      <c r="A2296" s="216" t="s">
        <v>3447</v>
      </c>
      <c r="B2296" s="218">
        <v>1</v>
      </c>
      <c r="C2296" s="220" t="s">
        <v>2847</v>
      </c>
      <c r="D2296" s="220" t="s">
        <v>66</v>
      </c>
      <c r="E2296" s="165">
        <v>657</v>
      </c>
    </row>
    <row r="2297" spans="1:5" x14ac:dyDescent="0.25">
      <c r="A2297" s="216" t="s">
        <v>4263</v>
      </c>
      <c r="B2297" s="218">
        <v>1</v>
      </c>
      <c r="C2297" s="220" t="s">
        <v>4264</v>
      </c>
      <c r="D2297" s="220" t="s">
        <v>348</v>
      </c>
      <c r="E2297" s="165">
        <v>656</v>
      </c>
    </row>
    <row r="2298" spans="1:5" x14ac:dyDescent="0.25">
      <c r="A2298" s="216" t="s">
        <v>3498</v>
      </c>
      <c r="B2298" s="218">
        <v>1</v>
      </c>
      <c r="C2298" s="220" t="s">
        <v>3499</v>
      </c>
      <c r="D2298" s="220" t="s">
        <v>63</v>
      </c>
      <c r="E2298" s="165">
        <v>655</v>
      </c>
    </row>
    <row r="2299" spans="1:5" x14ac:dyDescent="0.25">
      <c r="A2299" s="216" t="s">
        <v>3546</v>
      </c>
      <c r="B2299" s="218" t="s">
        <v>48</v>
      </c>
      <c r="C2299" s="220" t="s">
        <v>71</v>
      </c>
      <c r="D2299" s="220" t="s">
        <v>72</v>
      </c>
      <c r="E2299" s="165">
        <v>655</v>
      </c>
    </row>
    <row r="2300" spans="1:5" x14ac:dyDescent="0.25">
      <c r="A2300" s="216" t="s">
        <v>2148</v>
      </c>
      <c r="B2300" s="218">
        <v>1</v>
      </c>
      <c r="C2300" s="220" t="s">
        <v>624</v>
      </c>
      <c r="D2300" s="220" t="s">
        <v>130</v>
      </c>
      <c r="E2300" s="165">
        <v>655</v>
      </c>
    </row>
    <row r="2301" spans="1:5" x14ac:dyDescent="0.25">
      <c r="A2301" s="216" t="s">
        <v>2921</v>
      </c>
      <c r="B2301" s="218" t="s">
        <v>48</v>
      </c>
      <c r="C2301" s="220" t="s">
        <v>679</v>
      </c>
      <c r="D2301" s="220" t="s">
        <v>206</v>
      </c>
      <c r="E2301" s="165">
        <v>655</v>
      </c>
    </row>
    <row r="2302" spans="1:5" x14ac:dyDescent="0.25">
      <c r="A2302" s="216" t="s">
        <v>3605</v>
      </c>
      <c r="B2302" s="218">
        <v>1</v>
      </c>
      <c r="C2302" s="220" t="s">
        <v>188</v>
      </c>
      <c r="D2302" s="220" t="s">
        <v>63</v>
      </c>
      <c r="E2302" s="165">
        <v>654</v>
      </c>
    </row>
    <row r="2303" spans="1:5" x14ac:dyDescent="0.25">
      <c r="A2303" s="216" t="s">
        <v>3163</v>
      </c>
      <c r="B2303" s="218" t="s">
        <v>48</v>
      </c>
      <c r="C2303" s="220" t="s">
        <v>3164</v>
      </c>
      <c r="D2303" s="220" t="s">
        <v>69</v>
      </c>
      <c r="E2303" s="165">
        <v>654</v>
      </c>
    </row>
    <row r="2304" spans="1:5" x14ac:dyDescent="0.25">
      <c r="A2304" s="216" t="s">
        <v>3422</v>
      </c>
      <c r="B2304" s="218">
        <v>1</v>
      </c>
      <c r="C2304" s="220" t="s">
        <v>3423</v>
      </c>
      <c r="D2304" s="220" t="s">
        <v>69</v>
      </c>
      <c r="E2304" s="165">
        <v>654</v>
      </c>
    </row>
    <row r="2305" spans="1:5" x14ac:dyDescent="0.25">
      <c r="A2305" s="216" t="s">
        <v>3186</v>
      </c>
      <c r="B2305" s="218">
        <v>1</v>
      </c>
      <c r="C2305" s="220" t="s">
        <v>1006</v>
      </c>
      <c r="D2305" s="220" t="s">
        <v>277</v>
      </c>
      <c r="E2305" s="165">
        <v>653</v>
      </c>
    </row>
    <row r="2306" spans="1:5" x14ac:dyDescent="0.25">
      <c r="A2306" s="216" t="s">
        <v>3383</v>
      </c>
      <c r="B2306" s="218" t="s">
        <v>48</v>
      </c>
      <c r="C2306" s="220" t="s">
        <v>3384</v>
      </c>
      <c r="D2306" s="220" t="s">
        <v>53</v>
      </c>
      <c r="E2306" s="165">
        <v>652</v>
      </c>
    </row>
    <row r="2307" spans="1:5" x14ac:dyDescent="0.25">
      <c r="A2307" s="216" t="s">
        <v>3320</v>
      </c>
      <c r="B2307" s="218">
        <v>1</v>
      </c>
      <c r="C2307" s="220" t="s">
        <v>2015</v>
      </c>
      <c r="D2307" s="220" t="s">
        <v>142</v>
      </c>
      <c r="E2307" s="165">
        <v>652</v>
      </c>
    </row>
    <row r="2308" spans="1:5" x14ac:dyDescent="0.25">
      <c r="A2308" s="216" t="s">
        <v>5886</v>
      </c>
      <c r="B2308" s="218" t="s">
        <v>48</v>
      </c>
      <c r="C2308" s="220" t="s">
        <v>5887</v>
      </c>
      <c r="D2308" s="220" t="s">
        <v>139</v>
      </c>
      <c r="E2308" s="165">
        <v>651</v>
      </c>
    </row>
    <row r="2309" spans="1:5" x14ac:dyDescent="0.25">
      <c r="A2309" s="216" t="s">
        <v>3069</v>
      </c>
      <c r="B2309" s="218">
        <v>1</v>
      </c>
      <c r="C2309" s="220" t="s">
        <v>1622</v>
      </c>
      <c r="D2309" s="220" t="s">
        <v>56</v>
      </c>
      <c r="E2309" s="165">
        <v>651</v>
      </c>
    </row>
    <row r="2310" spans="1:5" x14ac:dyDescent="0.25">
      <c r="A2310" s="216" t="s">
        <v>3974</v>
      </c>
      <c r="B2310" s="218">
        <v>1</v>
      </c>
      <c r="C2310" s="220" t="s">
        <v>1017</v>
      </c>
      <c r="D2310" s="220" t="s">
        <v>337</v>
      </c>
      <c r="E2310" s="165">
        <v>651</v>
      </c>
    </row>
    <row r="2311" spans="1:5" x14ac:dyDescent="0.25">
      <c r="A2311" s="216" t="s">
        <v>3013</v>
      </c>
      <c r="B2311" s="218" t="s">
        <v>48</v>
      </c>
      <c r="C2311" s="220" t="s">
        <v>257</v>
      </c>
      <c r="D2311" s="220" t="s">
        <v>108</v>
      </c>
      <c r="E2311" s="165">
        <v>651</v>
      </c>
    </row>
    <row r="2312" spans="1:5" x14ac:dyDescent="0.25">
      <c r="A2312" s="216" t="s">
        <v>3532</v>
      </c>
      <c r="B2312" s="218" t="s">
        <v>48</v>
      </c>
      <c r="C2312" s="220" t="s">
        <v>2175</v>
      </c>
      <c r="D2312" s="220" t="s">
        <v>53</v>
      </c>
      <c r="E2312" s="165">
        <v>651</v>
      </c>
    </row>
    <row r="2313" spans="1:5" x14ac:dyDescent="0.25">
      <c r="A2313" s="216" t="s">
        <v>3566</v>
      </c>
      <c r="B2313" s="218" t="s">
        <v>48</v>
      </c>
      <c r="C2313" s="220" t="s">
        <v>3567</v>
      </c>
      <c r="D2313" s="220" t="s">
        <v>66</v>
      </c>
      <c r="E2313" s="165">
        <v>650</v>
      </c>
    </row>
    <row r="2314" spans="1:5" x14ac:dyDescent="0.25">
      <c r="A2314" s="216" t="s">
        <v>4111</v>
      </c>
      <c r="B2314" s="218" t="s">
        <v>48</v>
      </c>
      <c r="C2314" s="220" t="s">
        <v>3861</v>
      </c>
      <c r="D2314" s="220" t="s">
        <v>118</v>
      </c>
      <c r="E2314" s="165">
        <v>650</v>
      </c>
    </row>
    <row r="2315" spans="1:5" x14ac:dyDescent="0.25">
      <c r="A2315" s="216" t="s">
        <v>3579</v>
      </c>
      <c r="B2315" s="218" t="s">
        <v>48</v>
      </c>
      <c r="C2315" s="220" t="s">
        <v>270</v>
      </c>
      <c r="D2315" s="220" t="s">
        <v>177</v>
      </c>
      <c r="E2315" s="165">
        <v>650</v>
      </c>
    </row>
    <row r="2316" spans="1:5" x14ac:dyDescent="0.25">
      <c r="A2316" s="216" t="s">
        <v>4136</v>
      </c>
      <c r="B2316" s="218">
        <v>1</v>
      </c>
      <c r="C2316" s="220" t="s">
        <v>4137</v>
      </c>
      <c r="D2316" s="220" t="s">
        <v>72</v>
      </c>
      <c r="E2316" s="165">
        <v>650</v>
      </c>
    </row>
    <row r="2317" spans="1:5" x14ac:dyDescent="0.25">
      <c r="A2317" s="216" t="s">
        <v>4441</v>
      </c>
      <c r="B2317" s="218" t="s">
        <v>48</v>
      </c>
      <c r="C2317" s="220" t="s">
        <v>4442</v>
      </c>
      <c r="D2317" s="220" t="s">
        <v>139</v>
      </c>
      <c r="E2317" s="165">
        <v>650</v>
      </c>
    </row>
    <row r="2318" spans="1:5" x14ac:dyDescent="0.25">
      <c r="A2318" s="216" t="s">
        <v>3331</v>
      </c>
      <c r="B2318" s="218" t="s">
        <v>48</v>
      </c>
      <c r="C2318" s="220" t="s">
        <v>121</v>
      </c>
      <c r="D2318" s="220" t="s">
        <v>56</v>
      </c>
      <c r="E2318" s="165">
        <v>650</v>
      </c>
    </row>
    <row r="2319" spans="1:5" x14ac:dyDescent="0.25">
      <c r="A2319" s="216" t="s">
        <v>6134</v>
      </c>
      <c r="B2319" s="218" t="s">
        <v>48</v>
      </c>
      <c r="C2319" s="220" t="s">
        <v>536</v>
      </c>
      <c r="D2319" s="220" t="s">
        <v>56</v>
      </c>
      <c r="E2319" s="165">
        <v>650</v>
      </c>
    </row>
    <row r="2320" spans="1:5" x14ac:dyDescent="0.25">
      <c r="A2320" s="216" t="s">
        <v>3473</v>
      </c>
      <c r="B2320" s="218">
        <v>1</v>
      </c>
      <c r="C2320" s="220" t="s">
        <v>3474</v>
      </c>
      <c r="D2320" s="220" t="s">
        <v>192</v>
      </c>
      <c r="E2320" s="165">
        <v>649</v>
      </c>
    </row>
    <row r="2321" spans="1:5" x14ac:dyDescent="0.25">
      <c r="A2321" s="216" t="s">
        <v>3475</v>
      </c>
      <c r="B2321" s="218">
        <v>1</v>
      </c>
      <c r="C2321" s="220" t="s">
        <v>11094</v>
      </c>
      <c r="D2321" s="220" t="s">
        <v>192</v>
      </c>
      <c r="E2321" s="165">
        <v>649</v>
      </c>
    </row>
    <row r="2322" spans="1:5" x14ac:dyDescent="0.25">
      <c r="A2322" s="216" t="s">
        <v>3585</v>
      </c>
      <c r="B2322" s="218">
        <v>1</v>
      </c>
      <c r="C2322" s="220" t="s">
        <v>3586</v>
      </c>
      <c r="D2322" s="220" t="s">
        <v>56</v>
      </c>
      <c r="E2322" s="165">
        <v>648</v>
      </c>
    </row>
    <row r="2323" spans="1:5" x14ac:dyDescent="0.25">
      <c r="A2323" s="216" t="s">
        <v>3229</v>
      </c>
      <c r="B2323" s="218" t="s">
        <v>48</v>
      </c>
      <c r="C2323" s="220" t="s">
        <v>470</v>
      </c>
      <c r="D2323" s="220" t="s">
        <v>108</v>
      </c>
      <c r="E2323" s="165">
        <v>647</v>
      </c>
    </row>
    <row r="2324" spans="1:5" x14ac:dyDescent="0.25">
      <c r="A2324" s="216" t="s">
        <v>4405</v>
      </c>
      <c r="B2324" s="218" t="s">
        <v>48</v>
      </c>
      <c r="C2324" s="220" t="s">
        <v>4406</v>
      </c>
      <c r="D2324" s="220" t="s">
        <v>166</v>
      </c>
      <c r="E2324" s="165">
        <v>647</v>
      </c>
    </row>
    <row r="2325" spans="1:5" x14ac:dyDescent="0.25">
      <c r="A2325" s="216" t="s">
        <v>3589</v>
      </c>
      <c r="B2325" s="218" t="s">
        <v>48</v>
      </c>
      <c r="C2325" s="220" t="s">
        <v>2432</v>
      </c>
      <c r="D2325" s="220" t="s">
        <v>66</v>
      </c>
      <c r="E2325" s="165">
        <v>646</v>
      </c>
    </row>
    <row r="2326" spans="1:5" x14ac:dyDescent="0.25">
      <c r="A2326" s="216" t="s">
        <v>3590</v>
      </c>
      <c r="B2326" s="218" t="s">
        <v>48</v>
      </c>
      <c r="C2326" s="220" t="s">
        <v>994</v>
      </c>
      <c r="D2326" s="220" t="s">
        <v>277</v>
      </c>
      <c r="E2326" s="165">
        <v>645</v>
      </c>
    </row>
    <row r="2327" spans="1:5" x14ac:dyDescent="0.25">
      <c r="A2327" s="216" t="s">
        <v>3527</v>
      </c>
      <c r="B2327" s="218">
        <v>1</v>
      </c>
      <c r="C2327" s="220" t="s">
        <v>1050</v>
      </c>
      <c r="D2327" s="220" t="s">
        <v>63</v>
      </c>
      <c r="E2327" s="165">
        <v>645</v>
      </c>
    </row>
    <row r="2328" spans="1:5" x14ac:dyDescent="0.25">
      <c r="A2328" s="216" t="s">
        <v>1932</v>
      </c>
      <c r="B2328" s="218">
        <v>1</v>
      </c>
      <c r="C2328" s="220" t="s">
        <v>159</v>
      </c>
      <c r="D2328" s="220" t="s">
        <v>130</v>
      </c>
      <c r="E2328" s="165">
        <v>645</v>
      </c>
    </row>
    <row r="2329" spans="1:5" x14ac:dyDescent="0.25">
      <c r="A2329" s="216" t="s">
        <v>3580</v>
      </c>
      <c r="B2329" s="218">
        <v>1</v>
      </c>
      <c r="C2329" s="220" t="s">
        <v>3581</v>
      </c>
      <c r="D2329" s="220" t="s">
        <v>69</v>
      </c>
      <c r="E2329" s="165">
        <v>645</v>
      </c>
    </row>
    <row r="2330" spans="1:5" x14ac:dyDescent="0.25">
      <c r="A2330" s="216" t="s">
        <v>3418</v>
      </c>
      <c r="B2330" s="218">
        <v>1</v>
      </c>
      <c r="C2330" s="220" t="s">
        <v>1001</v>
      </c>
      <c r="D2330" s="220" t="s">
        <v>188</v>
      </c>
      <c r="E2330" s="165">
        <v>645</v>
      </c>
    </row>
    <row r="2331" spans="1:5" x14ac:dyDescent="0.25">
      <c r="A2331" s="216" t="s">
        <v>3659</v>
      </c>
      <c r="B2331" s="218">
        <v>1</v>
      </c>
      <c r="C2331" s="220" t="s">
        <v>3660</v>
      </c>
      <c r="D2331" s="220" t="s">
        <v>139</v>
      </c>
      <c r="E2331" s="165">
        <v>644</v>
      </c>
    </row>
    <row r="2332" spans="1:5" x14ac:dyDescent="0.25">
      <c r="A2332" s="216" t="s">
        <v>3562</v>
      </c>
      <c r="B2332" s="218" t="s">
        <v>48</v>
      </c>
      <c r="C2332" s="220" t="s">
        <v>3563</v>
      </c>
      <c r="D2332" s="220" t="s">
        <v>53</v>
      </c>
      <c r="E2332" s="165">
        <v>644</v>
      </c>
    </row>
    <row r="2333" spans="1:5" x14ac:dyDescent="0.25">
      <c r="A2333" s="216" t="s">
        <v>3988</v>
      </c>
      <c r="B2333" s="218" t="s">
        <v>48</v>
      </c>
      <c r="C2333" s="220" t="s">
        <v>3342</v>
      </c>
      <c r="D2333" s="220" t="s">
        <v>90</v>
      </c>
      <c r="E2333" s="165">
        <v>643</v>
      </c>
    </row>
    <row r="2334" spans="1:5" x14ac:dyDescent="0.25">
      <c r="A2334" s="216" t="s">
        <v>3032</v>
      </c>
      <c r="B2334" s="218">
        <v>1</v>
      </c>
      <c r="C2334" s="220" t="s">
        <v>3033</v>
      </c>
      <c r="D2334" s="220" t="s">
        <v>50</v>
      </c>
      <c r="E2334" s="165">
        <v>643</v>
      </c>
    </row>
    <row r="2335" spans="1:5" x14ac:dyDescent="0.25">
      <c r="A2335" s="216" t="s">
        <v>3202</v>
      </c>
      <c r="B2335" s="218">
        <v>1</v>
      </c>
      <c r="C2335" s="220" t="s">
        <v>3203</v>
      </c>
      <c r="D2335" s="220" t="s">
        <v>93</v>
      </c>
      <c r="E2335" s="165">
        <v>643</v>
      </c>
    </row>
    <row r="2336" spans="1:5" x14ac:dyDescent="0.25">
      <c r="A2336" s="216" t="s">
        <v>11095</v>
      </c>
      <c r="B2336" s="218">
        <v>1</v>
      </c>
      <c r="C2336" s="220" t="s">
        <v>138</v>
      </c>
      <c r="D2336" s="220" t="s">
        <v>139</v>
      </c>
      <c r="E2336" s="165">
        <v>642</v>
      </c>
    </row>
    <row r="2337" spans="1:5" x14ac:dyDescent="0.25">
      <c r="A2337" s="216" t="s">
        <v>3376</v>
      </c>
      <c r="B2337" s="218">
        <v>1</v>
      </c>
      <c r="C2337" s="220" t="s">
        <v>3377</v>
      </c>
      <c r="D2337" s="220" t="s">
        <v>78</v>
      </c>
      <c r="E2337" s="165">
        <v>641</v>
      </c>
    </row>
    <row r="2338" spans="1:5" x14ac:dyDescent="0.25">
      <c r="A2338" s="216" t="s">
        <v>7194</v>
      </c>
      <c r="B2338" s="218">
        <v>1</v>
      </c>
      <c r="C2338" s="220" t="s">
        <v>2138</v>
      </c>
      <c r="D2338" s="220" t="s">
        <v>394</v>
      </c>
      <c r="E2338" s="165">
        <v>641</v>
      </c>
    </row>
    <row r="2339" spans="1:5" x14ac:dyDescent="0.25">
      <c r="A2339" s="216" t="s">
        <v>4164</v>
      </c>
      <c r="B2339" s="218" t="s">
        <v>48</v>
      </c>
      <c r="C2339" s="220" t="s">
        <v>176</v>
      </c>
      <c r="D2339" s="220" t="s">
        <v>177</v>
      </c>
      <c r="E2339" s="165">
        <v>639</v>
      </c>
    </row>
    <row r="2340" spans="1:5" x14ac:dyDescent="0.25">
      <c r="A2340" s="216" t="s">
        <v>3793</v>
      </c>
      <c r="B2340" s="218">
        <v>1</v>
      </c>
      <c r="C2340" s="220" t="s">
        <v>2562</v>
      </c>
      <c r="D2340" s="220" t="s">
        <v>201</v>
      </c>
      <c r="E2340" s="165">
        <v>639</v>
      </c>
    </row>
    <row r="2341" spans="1:5" x14ac:dyDescent="0.25">
      <c r="A2341" s="216" t="s">
        <v>3492</v>
      </c>
      <c r="B2341" s="218">
        <v>1</v>
      </c>
      <c r="C2341" s="220" t="s">
        <v>845</v>
      </c>
      <c r="D2341" s="220" t="s">
        <v>66</v>
      </c>
      <c r="E2341" s="165">
        <v>639</v>
      </c>
    </row>
    <row r="2342" spans="1:5" x14ac:dyDescent="0.25">
      <c r="A2342" s="216" t="s">
        <v>3016</v>
      </c>
      <c r="B2342" s="218">
        <v>1</v>
      </c>
      <c r="C2342" s="220" t="s">
        <v>3017</v>
      </c>
      <c r="D2342" s="220" t="s">
        <v>523</v>
      </c>
      <c r="E2342" s="165">
        <v>639</v>
      </c>
    </row>
    <row r="2343" spans="1:5" x14ac:dyDescent="0.25">
      <c r="A2343" s="216" t="s">
        <v>3494</v>
      </c>
      <c r="B2343" s="218">
        <v>1</v>
      </c>
      <c r="C2343" s="220" t="s">
        <v>845</v>
      </c>
      <c r="D2343" s="220" t="s">
        <v>66</v>
      </c>
      <c r="E2343" s="165">
        <v>639</v>
      </c>
    </row>
    <row r="2344" spans="1:5" x14ac:dyDescent="0.25">
      <c r="A2344" s="216" t="s">
        <v>2672</v>
      </c>
      <c r="B2344" s="218" t="s">
        <v>48</v>
      </c>
      <c r="C2344" s="220" t="s">
        <v>2673</v>
      </c>
      <c r="D2344" s="220" t="s">
        <v>90</v>
      </c>
      <c r="E2344" s="165">
        <v>639</v>
      </c>
    </row>
    <row r="2345" spans="1:5" x14ac:dyDescent="0.25">
      <c r="A2345" s="216" t="s">
        <v>3496</v>
      </c>
      <c r="B2345" s="218">
        <v>1</v>
      </c>
      <c r="C2345" s="220" t="s">
        <v>3497</v>
      </c>
      <c r="D2345" s="220" t="s">
        <v>66</v>
      </c>
      <c r="E2345" s="165">
        <v>639</v>
      </c>
    </row>
    <row r="2346" spans="1:5" x14ac:dyDescent="0.25">
      <c r="A2346" s="216" t="s">
        <v>3399</v>
      </c>
      <c r="B2346" s="218">
        <v>1</v>
      </c>
      <c r="C2346" s="220" t="s">
        <v>1107</v>
      </c>
      <c r="D2346" s="220" t="s">
        <v>50</v>
      </c>
      <c r="E2346" s="165">
        <v>638</v>
      </c>
    </row>
    <row r="2347" spans="1:5" x14ac:dyDescent="0.25">
      <c r="A2347" s="216" t="s">
        <v>3461</v>
      </c>
      <c r="B2347" s="218" t="s">
        <v>48</v>
      </c>
      <c r="C2347" s="220" t="s">
        <v>988</v>
      </c>
      <c r="D2347" s="220" t="s">
        <v>69</v>
      </c>
      <c r="E2347" s="165">
        <v>638</v>
      </c>
    </row>
    <row r="2348" spans="1:5" x14ac:dyDescent="0.25">
      <c r="A2348" s="216" t="s">
        <v>4128</v>
      </c>
      <c r="B2348" s="218" t="s">
        <v>48</v>
      </c>
      <c r="C2348" s="220" t="s">
        <v>777</v>
      </c>
      <c r="D2348" s="220" t="s">
        <v>56</v>
      </c>
      <c r="E2348" s="165">
        <v>638</v>
      </c>
    </row>
    <row r="2349" spans="1:5" x14ac:dyDescent="0.25">
      <c r="A2349" s="216" t="s">
        <v>4435</v>
      </c>
      <c r="B2349" s="218">
        <v>1</v>
      </c>
      <c r="C2349" s="220" t="s">
        <v>1819</v>
      </c>
      <c r="D2349" s="220" t="s">
        <v>277</v>
      </c>
      <c r="E2349" s="165">
        <v>636</v>
      </c>
    </row>
    <row r="2350" spans="1:5" x14ac:dyDescent="0.25">
      <c r="A2350" s="216" t="s">
        <v>3526</v>
      </c>
      <c r="B2350" s="218" t="s">
        <v>48</v>
      </c>
      <c r="C2350" s="220" t="s">
        <v>473</v>
      </c>
      <c r="D2350" s="220" t="s">
        <v>82</v>
      </c>
      <c r="E2350" s="165">
        <v>635</v>
      </c>
    </row>
    <row r="2351" spans="1:5" x14ac:dyDescent="0.25">
      <c r="A2351" s="216" t="s">
        <v>3820</v>
      </c>
      <c r="B2351" s="218">
        <v>1</v>
      </c>
      <c r="C2351" s="220" t="s">
        <v>11096</v>
      </c>
      <c r="D2351" s="220" t="s">
        <v>118</v>
      </c>
      <c r="E2351" s="165">
        <v>635</v>
      </c>
    </row>
    <row r="2352" spans="1:5" x14ac:dyDescent="0.25">
      <c r="A2352" s="216" t="s">
        <v>3597</v>
      </c>
      <c r="B2352" s="218">
        <v>1</v>
      </c>
      <c r="C2352" s="220" t="s">
        <v>3598</v>
      </c>
      <c r="D2352" s="220" t="s">
        <v>394</v>
      </c>
      <c r="E2352" s="165">
        <v>635</v>
      </c>
    </row>
    <row r="2353" spans="1:5" x14ac:dyDescent="0.25">
      <c r="A2353" s="216" t="s">
        <v>1644</v>
      </c>
      <c r="B2353" s="218">
        <v>1</v>
      </c>
      <c r="C2353" s="220" t="s">
        <v>1645</v>
      </c>
      <c r="D2353" s="220" t="s">
        <v>130</v>
      </c>
      <c r="E2353" s="165">
        <v>634</v>
      </c>
    </row>
    <row r="2354" spans="1:5" x14ac:dyDescent="0.25">
      <c r="A2354" s="216" t="s">
        <v>3701</v>
      </c>
      <c r="B2354" s="218">
        <v>1</v>
      </c>
      <c r="C2354" s="220" t="s">
        <v>3326</v>
      </c>
      <c r="D2354" s="220" t="s">
        <v>139</v>
      </c>
      <c r="E2354" s="165">
        <v>634</v>
      </c>
    </row>
    <row r="2355" spans="1:5" x14ac:dyDescent="0.25">
      <c r="A2355" s="216" t="s">
        <v>3663</v>
      </c>
      <c r="B2355" s="218" t="s">
        <v>48</v>
      </c>
      <c r="C2355" s="220" t="s">
        <v>810</v>
      </c>
      <c r="D2355" s="220" t="s">
        <v>774</v>
      </c>
      <c r="E2355" s="165">
        <v>633</v>
      </c>
    </row>
    <row r="2356" spans="1:5" x14ac:dyDescent="0.25">
      <c r="A2356" s="216" t="s">
        <v>3530</v>
      </c>
      <c r="B2356" s="218">
        <v>1</v>
      </c>
      <c r="C2356" s="220" t="s">
        <v>3531</v>
      </c>
      <c r="D2356" s="220" t="s">
        <v>192</v>
      </c>
      <c r="E2356" s="165">
        <v>633</v>
      </c>
    </row>
    <row r="2357" spans="1:5" x14ac:dyDescent="0.25">
      <c r="A2357" s="216" t="s">
        <v>3356</v>
      </c>
      <c r="B2357" s="218">
        <v>1</v>
      </c>
      <c r="C2357" s="220" t="s">
        <v>3357</v>
      </c>
      <c r="D2357" s="220" t="s">
        <v>172</v>
      </c>
      <c r="E2357" s="165">
        <v>632</v>
      </c>
    </row>
    <row r="2358" spans="1:5" x14ac:dyDescent="0.25">
      <c r="A2358" s="216" t="s">
        <v>5364</v>
      </c>
      <c r="B2358" s="218" t="s">
        <v>48</v>
      </c>
      <c r="C2358" s="220" t="s">
        <v>135</v>
      </c>
      <c r="D2358" s="220" t="s">
        <v>108</v>
      </c>
      <c r="E2358" s="165">
        <v>632</v>
      </c>
    </row>
    <row r="2359" spans="1:5" x14ac:dyDescent="0.25">
      <c r="A2359" s="216" t="s">
        <v>3252</v>
      </c>
      <c r="B2359" s="218" t="s">
        <v>48</v>
      </c>
      <c r="C2359" s="220" t="s">
        <v>3253</v>
      </c>
      <c r="D2359" s="220" t="s">
        <v>75</v>
      </c>
      <c r="E2359" s="165">
        <v>632</v>
      </c>
    </row>
    <row r="2360" spans="1:5" x14ac:dyDescent="0.25">
      <c r="A2360" s="216" t="s">
        <v>3670</v>
      </c>
      <c r="B2360" s="218">
        <v>1</v>
      </c>
      <c r="C2360" s="220" t="s">
        <v>2423</v>
      </c>
      <c r="D2360" s="220" t="s">
        <v>188</v>
      </c>
      <c r="E2360" s="165">
        <v>631</v>
      </c>
    </row>
    <row r="2361" spans="1:5" x14ac:dyDescent="0.25">
      <c r="A2361" s="216" t="s">
        <v>3348</v>
      </c>
      <c r="B2361" s="218">
        <v>1</v>
      </c>
      <c r="C2361" s="220" t="s">
        <v>3349</v>
      </c>
      <c r="D2361" s="220" t="s">
        <v>142</v>
      </c>
      <c r="E2361" s="165">
        <v>631</v>
      </c>
    </row>
    <row r="2362" spans="1:5" x14ac:dyDescent="0.25">
      <c r="A2362" s="216" t="s">
        <v>11097</v>
      </c>
      <c r="B2362" s="218" t="s">
        <v>48</v>
      </c>
      <c r="C2362" s="220" t="s">
        <v>3347</v>
      </c>
      <c r="D2362" s="220" t="s">
        <v>166</v>
      </c>
      <c r="E2362" s="165">
        <v>631</v>
      </c>
    </row>
    <row r="2363" spans="1:5" x14ac:dyDescent="0.25">
      <c r="A2363" s="216" t="s">
        <v>3392</v>
      </c>
      <c r="B2363" s="218">
        <v>1</v>
      </c>
      <c r="C2363" s="220" t="s">
        <v>1801</v>
      </c>
      <c r="D2363" s="220" t="s">
        <v>1200</v>
      </c>
      <c r="E2363" s="165">
        <v>631</v>
      </c>
    </row>
    <row r="2364" spans="1:5" x14ac:dyDescent="0.25">
      <c r="A2364" s="216" t="s">
        <v>3648</v>
      </c>
      <c r="B2364" s="218">
        <v>1</v>
      </c>
      <c r="C2364" s="220" t="s">
        <v>3624</v>
      </c>
      <c r="D2364" s="220" t="s">
        <v>188</v>
      </c>
      <c r="E2364" s="165">
        <v>631</v>
      </c>
    </row>
    <row r="2365" spans="1:5" x14ac:dyDescent="0.25">
      <c r="A2365" s="216" t="s">
        <v>4753</v>
      </c>
      <c r="B2365" s="218" t="s">
        <v>48</v>
      </c>
      <c r="C2365" s="220" t="s">
        <v>4754</v>
      </c>
      <c r="D2365" s="220" t="s">
        <v>50</v>
      </c>
      <c r="E2365" s="165">
        <v>630</v>
      </c>
    </row>
    <row r="2366" spans="1:5" x14ac:dyDescent="0.25">
      <c r="A2366" s="216" t="s">
        <v>3669</v>
      </c>
      <c r="B2366" s="218">
        <v>1</v>
      </c>
      <c r="C2366" s="220" t="s">
        <v>428</v>
      </c>
      <c r="D2366" s="220" t="s">
        <v>394</v>
      </c>
      <c r="E2366" s="165">
        <v>630</v>
      </c>
    </row>
    <row r="2367" spans="1:5" x14ac:dyDescent="0.25">
      <c r="A2367" s="216" t="s">
        <v>3353</v>
      </c>
      <c r="B2367" s="218">
        <v>1</v>
      </c>
      <c r="C2367" s="220" t="s">
        <v>1010</v>
      </c>
      <c r="D2367" s="220" t="s">
        <v>517</v>
      </c>
      <c r="E2367" s="165">
        <v>629</v>
      </c>
    </row>
    <row r="2368" spans="1:5" x14ac:dyDescent="0.25">
      <c r="A2368" s="216" t="s">
        <v>3684</v>
      </c>
      <c r="B2368" s="218" t="s">
        <v>48</v>
      </c>
      <c r="C2368" s="220" t="s">
        <v>3685</v>
      </c>
      <c r="D2368" s="220" t="s">
        <v>90</v>
      </c>
      <c r="E2368" s="165">
        <v>628</v>
      </c>
    </row>
    <row r="2369" spans="1:5" x14ac:dyDescent="0.25">
      <c r="A2369" s="216" t="s">
        <v>3644</v>
      </c>
      <c r="B2369" s="218" t="s">
        <v>48</v>
      </c>
      <c r="C2369" s="220" t="s">
        <v>3645</v>
      </c>
      <c r="D2369" s="220" t="s">
        <v>177</v>
      </c>
      <c r="E2369" s="165">
        <v>628</v>
      </c>
    </row>
    <row r="2370" spans="1:5" x14ac:dyDescent="0.25">
      <c r="A2370" s="216" t="s">
        <v>3249</v>
      </c>
      <c r="B2370" s="218">
        <v>1</v>
      </c>
      <c r="C2370" s="220" t="s">
        <v>3250</v>
      </c>
      <c r="D2370" s="220" t="s">
        <v>98</v>
      </c>
      <c r="E2370" s="165">
        <v>628</v>
      </c>
    </row>
    <row r="2371" spans="1:5" x14ac:dyDescent="0.25">
      <c r="A2371" s="216" t="s">
        <v>3614</v>
      </c>
      <c r="B2371" s="218" t="s">
        <v>48</v>
      </c>
      <c r="C2371" s="220" t="s">
        <v>3615</v>
      </c>
      <c r="D2371" s="220" t="s">
        <v>63</v>
      </c>
      <c r="E2371" s="165">
        <v>627</v>
      </c>
    </row>
    <row r="2372" spans="1:5" x14ac:dyDescent="0.25">
      <c r="A2372" s="216" t="s">
        <v>7330</v>
      </c>
      <c r="B2372" s="218" t="s">
        <v>48</v>
      </c>
      <c r="C2372" s="220" t="s">
        <v>547</v>
      </c>
      <c r="D2372" s="220" t="s">
        <v>93</v>
      </c>
      <c r="E2372" s="165">
        <v>626</v>
      </c>
    </row>
    <row r="2373" spans="1:5" x14ac:dyDescent="0.25">
      <c r="A2373" s="216" t="s">
        <v>3569</v>
      </c>
      <c r="B2373" s="218" t="s">
        <v>48</v>
      </c>
      <c r="C2373" s="220" t="s">
        <v>3570</v>
      </c>
      <c r="D2373" s="220" t="s">
        <v>56</v>
      </c>
      <c r="E2373" s="165">
        <v>625</v>
      </c>
    </row>
    <row r="2374" spans="1:5" x14ac:dyDescent="0.25">
      <c r="A2374" s="216" t="s">
        <v>3744</v>
      </c>
      <c r="B2374" s="218" t="s">
        <v>48</v>
      </c>
      <c r="C2374" s="220" t="s">
        <v>3745</v>
      </c>
      <c r="D2374" s="220" t="s">
        <v>56</v>
      </c>
      <c r="E2374" s="165">
        <v>625</v>
      </c>
    </row>
    <row r="2375" spans="1:5" x14ac:dyDescent="0.25">
      <c r="A2375" s="216" t="s">
        <v>3230</v>
      </c>
      <c r="B2375" s="218">
        <v>1</v>
      </c>
      <c r="C2375" s="220" t="s">
        <v>3231</v>
      </c>
      <c r="D2375" s="220" t="s">
        <v>118</v>
      </c>
      <c r="E2375" s="165">
        <v>624</v>
      </c>
    </row>
    <row r="2376" spans="1:5" x14ac:dyDescent="0.25">
      <c r="A2376" s="216" t="s">
        <v>3233</v>
      </c>
      <c r="B2376" s="218">
        <v>1</v>
      </c>
      <c r="C2376" s="220" t="s">
        <v>161</v>
      </c>
      <c r="D2376" s="220" t="s">
        <v>118</v>
      </c>
      <c r="E2376" s="165">
        <v>624</v>
      </c>
    </row>
    <row r="2377" spans="1:5" x14ac:dyDescent="0.25">
      <c r="A2377" s="216" t="s">
        <v>3234</v>
      </c>
      <c r="B2377" s="218">
        <v>1</v>
      </c>
      <c r="C2377" s="220" t="s">
        <v>3235</v>
      </c>
      <c r="D2377" s="220" t="s">
        <v>118</v>
      </c>
      <c r="E2377" s="165">
        <v>624</v>
      </c>
    </row>
    <row r="2378" spans="1:5" x14ac:dyDescent="0.25">
      <c r="A2378" s="216" t="s">
        <v>3372</v>
      </c>
      <c r="B2378" s="218">
        <v>1</v>
      </c>
      <c r="C2378" s="220" t="s">
        <v>522</v>
      </c>
      <c r="D2378" s="220" t="s">
        <v>523</v>
      </c>
      <c r="E2378" s="165">
        <v>624</v>
      </c>
    </row>
    <row r="2379" spans="1:5" x14ac:dyDescent="0.25">
      <c r="A2379" s="216" t="s">
        <v>3600</v>
      </c>
      <c r="B2379" s="218" t="s">
        <v>48</v>
      </c>
      <c r="C2379" s="220" t="s">
        <v>3601</v>
      </c>
      <c r="D2379" s="220" t="s">
        <v>139</v>
      </c>
      <c r="E2379" s="165">
        <v>623</v>
      </c>
    </row>
    <row r="2380" spans="1:5" x14ac:dyDescent="0.25">
      <c r="A2380" s="216" t="s">
        <v>3297</v>
      </c>
      <c r="B2380" s="218">
        <v>1</v>
      </c>
      <c r="C2380" s="220" t="s">
        <v>257</v>
      </c>
      <c r="D2380" s="220" t="s">
        <v>108</v>
      </c>
      <c r="E2380" s="165">
        <v>623</v>
      </c>
    </row>
    <row r="2381" spans="1:5" x14ac:dyDescent="0.25">
      <c r="A2381" s="216" t="s">
        <v>4972</v>
      </c>
      <c r="B2381" s="218">
        <v>1</v>
      </c>
      <c r="C2381" s="220" t="s">
        <v>159</v>
      </c>
      <c r="D2381" s="220" t="s">
        <v>130</v>
      </c>
      <c r="E2381" s="165">
        <v>622</v>
      </c>
    </row>
    <row r="2382" spans="1:5" x14ac:dyDescent="0.25">
      <c r="A2382" s="216" t="s">
        <v>3515</v>
      </c>
      <c r="B2382" s="218">
        <v>1</v>
      </c>
      <c r="C2382" s="220" t="s">
        <v>2938</v>
      </c>
      <c r="D2382" s="220" t="s">
        <v>56</v>
      </c>
      <c r="E2382" s="165">
        <v>620</v>
      </c>
    </row>
    <row r="2383" spans="1:5" x14ac:dyDescent="0.25">
      <c r="A2383" s="216" t="s">
        <v>3791</v>
      </c>
      <c r="B2383" s="218" t="s">
        <v>48</v>
      </c>
      <c r="C2383" s="220" t="s">
        <v>3423</v>
      </c>
      <c r="D2383" s="220" t="s">
        <v>69</v>
      </c>
      <c r="E2383" s="165">
        <v>620</v>
      </c>
    </row>
    <row r="2384" spans="1:5" x14ac:dyDescent="0.25">
      <c r="A2384" s="216" t="s">
        <v>3452</v>
      </c>
      <c r="B2384" s="218">
        <v>1</v>
      </c>
      <c r="C2384" s="220" t="s">
        <v>86</v>
      </c>
      <c r="D2384" s="220" t="s">
        <v>78</v>
      </c>
      <c r="E2384" s="165">
        <v>620</v>
      </c>
    </row>
    <row r="2385" spans="1:5" x14ac:dyDescent="0.25">
      <c r="A2385" s="216" t="s">
        <v>3768</v>
      </c>
      <c r="B2385" s="218">
        <v>1</v>
      </c>
      <c r="C2385" s="220" t="s">
        <v>3769</v>
      </c>
      <c r="D2385" s="220" t="s">
        <v>139</v>
      </c>
      <c r="E2385" s="165">
        <v>619</v>
      </c>
    </row>
    <row r="2386" spans="1:5" x14ac:dyDescent="0.25">
      <c r="A2386" s="216" t="s">
        <v>3865</v>
      </c>
      <c r="B2386" s="218" t="s">
        <v>48</v>
      </c>
      <c r="C2386" s="220" t="s">
        <v>536</v>
      </c>
      <c r="D2386" s="220" t="s">
        <v>93</v>
      </c>
      <c r="E2386" s="165">
        <v>619</v>
      </c>
    </row>
    <row r="2387" spans="1:5" x14ac:dyDescent="0.25">
      <c r="A2387" s="216" t="s">
        <v>3735</v>
      </c>
      <c r="B2387" s="218">
        <v>1</v>
      </c>
      <c r="C2387" s="220" t="s">
        <v>3736</v>
      </c>
      <c r="D2387" s="220" t="s">
        <v>188</v>
      </c>
      <c r="E2387" s="165">
        <v>617</v>
      </c>
    </row>
    <row r="2388" spans="1:5" x14ac:dyDescent="0.25">
      <c r="A2388" s="216" t="s">
        <v>3668</v>
      </c>
      <c r="B2388" s="218" t="s">
        <v>48</v>
      </c>
      <c r="C2388" s="220" t="s">
        <v>1045</v>
      </c>
      <c r="D2388" s="220" t="s">
        <v>139</v>
      </c>
      <c r="E2388" s="165">
        <v>617</v>
      </c>
    </row>
    <row r="2389" spans="1:5" x14ac:dyDescent="0.25">
      <c r="A2389" s="216" t="s">
        <v>3604</v>
      </c>
      <c r="B2389" s="218" t="s">
        <v>48</v>
      </c>
      <c r="C2389" s="220" t="s">
        <v>511</v>
      </c>
      <c r="D2389" s="220" t="s">
        <v>82</v>
      </c>
      <c r="E2389" s="165">
        <v>616</v>
      </c>
    </row>
    <row r="2390" spans="1:5" x14ac:dyDescent="0.25">
      <c r="A2390" s="216" t="s">
        <v>3956</v>
      </c>
      <c r="B2390" s="218" t="s">
        <v>48</v>
      </c>
      <c r="C2390" s="220" t="s">
        <v>58</v>
      </c>
      <c r="D2390" s="220" t="s">
        <v>59</v>
      </c>
      <c r="E2390" s="165">
        <v>616</v>
      </c>
    </row>
    <row r="2391" spans="1:5" x14ac:dyDescent="0.25">
      <c r="A2391" s="216" t="s">
        <v>3265</v>
      </c>
      <c r="B2391" s="218">
        <v>1</v>
      </c>
      <c r="C2391" s="220" t="s">
        <v>3266</v>
      </c>
      <c r="D2391" s="220" t="s">
        <v>139</v>
      </c>
      <c r="E2391" s="165">
        <v>616</v>
      </c>
    </row>
    <row r="2392" spans="1:5" x14ac:dyDescent="0.25">
      <c r="A2392" s="216" t="s">
        <v>3578</v>
      </c>
      <c r="B2392" s="218">
        <v>1</v>
      </c>
      <c r="C2392" s="220" t="s">
        <v>65</v>
      </c>
      <c r="D2392" s="220" t="s">
        <v>66</v>
      </c>
      <c r="E2392" s="165">
        <v>616</v>
      </c>
    </row>
    <row r="2393" spans="1:5" x14ac:dyDescent="0.25">
      <c r="A2393" s="216" t="s">
        <v>4751</v>
      </c>
      <c r="B2393" s="218" t="s">
        <v>48</v>
      </c>
      <c r="C2393" s="220" t="s">
        <v>4752</v>
      </c>
      <c r="D2393" s="220" t="s">
        <v>177</v>
      </c>
      <c r="E2393" s="165">
        <v>615</v>
      </c>
    </row>
    <row r="2394" spans="1:5" x14ac:dyDescent="0.25">
      <c r="A2394" s="216" t="s">
        <v>4515</v>
      </c>
      <c r="B2394" s="218" t="s">
        <v>48</v>
      </c>
      <c r="C2394" s="220" t="s">
        <v>2443</v>
      </c>
      <c r="D2394" s="220" t="s">
        <v>59</v>
      </c>
      <c r="E2394" s="165">
        <v>615</v>
      </c>
    </row>
    <row r="2395" spans="1:5" x14ac:dyDescent="0.25">
      <c r="A2395" s="216" t="s">
        <v>3740</v>
      </c>
      <c r="B2395" s="218">
        <v>1</v>
      </c>
      <c r="C2395" s="220" t="s">
        <v>2091</v>
      </c>
      <c r="D2395" s="220" t="s">
        <v>188</v>
      </c>
      <c r="E2395" s="165">
        <v>615</v>
      </c>
    </row>
    <row r="2396" spans="1:5" x14ac:dyDescent="0.25">
      <c r="A2396" s="216" t="s">
        <v>3369</v>
      </c>
      <c r="B2396" s="218" t="s">
        <v>48</v>
      </c>
      <c r="C2396" s="220" t="s">
        <v>605</v>
      </c>
      <c r="D2396" s="220" t="s">
        <v>585</v>
      </c>
      <c r="E2396" s="165">
        <v>615</v>
      </c>
    </row>
    <row r="2397" spans="1:5" x14ac:dyDescent="0.25">
      <c r="A2397" s="216" t="s">
        <v>11098</v>
      </c>
      <c r="B2397" s="218">
        <v>1</v>
      </c>
      <c r="C2397" s="220" t="s">
        <v>342</v>
      </c>
      <c r="D2397" s="220" t="s">
        <v>277</v>
      </c>
      <c r="E2397" s="165">
        <v>615</v>
      </c>
    </row>
    <row r="2398" spans="1:5" x14ac:dyDescent="0.25">
      <c r="A2398" s="216" t="s">
        <v>3448</v>
      </c>
      <c r="B2398" s="218">
        <v>1</v>
      </c>
      <c r="C2398" s="220" t="s">
        <v>3449</v>
      </c>
      <c r="D2398" s="220" t="s">
        <v>774</v>
      </c>
      <c r="E2398" s="165">
        <v>615</v>
      </c>
    </row>
    <row r="2399" spans="1:5" x14ac:dyDescent="0.25">
      <c r="A2399" s="216" t="s">
        <v>2394</v>
      </c>
      <c r="B2399" s="218" t="s">
        <v>48</v>
      </c>
      <c r="C2399" s="220" t="s">
        <v>2395</v>
      </c>
      <c r="D2399" s="220" t="s">
        <v>206</v>
      </c>
      <c r="E2399" s="165">
        <v>614</v>
      </c>
    </row>
    <row r="2400" spans="1:5" x14ac:dyDescent="0.25">
      <c r="A2400" s="216" t="s">
        <v>4593</v>
      </c>
      <c r="B2400" s="218" t="s">
        <v>48</v>
      </c>
      <c r="C2400" s="220" t="s">
        <v>2676</v>
      </c>
      <c r="D2400" s="220" t="s">
        <v>59</v>
      </c>
      <c r="E2400" s="165">
        <v>614</v>
      </c>
    </row>
    <row r="2401" spans="1:5" x14ac:dyDescent="0.25">
      <c r="A2401" s="216" t="s">
        <v>3665</v>
      </c>
      <c r="B2401" s="218">
        <v>1</v>
      </c>
      <c r="C2401" s="220" t="s">
        <v>259</v>
      </c>
      <c r="D2401" s="220" t="s">
        <v>50</v>
      </c>
      <c r="E2401" s="165">
        <v>613</v>
      </c>
    </row>
    <row r="2402" spans="1:5" x14ac:dyDescent="0.25">
      <c r="A2402" s="216" t="s">
        <v>3721</v>
      </c>
      <c r="B2402" s="218">
        <v>1</v>
      </c>
      <c r="C2402" s="220" t="s">
        <v>477</v>
      </c>
      <c r="D2402" s="220" t="s">
        <v>56</v>
      </c>
      <c r="E2402" s="165">
        <v>612</v>
      </c>
    </row>
    <row r="2403" spans="1:5" x14ac:dyDescent="0.25">
      <c r="A2403" s="216" t="s">
        <v>3260</v>
      </c>
      <c r="B2403" s="218">
        <v>1</v>
      </c>
      <c r="C2403" s="220" t="s">
        <v>1241</v>
      </c>
      <c r="D2403" s="220" t="s">
        <v>72</v>
      </c>
      <c r="E2403" s="165">
        <v>612</v>
      </c>
    </row>
    <row r="2404" spans="1:5" x14ac:dyDescent="0.25">
      <c r="A2404" s="216" t="s">
        <v>11099</v>
      </c>
      <c r="B2404" s="218" t="s">
        <v>48</v>
      </c>
      <c r="C2404" s="220" t="s">
        <v>1353</v>
      </c>
      <c r="D2404" s="220" t="s">
        <v>63</v>
      </c>
      <c r="E2404" s="165">
        <v>611</v>
      </c>
    </row>
    <row r="2405" spans="1:5" x14ac:dyDescent="0.25">
      <c r="A2405" s="216" t="s">
        <v>3674</v>
      </c>
      <c r="B2405" s="218" t="s">
        <v>48</v>
      </c>
      <c r="C2405" s="220" t="s">
        <v>406</v>
      </c>
      <c r="D2405" s="220" t="s">
        <v>710</v>
      </c>
      <c r="E2405" s="165">
        <v>611</v>
      </c>
    </row>
    <row r="2406" spans="1:5" x14ac:dyDescent="0.25">
      <c r="A2406" s="216" t="s">
        <v>3649</v>
      </c>
      <c r="B2406" s="218">
        <v>1</v>
      </c>
      <c r="C2406" s="220" t="s">
        <v>3650</v>
      </c>
      <c r="D2406" s="220" t="s">
        <v>63</v>
      </c>
      <c r="E2406" s="165">
        <v>611</v>
      </c>
    </row>
    <row r="2407" spans="1:5" x14ac:dyDescent="0.25">
      <c r="A2407" s="216" t="s">
        <v>4247</v>
      </c>
      <c r="B2407" s="218">
        <v>1</v>
      </c>
      <c r="C2407" s="220" t="s">
        <v>2080</v>
      </c>
      <c r="D2407" s="220" t="s">
        <v>50</v>
      </c>
      <c r="E2407" s="165">
        <v>611</v>
      </c>
    </row>
    <row r="2408" spans="1:5" x14ac:dyDescent="0.25">
      <c r="A2408" s="216" t="s">
        <v>3574</v>
      </c>
      <c r="B2408" s="218">
        <v>1</v>
      </c>
      <c r="C2408" s="220" t="s">
        <v>3575</v>
      </c>
      <c r="D2408" s="220" t="s">
        <v>486</v>
      </c>
      <c r="E2408" s="165">
        <v>611</v>
      </c>
    </row>
    <row r="2409" spans="1:5" x14ac:dyDescent="0.25">
      <c r="A2409" s="216" t="s">
        <v>5124</v>
      </c>
      <c r="B2409" s="218" t="s">
        <v>48</v>
      </c>
      <c r="C2409" s="220" t="s">
        <v>353</v>
      </c>
      <c r="D2409" s="220" t="s">
        <v>108</v>
      </c>
      <c r="E2409" s="165">
        <v>611</v>
      </c>
    </row>
    <row r="2410" spans="1:5" x14ac:dyDescent="0.25">
      <c r="A2410" s="216" t="s">
        <v>3635</v>
      </c>
      <c r="B2410" s="218">
        <v>1</v>
      </c>
      <c r="C2410" s="220" t="s">
        <v>1991</v>
      </c>
      <c r="D2410" s="220" t="s">
        <v>78</v>
      </c>
      <c r="E2410" s="165">
        <v>611</v>
      </c>
    </row>
    <row r="2411" spans="1:5" x14ac:dyDescent="0.25">
      <c r="A2411" s="216" t="s">
        <v>3661</v>
      </c>
      <c r="B2411" s="218" t="s">
        <v>48</v>
      </c>
      <c r="C2411" s="220" t="s">
        <v>3662</v>
      </c>
      <c r="D2411" s="220" t="s">
        <v>166</v>
      </c>
      <c r="E2411" s="165">
        <v>610</v>
      </c>
    </row>
    <row r="2412" spans="1:5" x14ac:dyDescent="0.25">
      <c r="A2412" s="216" t="s">
        <v>3300</v>
      </c>
      <c r="B2412" s="218" t="s">
        <v>48</v>
      </c>
      <c r="C2412" s="220" t="s">
        <v>55</v>
      </c>
      <c r="D2412" s="220" t="s">
        <v>56</v>
      </c>
      <c r="E2412" s="165">
        <v>610</v>
      </c>
    </row>
    <row r="2413" spans="1:5" x14ac:dyDescent="0.25">
      <c r="A2413" s="216" t="s">
        <v>3595</v>
      </c>
      <c r="B2413" s="218" t="s">
        <v>48</v>
      </c>
      <c r="C2413" s="220" t="s">
        <v>3596</v>
      </c>
      <c r="D2413" s="220" t="s">
        <v>75</v>
      </c>
      <c r="E2413" s="165">
        <v>610</v>
      </c>
    </row>
    <row r="2414" spans="1:5" x14ac:dyDescent="0.25">
      <c r="A2414" s="216" t="s">
        <v>3404</v>
      </c>
      <c r="B2414" s="218">
        <v>1</v>
      </c>
      <c r="C2414" s="220" t="s">
        <v>393</v>
      </c>
      <c r="D2414" s="220" t="s">
        <v>394</v>
      </c>
      <c r="E2414" s="165">
        <v>610</v>
      </c>
    </row>
    <row r="2415" spans="1:5" x14ac:dyDescent="0.25">
      <c r="A2415" s="216" t="s">
        <v>2914</v>
      </c>
      <c r="B2415" s="218">
        <v>1</v>
      </c>
      <c r="C2415" s="220" t="s">
        <v>568</v>
      </c>
      <c r="D2415" s="220" t="s">
        <v>93</v>
      </c>
      <c r="E2415" s="165">
        <v>609</v>
      </c>
    </row>
    <row r="2416" spans="1:5" x14ac:dyDescent="0.25">
      <c r="A2416" s="216" t="s">
        <v>3807</v>
      </c>
      <c r="B2416" s="218">
        <v>1</v>
      </c>
      <c r="C2416" s="220" t="s">
        <v>3808</v>
      </c>
      <c r="D2416" s="220" t="s">
        <v>63</v>
      </c>
      <c r="E2416" s="165">
        <v>609</v>
      </c>
    </row>
    <row r="2417" spans="1:5" x14ac:dyDescent="0.25">
      <c r="A2417" s="216" t="s">
        <v>4092</v>
      </c>
      <c r="B2417" s="218" t="s">
        <v>48</v>
      </c>
      <c r="C2417" s="220" t="s">
        <v>1025</v>
      </c>
      <c r="D2417" s="220" t="s">
        <v>75</v>
      </c>
      <c r="E2417" s="165">
        <v>608</v>
      </c>
    </row>
    <row r="2418" spans="1:5" x14ac:dyDescent="0.25">
      <c r="A2418" s="216" t="s">
        <v>2788</v>
      </c>
      <c r="B2418" s="218" t="s">
        <v>48</v>
      </c>
      <c r="C2418" s="220" t="s">
        <v>2789</v>
      </c>
      <c r="D2418" s="220" t="s">
        <v>56</v>
      </c>
      <c r="E2418" s="165">
        <v>608</v>
      </c>
    </row>
    <row r="2419" spans="1:5" x14ac:dyDescent="0.25">
      <c r="A2419" s="216" t="s">
        <v>2663</v>
      </c>
      <c r="B2419" s="218" t="s">
        <v>48</v>
      </c>
      <c r="C2419" s="220" t="s">
        <v>102</v>
      </c>
      <c r="D2419" s="220" t="s">
        <v>93</v>
      </c>
      <c r="E2419" s="165">
        <v>607</v>
      </c>
    </row>
    <row r="2420" spans="1:5" x14ac:dyDescent="0.25">
      <c r="A2420" s="216" t="s">
        <v>3502</v>
      </c>
      <c r="B2420" s="218">
        <v>1</v>
      </c>
      <c r="C2420" s="220" t="s">
        <v>2706</v>
      </c>
      <c r="D2420" s="220" t="s">
        <v>50</v>
      </c>
      <c r="E2420" s="165">
        <v>607</v>
      </c>
    </row>
    <row r="2421" spans="1:5" x14ac:dyDescent="0.25">
      <c r="A2421" s="216" t="s">
        <v>3845</v>
      </c>
      <c r="B2421" s="218" t="s">
        <v>48</v>
      </c>
      <c r="C2421" s="220" t="s">
        <v>102</v>
      </c>
      <c r="D2421" s="220" t="s">
        <v>93</v>
      </c>
      <c r="E2421" s="165">
        <v>607</v>
      </c>
    </row>
    <row r="2422" spans="1:5" x14ac:dyDescent="0.25">
      <c r="A2422" s="216" t="s">
        <v>3298</v>
      </c>
      <c r="B2422" s="218">
        <v>1</v>
      </c>
      <c r="C2422" s="220" t="s">
        <v>3299</v>
      </c>
      <c r="D2422" s="220" t="s">
        <v>139</v>
      </c>
      <c r="E2422" s="165">
        <v>607</v>
      </c>
    </row>
    <row r="2423" spans="1:5" x14ac:dyDescent="0.25">
      <c r="A2423" s="216" t="s">
        <v>3553</v>
      </c>
      <c r="B2423" s="218">
        <v>1</v>
      </c>
      <c r="C2423" s="220" t="s">
        <v>1573</v>
      </c>
      <c r="D2423" s="220" t="s">
        <v>56</v>
      </c>
      <c r="E2423" s="165">
        <v>606</v>
      </c>
    </row>
    <row r="2424" spans="1:5" x14ac:dyDescent="0.25">
      <c r="A2424" s="216" t="s">
        <v>3554</v>
      </c>
      <c r="B2424" s="218">
        <v>1</v>
      </c>
      <c r="C2424" s="220" t="s">
        <v>121</v>
      </c>
      <c r="D2424" s="220" t="s">
        <v>56</v>
      </c>
      <c r="E2424" s="165">
        <v>606</v>
      </c>
    </row>
    <row r="2425" spans="1:5" x14ac:dyDescent="0.25">
      <c r="A2425" s="216" t="s">
        <v>3345</v>
      </c>
      <c r="B2425" s="218">
        <v>1</v>
      </c>
      <c r="C2425" s="220" t="s">
        <v>3346</v>
      </c>
      <c r="D2425" s="220" t="s">
        <v>277</v>
      </c>
      <c r="E2425" s="165">
        <v>606</v>
      </c>
    </row>
    <row r="2426" spans="1:5" x14ac:dyDescent="0.25">
      <c r="A2426" s="216" t="s">
        <v>3559</v>
      </c>
      <c r="B2426" s="218">
        <v>1</v>
      </c>
      <c r="C2426" s="220" t="s">
        <v>1349</v>
      </c>
      <c r="D2426" s="220" t="s">
        <v>56</v>
      </c>
      <c r="E2426" s="165">
        <v>606</v>
      </c>
    </row>
    <row r="2427" spans="1:5" x14ac:dyDescent="0.25">
      <c r="A2427" s="216" t="s">
        <v>3751</v>
      </c>
      <c r="B2427" s="218">
        <v>1</v>
      </c>
      <c r="C2427" s="220" t="s">
        <v>3609</v>
      </c>
      <c r="D2427" s="220" t="s">
        <v>56</v>
      </c>
      <c r="E2427" s="165">
        <v>606</v>
      </c>
    </row>
    <row r="2428" spans="1:5" x14ac:dyDescent="0.25">
      <c r="A2428" s="216" t="s">
        <v>4936</v>
      </c>
      <c r="B2428" s="218">
        <v>1</v>
      </c>
      <c r="C2428" s="220" t="s">
        <v>159</v>
      </c>
      <c r="D2428" s="220" t="s">
        <v>130</v>
      </c>
      <c r="E2428" s="165">
        <v>606</v>
      </c>
    </row>
    <row r="2429" spans="1:5" x14ac:dyDescent="0.25">
      <c r="A2429" s="216" t="s">
        <v>3136</v>
      </c>
      <c r="B2429" s="218">
        <v>1</v>
      </c>
      <c r="C2429" s="220" t="s">
        <v>3137</v>
      </c>
      <c r="D2429" s="220" t="s">
        <v>50</v>
      </c>
      <c r="E2429" s="165">
        <v>605</v>
      </c>
    </row>
    <row r="2430" spans="1:5" x14ac:dyDescent="0.25">
      <c r="A2430" s="216" t="s">
        <v>3885</v>
      </c>
      <c r="B2430" s="218" t="s">
        <v>48</v>
      </c>
      <c r="C2430" s="220" t="s">
        <v>1331</v>
      </c>
      <c r="D2430" s="220" t="s">
        <v>348</v>
      </c>
      <c r="E2430" s="165">
        <v>605</v>
      </c>
    </row>
    <row r="2431" spans="1:5" x14ac:dyDescent="0.25">
      <c r="A2431" s="216" t="s">
        <v>3435</v>
      </c>
      <c r="B2431" s="218">
        <v>1</v>
      </c>
      <c r="C2431" s="220" t="s">
        <v>1521</v>
      </c>
      <c r="D2431" s="220" t="s">
        <v>517</v>
      </c>
      <c r="E2431" s="165">
        <v>605</v>
      </c>
    </row>
    <row r="2432" spans="1:5" x14ac:dyDescent="0.25">
      <c r="A2432" s="216" t="s">
        <v>3414</v>
      </c>
      <c r="B2432" s="218" t="s">
        <v>48</v>
      </c>
      <c r="C2432" s="220" t="s">
        <v>306</v>
      </c>
      <c r="D2432" s="220" t="s">
        <v>63</v>
      </c>
      <c r="E2432" s="165">
        <v>604</v>
      </c>
    </row>
    <row r="2433" spans="1:5" x14ac:dyDescent="0.25">
      <c r="A2433" s="216" t="s">
        <v>3694</v>
      </c>
      <c r="B2433" s="218">
        <v>1</v>
      </c>
      <c r="C2433" s="220" t="s">
        <v>2543</v>
      </c>
      <c r="D2433" s="220" t="s">
        <v>63</v>
      </c>
      <c r="E2433" s="165">
        <v>604</v>
      </c>
    </row>
    <row r="2434" spans="1:5" x14ac:dyDescent="0.25">
      <c r="A2434" s="216" t="s">
        <v>3470</v>
      </c>
      <c r="B2434" s="218">
        <v>1</v>
      </c>
      <c r="C2434" s="220" t="s">
        <v>3471</v>
      </c>
      <c r="D2434" s="220" t="s">
        <v>192</v>
      </c>
      <c r="E2434" s="165">
        <v>604</v>
      </c>
    </row>
    <row r="2435" spans="1:5" x14ac:dyDescent="0.25">
      <c r="A2435" s="216" t="s">
        <v>2155</v>
      </c>
      <c r="B2435" s="218" t="s">
        <v>48</v>
      </c>
      <c r="C2435" s="220" t="s">
        <v>2156</v>
      </c>
      <c r="D2435" s="220" t="s">
        <v>166</v>
      </c>
      <c r="E2435" s="165">
        <v>604</v>
      </c>
    </row>
    <row r="2436" spans="1:5" x14ac:dyDescent="0.25">
      <c r="A2436" s="216" t="s">
        <v>3698</v>
      </c>
      <c r="B2436" s="218">
        <v>1</v>
      </c>
      <c r="C2436" s="220" t="s">
        <v>2165</v>
      </c>
      <c r="D2436" s="220" t="s">
        <v>63</v>
      </c>
      <c r="E2436" s="165">
        <v>604</v>
      </c>
    </row>
    <row r="2437" spans="1:5" x14ac:dyDescent="0.25">
      <c r="A2437" s="216" t="s">
        <v>3576</v>
      </c>
      <c r="B2437" s="218" t="s">
        <v>48</v>
      </c>
      <c r="C2437" s="220" t="s">
        <v>3577</v>
      </c>
      <c r="D2437" s="220" t="s">
        <v>75</v>
      </c>
      <c r="E2437" s="165">
        <v>604</v>
      </c>
    </row>
    <row r="2438" spans="1:5" x14ac:dyDescent="0.25">
      <c r="A2438" s="216" t="s">
        <v>5452</v>
      </c>
      <c r="B2438" s="218" t="s">
        <v>48</v>
      </c>
      <c r="C2438" s="220" t="s">
        <v>3347</v>
      </c>
      <c r="D2438" s="220" t="s">
        <v>166</v>
      </c>
      <c r="E2438" s="165">
        <v>603</v>
      </c>
    </row>
    <row r="2439" spans="1:5" x14ac:dyDescent="0.25">
      <c r="A2439" s="216" t="s">
        <v>3909</v>
      </c>
      <c r="B2439" s="218" t="s">
        <v>48</v>
      </c>
      <c r="C2439" s="220" t="s">
        <v>2772</v>
      </c>
      <c r="D2439" s="220" t="s">
        <v>166</v>
      </c>
      <c r="E2439" s="165">
        <v>603</v>
      </c>
    </row>
    <row r="2440" spans="1:5" x14ac:dyDescent="0.25">
      <c r="A2440" s="216" t="s">
        <v>4850</v>
      </c>
      <c r="B2440" s="218">
        <v>1</v>
      </c>
      <c r="C2440" s="220" t="s">
        <v>2955</v>
      </c>
      <c r="D2440" s="220" t="s">
        <v>56</v>
      </c>
      <c r="E2440" s="165">
        <v>603</v>
      </c>
    </row>
    <row r="2441" spans="1:5" x14ac:dyDescent="0.25">
      <c r="A2441" s="216" t="s">
        <v>3427</v>
      </c>
      <c r="B2441" s="218" t="s">
        <v>48</v>
      </c>
      <c r="C2441" s="220" t="s">
        <v>3428</v>
      </c>
      <c r="D2441" s="220" t="s">
        <v>108</v>
      </c>
      <c r="E2441" s="165">
        <v>603</v>
      </c>
    </row>
    <row r="2442" spans="1:5" x14ac:dyDescent="0.25">
      <c r="A2442" s="216" t="s">
        <v>3516</v>
      </c>
      <c r="B2442" s="218">
        <v>1</v>
      </c>
      <c r="C2442" s="220" t="s">
        <v>3517</v>
      </c>
      <c r="D2442" s="220" t="s">
        <v>50</v>
      </c>
      <c r="E2442" s="165">
        <v>602</v>
      </c>
    </row>
    <row r="2443" spans="1:5" x14ac:dyDescent="0.25">
      <c r="A2443" s="216" t="s">
        <v>3620</v>
      </c>
      <c r="B2443" s="218">
        <v>1</v>
      </c>
      <c r="C2443" s="220" t="s">
        <v>727</v>
      </c>
      <c r="D2443" s="220" t="s">
        <v>66</v>
      </c>
      <c r="E2443" s="165">
        <v>602</v>
      </c>
    </row>
    <row r="2444" spans="1:5" x14ac:dyDescent="0.25">
      <c r="A2444" s="216" t="s">
        <v>3518</v>
      </c>
      <c r="B2444" s="218">
        <v>1</v>
      </c>
      <c r="C2444" s="220" t="s">
        <v>1113</v>
      </c>
      <c r="D2444" s="220" t="s">
        <v>50</v>
      </c>
      <c r="E2444" s="165">
        <v>602</v>
      </c>
    </row>
    <row r="2445" spans="1:5" x14ac:dyDescent="0.25">
      <c r="A2445" s="216" t="s">
        <v>4028</v>
      </c>
      <c r="B2445" s="218">
        <v>1</v>
      </c>
      <c r="C2445" s="220" t="s">
        <v>138</v>
      </c>
      <c r="D2445" s="220" t="s">
        <v>139</v>
      </c>
      <c r="E2445" s="165">
        <v>602</v>
      </c>
    </row>
    <row r="2446" spans="1:5" x14ac:dyDescent="0.25">
      <c r="A2446" s="216" t="s">
        <v>716</v>
      </c>
      <c r="B2446" s="218" t="s">
        <v>48</v>
      </c>
      <c r="C2446" s="220" t="s">
        <v>615</v>
      </c>
      <c r="D2446" s="220" t="s">
        <v>166</v>
      </c>
      <c r="E2446" s="165">
        <v>602</v>
      </c>
    </row>
    <row r="2447" spans="1:5" x14ac:dyDescent="0.25">
      <c r="A2447" s="216" t="s">
        <v>3686</v>
      </c>
      <c r="B2447" s="218" t="s">
        <v>48</v>
      </c>
      <c r="C2447" s="220" t="s">
        <v>3687</v>
      </c>
      <c r="D2447" s="220" t="s">
        <v>59</v>
      </c>
      <c r="E2447" s="165">
        <v>601</v>
      </c>
    </row>
    <row r="2448" spans="1:5" x14ac:dyDescent="0.25">
      <c r="A2448" s="216" t="s">
        <v>2939</v>
      </c>
      <c r="B2448" s="218" t="s">
        <v>48</v>
      </c>
      <c r="C2448" s="220" t="s">
        <v>2940</v>
      </c>
      <c r="D2448" s="220" t="s">
        <v>82</v>
      </c>
      <c r="E2448" s="165">
        <v>601</v>
      </c>
    </row>
    <row r="2449" spans="1:5" x14ac:dyDescent="0.25">
      <c r="A2449" s="216" t="s">
        <v>3511</v>
      </c>
      <c r="B2449" s="218">
        <v>1</v>
      </c>
      <c r="C2449" s="220" t="s">
        <v>3512</v>
      </c>
      <c r="D2449" s="220" t="s">
        <v>78</v>
      </c>
      <c r="E2449" s="165">
        <v>601</v>
      </c>
    </row>
    <row r="2450" spans="1:5" x14ac:dyDescent="0.25">
      <c r="A2450" s="216" t="s">
        <v>3960</v>
      </c>
      <c r="B2450" s="218" t="s">
        <v>48</v>
      </c>
      <c r="C2450" s="220" t="s">
        <v>3961</v>
      </c>
      <c r="D2450" s="220" t="s">
        <v>56</v>
      </c>
      <c r="E2450" s="165">
        <v>600</v>
      </c>
    </row>
    <row r="2451" spans="1:5" x14ac:dyDescent="0.25">
      <c r="A2451" s="216" t="s">
        <v>7453</v>
      </c>
      <c r="B2451" s="218" t="s">
        <v>48</v>
      </c>
      <c r="C2451" s="220" t="s">
        <v>3935</v>
      </c>
      <c r="D2451" s="220" t="s">
        <v>575</v>
      </c>
      <c r="E2451" s="165">
        <v>600</v>
      </c>
    </row>
    <row r="2452" spans="1:5" x14ac:dyDescent="0.25">
      <c r="A2452" s="216" t="s">
        <v>3288</v>
      </c>
      <c r="B2452" s="218">
        <v>1</v>
      </c>
      <c r="C2452" s="220" t="s">
        <v>3289</v>
      </c>
      <c r="D2452" s="220" t="s">
        <v>142</v>
      </c>
      <c r="E2452" s="165">
        <v>600</v>
      </c>
    </row>
    <row r="2453" spans="1:5" x14ac:dyDescent="0.25">
      <c r="A2453" s="216" t="s">
        <v>11100</v>
      </c>
      <c r="B2453" s="218" t="s">
        <v>48</v>
      </c>
      <c r="C2453" s="220" t="s">
        <v>11101</v>
      </c>
      <c r="D2453" s="220" t="s">
        <v>192</v>
      </c>
      <c r="E2453" s="165">
        <v>600</v>
      </c>
    </row>
    <row r="2454" spans="1:5" x14ac:dyDescent="0.25">
      <c r="A2454" s="216" t="s">
        <v>11102</v>
      </c>
      <c r="B2454" s="218" t="s">
        <v>48</v>
      </c>
      <c r="C2454" s="220" t="s">
        <v>1349</v>
      </c>
      <c r="D2454" s="220" t="s">
        <v>56</v>
      </c>
      <c r="E2454" s="165">
        <v>600</v>
      </c>
    </row>
    <row r="2455" spans="1:5" x14ac:dyDescent="0.25">
      <c r="A2455" s="216" t="s">
        <v>5188</v>
      </c>
      <c r="B2455" s="218" t="s">
        <v>48</v>
      </c>
      <c r="C2455" s="220" t="s">
        <v>799</v>
      </c>
      <c r="D2455" s="220" t="s">
        <v>113</v>
      </c>
      <c r="E2455" s="165">
        <v>600</v>
      </c>
    </row>
    <row r="2456" spans="1:5" x14ac:dyDescent="0.25">
      <c r="A2456" s="216" t="s">
        <v>6723</v>
      </c>
      <c r="B2456" s="218" t="s">
        <v>48</v>
      </c>
      <c r="C2456" s="220" t="s">
        <v>2404</v>
      </c>
      <c r="D2456" s="220" t="s">
        <v>264</v>
      </c>
      <c r="E2456" s="165">
        <v>600</v>
      </c>
    </row>
    <row r="2457" spans="1:5" x14ac:dyDescent="0.25">
      <c r="A2457" s="216" t="s">
        <v>3339</v>
      </c>
      <c r="B2457" s="218" t="s">
        <v>48</v>
      </c>
      <c r="C2457" s="220" t="s">
        <v>213</v>
      </c>
      <c r="D2457" s="220" t="s">
        <v>75</v>
      </c>
      <c r="E2457" s="165">
        <v>600</v>
      </c>
    </row>
    <row r="2458" spans="1:5" x14ac:dyDescent="0.25">
      <c r="A2458" s="216" t="s">
        <v>3783</v>
      </c>
      <c r="B2458" s="218" t="s">
        <v>48</v>
      </c>
      <c r="C2458" s="220" t="s">
        <v>810</v>
      </c>
      <c r="D2458" s="220" t="s">
        <v>394</v>
      </c>
      <c r="E2458" s="165">
        <v>600</v>
      </c>
    </row>
    <row r="2459" spans="1:5" x14ac:dyDescent="0.25">
      <c r="A2459" s="216" t="s">
        <v>11103</v>
      </c>
      <c r="B2459" s="218">
        <v>1</v>
      </c>
      <c r="C2459" s="220" t="s">
        <v>2248</v>
      </c>
      <c r="D2459" s="220" t="s">
        <v>72</v>
      </c>
      <c r="E2459" s="165">
        <v>600</v>
      </c>
    </row>
    <row r="2460" spans="1:5" x14ac:dyDescent="0.25">
      <c r="A2460" s="216" t="s">
        <v>3602</v>
      </c>
      <c r="B2460" s="218" t="s">
        <v>48</v>
      </c>
      <c r="C2460" s="220" t="s">
        <v>3603</v>
      </c>
      <c r="D2460" s="220" t="s">
        <v>56</v>
      </c>
      <c r="E2460" s="165">
        <v>600</v>
      </c>
    </row>
    <row r="2461" spans="1:5" x14ac:dyDescent="0.25">
      <c r="A2461" s="216" t="s">
        <v>3851</v>
      </c>
      <c r="B2461" s="218" t="s">
        <v>48</v>
      </c>
      <c r="C2461" s="220" t="s">
        <v>3852</v>
      </c>
      <c r="D2461" s="220" t="s">
        <v>66</v>
      </c>
      <c r="E2461" s="165">
        <v>600</v>
      </c>
    </row>
    <row r="2462" spans="1:5" x14ac:dyDescent="0.25">
      <c r="A2462" s="216" t="s">
        <v>3145</v>
      </c>
      <c r="B2462" s="218" t="s">
        <v>48</v>
      </c>
      <c r="C2462" s="220" t="s">
        <v>1391</v>
      </c>
      <c r="D2462" s="220" t="s">
        <v>66</v>
      </c>
      <c r="E2462" s="165">
        <v>600</v>
      </c>
    </row>
    <row r="2463" spans="1:5" x14ac:dyDescent="0.25">
      <c r="A2463" s="216" t="s">
        <v>5801</v>
      </c>
      <c r="B2463" s="218" t="s">
        <v>48</v>
      </c>
      <c r="C2463" s="220" t="s">
        <v>5802</v>
      </c>
      <c r="D2463" s="220" t="s">
        <v>188</v>
      </c>
      <c r="E2463" s="165">
        <v>600</v>
      </c>
    </row>
    <row r="2464" spans="1:5" x14ac:dyDescent="0.25">
      <c r="A2464" s="216" t="s">
        <v>3087</v>
      </c>
      <c r="B2464" s="218" t="s">
        <v>48</v>
      </c>
      <c r="C2464" s="220" t="s">
        <v>3088</v>
      </c>
      <c r="D2464" s="220" t="s">
        <v>272</v>
      </c>
      <c r="E2464" s="165">
        <v>600</v>
      </c>
    </row>
    <row r="2465" spans="1:5" x14ac:dyDescent="0.25">
      <c r="A2465" s="216" t="s">
        <v>3325</v>
      </c>
      <c r="B2465" s="218">
        <v>1</v>
      </c>
      <c r="C2465" s="220" t="s">
        <v>3326</v>
      </c>
      <c r="D2465" s="220" t="s">
        <v>139</v>
      </c>
      <c r="E2465" s="165">
        <v>599</v>
      </c>
    </row>
    <row r="2466" spans="1:5" x14ac:dyDescent="0.25">
      <c r="A2466" s="216" t="s">
        <v>5205</v>
      </c>
      <c r="B2466" s="218">
        <v>1</v>
      </c>
      <c r="C2466" s="220" t="s">
        <v>3149</v>
      </c>
      <c r="D2466" s="220" t="s">
        <v>69</v>
      </c>
      <c r="E2466" s="165">
        <v>597</v>
      </c>
    </row>
    <row r="2467" spans="1:5" x14ac:dyDescent="0.25">
      <c r="A2467" s="216" t="s">
        <v>3712</v>
      </c>
      <c r="B2467" s="218">
        <v>1</v>
      </c>
      <c r="C2467" s="220" t="s">
        <v>3713</v>
      </c>
      <c r="D2467" s="220" t="s">
        <v>63</v>
      </c>
      <c r="E2467" s="165">
        <v>596</v>
      </c>
    </row>
    <row r="2468" spans="1:5" x14ac:dyDescent="0.25">
      <c r="A2468" s="216" t="s">
        <v>3849</v>
      </c>
      <c r="B2468" s="218" t="s">
        <v>48</v>
      </c>
      <c r="C2468" s="220" t="s">
        <v>3850</v>
      </c>
      <c r="D2468" s="220" t="s">
        <v>93</v>
      </c>
      <c r="E2468" s="165">
        <v>596</v>
      </c>
    </row>
    <row r="2469" spans="1:5" x14ac:dyDescent="0.25">
      <c r="A2469" s="216" t="s">
        <v>3175</v>
      </c>
      <c r="B2469" s="218">
        <v>1</v>
      </c>
      <c r="C2469" s="220" t="s">
        <v>1022</v>
      </c>
      <c r="D2469" s="220" t="s">
        <v>277</v>
      </c>
      <c r="E2469" s="165">
        <v>596</v>
      </c>
    </row>
    <row r="2470" spans="1:5" x14ac:dyDescent="0.25">
      <c r="A2470" s="216" t="s">
        <v>2495</v>
      </c>
      <c r="B2470" s="218" t="s">
        <v>48</v>
      </c>
      <c r="C2470" s="220" t="s">
        <v>2496</v>
      </c>
      <c r="D2470" s="220" t="s">
        <v>90</v>
      </c>
      <c r="E2470" s="165">
        <v>596</v>
      </c>
    </row>
    <row r="2471" spans="1:5" x14ac:dyDescent="0.25">
      <c r="A2471" s="216" t="s">
        <v>3816</v>
      </c>
      <c r="B2471" s="218" t="s">
        <v>48</v>
      </c>
      <c r="C2471" s="220" t="s">
        <v>2637</v>
      </c>
      <c r="D2471" s="220" t="s">
        <v>59</v>
      </c>
      <c r="E2471" s="165">
        <v>595</v>
      </c>
    </row>
    <row r="2472" spans="1:5" x14ac:dyDescent="0.25">
      <c r="A2472" s="216" t="s">
        <v>3537</v>
      </c>
      <c r="B2472" s="218" t="s">
        <v>48</v>
      </c>
      <c r="C2472" s="220" t="s">
        <v>58</v>
      </c>
      <c r="D2472" s="220" t="s">
        <v>59</v>
      </c>
      <c r="E2472" s="165">
        <v>595</v>
      </c>
    </row>
    <row r="2473" spans="1:5" x14ac:dyDescent="0.25">
      <c r="A2473" s="216" t="s">
        <v>7105</v>
      </c>
      <c r="B2473" s="218" t="s">
        <v>48</v>
      </c>
      <c r="C2473" s="220" t="s">
        <v>350</v>
      </c>
      <c r="D2473" s="220" t="s">
        <v>69</v>
      </c>
      <c r="E2473" s="165">
        <v>595</v>
      </c>
    </row>
    <row r="2474" spans="1:5" x14ac:dyDescent="0.25">
      <c r="A2474" s="216" t="s">
        <v>3657</v>
      </c>
      <c r="B2474" s="218">
        <v>1</v>
      </c>
      <c r="C2474" s="220" t="s">
        <v>516</v>
      </c>
      <c r="D2474" s="220" t="s">
        <v>517</v>
      </c>
      <c r="E2474" s="165">
        <v>594</v>
      </c>
    </row>
    <row r="2475" spans="1:5" x14ac:dyDescent="0.25">
      <c r="A2475" s="216" t="s">
        <v>11104</v>
      </c>
      <c r="B2475" s="218" t="s">
        <v>48</v>
      </c>
      <c r="C2475" s="220" t="s">
        <v>466</v>
      </c>
      <c r="D2475" s="220" t="s">
        <v>206</v>
      </c>
      <c r="E2475" s="165">
        <v>594</v>
      </c>
    </row>
    <row r="2476" spans="1:5" x14ac:dyDescent="0.25">
      <c r="A2476" s="216" t="s">
        <v>3715</v>
      </c>
      <c r="B2476" s="218" t="s">
        <v>48</v>
      </c>
      <c r="C2476" s="220" t="s">
        <v>3716</v>
      </c>
      <c r="D2476" s="220" t="s">
        <v>69</v>
      </c>
      <c r="E2476" s="165">
        <v>593</v>
      </c>
    </row>
    <row r="2477" spans="1:5" x14ac:dyDescent="0.25">
      <c r="A2477" s="216" t="s">
        <v>3746</v>
      </c>
      <c r="B2477" s="218">
        <v>1</v>
      </c>
      <c r="C2477" s="220" t="s">
        <v>3747</v>
      </c>
      <c r="D2477" s="220" t="s">
        <v>50</v>
      </c>
      <c r="E2477" s="165">
        <v>593</v>
      </c>
    </row>
    <row r="2478" spans="1:5" x14ac:dyDescent="0.25">
      <c r="A2478" s="216" t="s">
        <v>3478</v>
      </c>
      <c r="B2478" s="218" t="s">
        <v>48</v>
      </c>
      <c r="C2478" s="220" t="s">
        <v>3479</v>
      </c>
      <c r="D2478" s="220" t="s">
        <v>108</v>
      </c>
      <c r="E2478" s="165">
        <v>593</v>
      </c>
    </row>
    <row r="2479" spans="1:5" x14ac:dyDescent="0.25">
      <c r="A2479" s="216" t="s">
        <v>3378</v>
      </c>
      <c r="B2479" s="218">
        <v>1</v>
      </c>
      <c r="C2479" s="220" t="s">
        <v>3003</v>
      </c>
      <c r="D2479" s="220" t="s">
        <v>87</v>
      </c>
      <c r="E2479" s="165">
        <v>593</v>
      </c>
    </row>
    <row r="2480" spans="1:5" x14ac:dyDescent="0.25">
      <c r="A2480" s="216" t="s">
        <v>3591</v>
      </c>
      <c r="B2480" s="218" t="s">
        <v>48</v>
      </c>
      <c r="C2480" s="220" t="s">
        <v>3592</v>
      </c>
      <c r="D2480" s="220" t="s">
        <v>206</v>
      </c>
      <c r="E2480" s="165">
        <v>592</v>
      </c>
    </row>
    <row r="2481" spans="1:5" x14ac:dyDescent="0.25">
      <c r="A2481" s="216" t="s">
        <v>3679</v>
      </c>
      <c r="B2481" s="218">
        <v>1</v>
      </c>
      <c r="C2481" s="220" t="s">
        <v>1604</v>
      </c>
      <c r="D2481" s="220" t="s">
        <v>66</v>
      </c>
      <c r="E2481" s="165">
        <v>591</v>
      </c>
    </row>
    <row r="2482" spans="1:5" x14ac:dyDescent="0.25">
      <c r="A2482" s="216" t="s">
        <v>3197</v>
      </c>
      <c r="B2482" s="218" t="s">
        <v>48</v>
      </c>
      <c r="C2482" s="220" t="s">
        <v>2782</v>
      </c>
      <c r="D2482" s="220" t="s">
        <v>166</v>
      </c>
      <c r="E2482" s="165">
        <v>591</v>
      </c>
    </row>
    <row r="2483" spans="1:5" x14ac:dyDescent="0.25">
      <c r="A2483" s="216" t="s">
        <v>3533</v>
      </c>
      <c r="B2483" s="218" t="s">
        <v>48</v>
      </c>
      <c r="C2483" s="220" t="s">
        <v>473</v>
      </c>
      <c r="D2483" s="220" t="s">
        <v>82</v>
      </c>
      <c r="E2483" s="165">
        <v>590</v>
      </c>
    </row>
    <row r="2484" spans="1:5" x14ac:dyDescent="0.25">
      <c r="A2484" s="216" t="s">
        <v>11105</v>
      </c>
      <c r="B2484" s="218" t="s">
        <v>48</v>
      </c>
      <c r="C2484" s="220" t="s">
        <v>1157</v>
      </c>
      <c r="D2484" s="220" t="s">
        <v>206</v>
      </c>
      <c r="E2484" s="165">
        <v>590</v>
      </c>
    </row>
    <row r="2485" spans="1:5" x14ac:dyDescent="0.25">
      <c r="A2485" s="216" t="s">
        <v>3607</v>
      </c>
      <c r="B2485" s="218">
        <v>1</v>
      </c>
      <c r="C2485" s="220" t="s">
        <v>84</v>
      </c>
      <c r="D2485" s="220" t="s">
        <v>56</v>
      </c>
      <c r="E2485" s="165">
        <v>590</v>
      </c>
    </row>
    <row r="2486" spans="1:5" x14ac:dyDescent="0.25">
      <c r="A2486" s="216" t="s">
        <v>3173</v>
      </c>
      <c r="B2486" s="218">
        <v>1</v>
      </c>
      <c r="C2486" s="220" t="s">
        <v>3174</v>
      </c>
      <c r="D2486" s="220" t="s">
        <v>523</v>
      </c>
      <c r="E2486" s="165">
        <v>589</v>
      </c>
    </row>
    <row r="2487" spans="1:5" x14ac:dyDescent="0.25">
      <c r="A2487" s="216" t="s">
        <v>3832</v>
      </c>
      <c r="B2487" s="218" t="s">
        <v>48</v>
      </c>
      <c r="C2487" s="220" t="s">
        <v>3833</v>
      </c>
      <c r="D2487" s="220" t="s">
        <v>166</v>
      </c>
      <c r="E2487" s="165">
        <v>589</v>
      </c>
    </row>
    <row r="2488" spans="1:5" x14ac:dyDescent="0.25">
      <c r="A2488" s="216" t="s">
        <v>3718</v>
      </c>
      <c r="B2488" s="218" t="s">
        <v>48</v>
      </c>
      <c r="C2488" s="220" t="s">
        <v>1042</v>
      </c>
      <c r="D2488" s="220" t="s">
        <v>69</v>
      </c>
      <c r="E2488" s="165">
        <v>588</v>
      </c>
    </row>
    <row r="2489" spans="1:5" x14ac:dyDescent="0.25">
      <c r="A2489" s="216" t="s">
        <v>3495</v>
      </c>
      <c r="B2489" s="218">
        <v>1</v>
      </c>
      <c r="C2489" s="220" t="s">
        <v>2912</v>
      </c>
      <c r="D2489" s="220" t="s">
        <v>69</v>
      </c>
      <c r="E2489" s="165">
        <v>588</v>
      </c>
    </row>
    <row r="2490" spans="1:5" x14ac:dyDescent="0.25">
      <c r="A2490" s="216" t="s">
        <v>3682</v>
      </c>
      <c r="B2490" s="218" t="s">
        <v>48</v>
      </c>
      <c r="C2490" s="220" t="s">
        <v>2218</v>
      </c>
      <c r="D2490" s="220" t="s">
        <v>56</v>
      </c>
      <c r="E2490" s="165">
        <v>588</v>
      </c>
    </row>
    <row r="2491" spans="1:5" x14ac:dyDescent="0.25">
      <c r="A2491" s="216" t="s">
        <v>3770</v>
      </c>
      <c r="B2491" s="218" t="s">
        <v>48</v>
      </c>
      <c r="C2491" s="220" t="s">
        <v>3771</v>
      </c>
      <c r="D2491" s="220" t="s">
        <v>59</v>
      </c>
      <c r="E2491" s="165">
        <v>587</v>
      </c>
    </row>
    <row r="2492" spans="1:5" x14ac:dyDescent="0.25">
      <c r="A2492" s="216" t="s">
        <v>3754</v>
      </c>
      <c r="B2492" s="218">
        <v>1</v>
      </c>
      <c r="C2492" s="220" t="s">
        <v>3755</v>
      </c>
      <c r="D2492" s="220" t="s">
        <v>63</v>
      </c>
      <c r="E2492" s="165">
        <v>586</v>
      </c>
    </row>
    <row r="2493" spans="1:5" x14ac:dyDescent="0.25">
      <c r="A2493" s="216" t="s">
        <v>3729</v>
      </c>
      <c r="B2493" s="218">
        <v>1</v>
      </c>
      <c r="C2493" s="220" t="s">
        <v>841</v>
      </c>
      <c r="D2493" s="220" t="s">
        <v>130</v>
      </c>
      <c r="E2493" s="165">
        <v>586</v>
      </c>
    </row>
    <row r="2494" spans="1:5" x14ac:dyDescent="0.25">
      <c r="A2494" s="216" t="s">
        <v>3756</v>
      </c>
      <c r="B2494" s="218">
        <v>1</v>
      </c>
      <c r="C2494" s="220" t="s">
        <v>3757</v>
      </c>
      <c r="D2494" s="220" t="s">
        <v>63</v>
      </c>
      <c r="E2494" s="165">
        <v>586</v>
      </c>
    </row>
    <row r="2495" spans="1:5" x14ac:dyDescent="0.25">
      <c r="A2495" s="216" t="s">
        <v>4782</v>
      </c>
      <c r="B2495" s="218" t="s">
        <v>48</v>
      </c>
      <c r="C2495" s="220" t="s">
        <v>1411</v>
      </c>
      <c r="D2495" s="220" t="s">
        <v>63</v>
      </c>
      <c r="E2495" s="165">
        <v>585</v>
      </c>
    </row>
    <row r="2496" spans="1:5" x14ac:dyDescent="0.25">
      <c r="A2496" s="216" t="s">
        <v>3627</v>
      </c>
      <c r="B2496" s="218">
        <v>1</v>
      </c>
      <c r="C2496" s="220" t="s">
        <v>3628</v>
      </c>
      <c r="D2496" s="220" t="s">
        <v>177</v>
      </c>
      <c r="E2496" s="165">
        <v>585</v>
      </c>
    </row>
    <row r="2497" spans="1:5" x14ac:dyDescent="0.25">
      <c r="A2497" s="216" t="s">
        <v>3583</v>
      </c>
      <c r="B2497" s="218">
        <v>1</v>
      </c>
      <c r="C2497" s="220" t="s">
        <v>3584</v>
      </c>
      <c r="D2497" s="220" t="s">
        <v>72</v>
      </c>
      <c r="E2497" s="165">
        <v>585</v>
      </c>
    </row>
    <row r="2498" spans="1:5" x14ac:dyDescent="0.25">
      <c r="A2498" s="216" t="s">
        <v>4395</v>
      </c>
      <c r="B2498" s="218">
        <v>1</v>
      </c>
      <c r="C2498" s="220" t="s">
        <v>976</v>
      </c>
      <c r="D2498" s="220" t="s">
        <v>130</v>
      </c>
      <c r="E2498" s="165">
        <v>585</v>
      </c>
    </row>
    <row r="2499" spans="1:5" x14ac:dyDescent="0.25">
      <c r="A2499" s="216" t="s">
        <v>9713</v>
      </c>
      <c r="B2499" s="218" t="s">
        <v>48</v>
      </c>
      <c r="C2499" s="220" t="s">
        <v>8298</v>
      </c>
      <c r="D2499" s="220" t="s">
        <v>59</v>
      </c>
      <c r="E2499" s="165">
        <v>585</v>
      </c>
    </row>
    <row r="2500" spans="1:5" x14ac:dyDescent="0.25">
      <c r="A2500" s="216" t="s">
        <v>3616</v>
      </c>
      <c r="B2500" s="218">
        <v>1</v>
      </c>
      <c r="C2500" s="220" t="s">
        <v>3617</v>
      </c>
      <c r="D2500" s="220" t="s">
        <v>98</v>
      </c>
      <c r="E2500" s="165">
        <v>584</v>
      </c>
    </row>
    <row r="2501" spans="1:5" x14ac:dyDescent="0.25">
      <c r="A2501" s="216" t="s">
        <v>3802</v>
      </c>
      <c r="B2501" s="218">
        <v>1</v>
      </c>
      <c r="C2501" s="220" t="s">
        <v>1113</v>
      </c>
      <c r="D2501" s="220" t="s">
        <v>50</v>
      </c>
      <c r="E2501" s="165">
        <v>584</v>
      </c>
    </row>
    <row r="2502" spans="1:5" x14ac:dyDescent="0.25">
      <c r="A2502" s="216" t="s">
        <v>5934</v>
      </c>
      <c r="B2502" s="218">
        <v>1</v>
      </c>
      <c r="C2502" s="220" t="s">
        <v>179</v>
      </c>
      <c r="D2502" s="220" t="s">
        <v>66</v>
      </c>
      <c r="E2502" s="165">
        <v>584</v>
      </c>
    </row>
    <row r="2503" spans="1:5" x14ac:dyDescent="0.25">
      <c r="A2503" s="216" t="s">
        <v>10589</v>
      </c>
      <c r="B2503" s="218">
        <v>1</v>
      </c>
      <c r="C2503" s="220" t="s">
        <v>636</v>
      </c>
      <c r="D2503" s="220" t="s">
        <v>69</v>
      </c>
      <c r="E2503" s="165">
        <v>583</v>
      </c>
    </row>
    <row r="2504" spans="1:5" x14ac:dyDescent="0.25">
      <c r="A2504" s="216" t="s">
        <v>3883</v>
      </c>
      <c r="B2504" s="218">
        <v>1</v>
      </c>
      <c r="C2504" s="220" t="s">
        <v>2365</v>
      </c>
      <c r="D2504" s="220" t="s">
        <v>63</v>
      </c>
      <c r="E2504" s="165">
        <v>583</v>
      </c>
    </row>
    <row r="2505" spans="1:5" x14ac:dyDescent="0.25">
      <c r="A2505" s="216" t="s">
        <v>3809</v>
      </c>
      <c r="B2505" s="218">
        <v>1</v>
      </c>
      <c r="C2505" s="220" t="s">
        <v>864</v>
      </c>
      <c r="D2505" s="220" t="s">
        <v>63</v>
      </c>
      <c r="E2505" s="165">
        <v>581</v>
      </c>
    </row>
    <row r="2506" spans="1:5" x14ac:dyDescent="0.25">
      <c r="A2506" s="216" t="s">
        <v>3636</v>
      </c>
      <c r="B2506" s="218">
        <v>1</v>
      </c>
      <c r="C2506" s="220" t="s">
        <v>3637</v>
      </c>
      <c r="D2506" s="220" t="s">
        <v>98</v>
      </c>
      <c r="E2506" s="165">
        <v>581</v>
      </c>
    </row>
    <row r="2507" spans="1:5" x14ac:dyDescent="0.25">
      <c r="A2507" s="216" t="s">
        <v>4354</v>
      </c>
      <c r="B2507" s="218" t="s">
        <v>48</v>
      </c>
      <c r="C2507" s="220" t="s">
        <v>4355</v>
      </c>
      <c r="D2507" s="220" t="s">
        <v>53</v>
      </c>
      <c r="E2507" s="165">
        <v>581</v>
      </c>
    </row>
    <row r="2508" spans="1:5" x14ac:dyDescent="0.25">
      <c r="A2508" s="216" t="s">
        <v>4829</v>
      </c>
      <c r="B2508" s="218">
        <v>1</v>
      </c>
      <c r="C2508" s="220" t="s">
        <v>2603</v>
      </c>
      <c r="D2508" s="220" t="s">
        <v>108</v>
      </c>
      <c r="E2508" s="165">
        <v>581</v>
      </c>
    </row>
    <row r="2509" spans="1:5" x14ac:dyDescent="0.25">
      <c r="A2509" s="216" t="s">
        <v>3654</v>
      </c>
      <c r="B2509" s="218" t="s">
        <v>48</v>
      </c>
      <c r="C2509" s="220" t="s">
        <v>413</v>
      </c>
      <c r="D2509" s="220" t="s">
        <v>108</v>
      </c>
      <c r="E2509" s="165">
        <v>580</v>
      </c>
    </row>
    <row r="2510" spans="1:5" x14ac:dyDescent="0.25">
      <c r="A2510" s="216" t="s">
        <v>4554</v>
      </c>
      <c r="B2510" s="218">
        <v>1</v>
      </c>
      <c r="C2510" s="220" t="s">
        <v>3192</v>
      </c>
      <c r="D2510" s="220" t="s">
        <v>50</v>
      </c>
      <c r="E2510" s="165">
        <v>580</v>
      </c>
    </row>
    <row r="2511" spans="1:5" x14ac:dyDescent="0.25">
      <c r="A2511" s="216" t="s">
        <v>3730</v>
      </c>
      <c r="B2511" s="218">
        <v>1</v>
      </c>
      <c r="C2511" s="220" t="s">
        <v>925</v>
      </c>
      <c r="D2511" s="220" t="s">
        <v>66</v>
      </c>
      <c r="E2511" s="165">
        <v>579</v>
      </c>
    </row>
    <row r="2512" spans="1:5" x14ac:dyDescent="0.25">
      <c r="A2512" s="216" t="s">
        <v>4916</v>
      </c>
      <c r="B2512" s="218" t="s">
        <v>48</v>
      </c>
      <c r="C2512" s="220" t="s">
        <v>466</v>
      </c>
      <c r="D2512" s="220" t="s">
        <v>206</v>
      </c>
      <c r="E2512" s="165">
        <v>578</v>
      </c>
    </row>
    <row r="2513" spans="1:5" x14ac:dyDescent="0.25">
      <c r="A2513" s="216" t="s">
        <v>3734</v>
      </c>
      <c r="B2513" s="218">
        <v>1</v>
      </c>
      <c r="C2513" s="220" t="s">
        <v>1186</v>
      </c>
      <c r="D2513" s="220" t="s">
        <v>66</v>
      </c>
      <c r="E2513" s="165">
        <v>578</v>
      </c>
    </row>
    <row r="2514" spans="1:5" x14ac:dyDescent="0.25">
      <c r="A2514" s="216" t="s">
        <v>3822</v>
      </c>
      <c r="B2514" s="218">
        <v>1</v>
      </c>
      <c r="C2514" s="220" t="s">
        <v>1050</v>
      </c>
      <c r="D2514" s="220" t="s">
        <v>63</v>
      </c>
      <c r="E2514" s="165">
        <v>578</v>
      </c>
    </row>
    <row r="2515" spans="1:5" x14ac:dyDescent="0.25">
      <c r="A2515" s="216" t="s">
        <v>7633</v>
      </c>
      <c r="B2515" s="218">
        <v>1</v>
      </c>
      <c r="C2515" s="220" t="s">
        <v>501</v>
      </c>
      <c r="D2515" s="220" t="s">
        <v>264</v>
      </c>
      <c r="E2515" s="165">
        <v>577</v>
      </c>
    </row>
    <row r="2516" spans="1:5" x14ac:dyDescent="0.25">
      <c r="A2516" s="216" t="s">
        <v>3872</v>
      </c>
      <c r="B2516" s="218">
        <v>1</v>
      </c>
      <c r="C2516" s="220" t="s">
        <v>1856</v>
      </c>
      <c r="D2516" s="220" t="s">
        <v>56</v>
      </c>
      <c r="E2516" s="165">
        <v>577</v>
      </c>
    </row>
    <row r="2517" spans="1:5" x14ac:dyDescent="0.25">
      <c r="A2517" s="216" t="s">
        <v>4268</v>
      </c>
      <c r="B2517" s="218">
        <v>1</v>
      </c>
      <c r="C2517" s="220" t="s">
        <v>768</v>
      </c>
      <c r="D2517" s="220" t="s">
        <v>264</v>
      </c>
      <c r="E2517" s="165">
        <v>576</v>
      </c>
    </row>
    <row r="2518" spans="1:5" x14ac:dyDescent="0.25">
      <c r="A2518" s="216" t="s">
        <v>3767</v>
      </c>
      <c r="B2518" s="218" t="s">
        <v>48</v>
      </c>
      <c r="C2518" s="220" t="s">
        <v>2698</v>
      </c>
      <c r="D2518" s="220" t="s">
        <v>277</v>
      </c>
      <c r="E2518" s="165">
        <v>575</v>
      </c>
    </row>
    <row r="2519" spans="1:5" x14ac:dyDescent="0.25">
      <c r="A2519" s="216" t="s">
        <v>3914</v>
      </c>
      <c r="B2519" s="218" t="s">
        <v>48</v>
      </c>
      <c r="C2519" s="220" t="s">
        <v>3915</v>
      </c>
      <c r="D2519" s="220" t="s">
        <v>75</v>
      </c>
      <c r="E2519" s="165">
        <v>575</v>
      </c>
    </row>
    <row r="2520" spans="1:5" x14ac:dyDescent="0.25">
      <c r="A2520" s="216" t="s">
        <v>4771</v>
      </c>
      <c r="B2520" s="218" t="s">
        <v>48</v>
      </c>
      <c r="C2520" s="220" t="s">
        <v>4772</v>
      </c>
      <c r="D2520" s="220" t="s">
        <v>517</v>
      </c>
      <c r="E2520" s="165">
        <v>575</v>
      </c>
    </row>
    <row r="2521" spans="1:5" x14ac:dyDescent="0.25">
      <c r="A2521" s="216" t="s">
        <v>3456</v>
      </c>
      <c r="B2521" s="218">
        <v>1</v>
      </c>
      <c r="C2521" s="220" t="s">
        <v>3457</v>
      </c>
      <c r="D2521" s="220" t="s">
        <v>108</v>
      </c>
      <c r="E2521" s="165">
        <v>575</v>
      </c>
    </row>
    <row r="2522" spans="1:5" x14ac:dyDescent="0.25">
      <c r="A2522" s="216" t="s">
        <v>3784</v>
      </c>
      <c r="B2522" s="218" t="s">
        <v>48</v>
      </c>
      <c r="C2522" s="220" t="s">
        <v>3785</v>
      </c>
      <c r="D2522" s="220" t="s">
        <v>108</v>
      </c>
      <c r="E2522" s="165">
        <v>575</v>
      </c>
    </row>
    <row r="2523" spans="1:5" x14ac:dyDescent="0.25">
      <c r="A2523" s="216" t="s">
        <v>3640</v>
      </c>
      <c r="B2523" s="218" t="s">
        <v>48</v>
      </c>
      <c r="C2523" s="220" t="s">
        <v>756</v>
      </c>
      <c r="D2523" s="220" t="s">
        <v>66</v>
      </c>
      <c r="E2523" s="165">
        <v>575</v>
      </c>
    </row>
    <row r="2524" spans="1:5" x14ac:dyDescent="0.25">
      <c r="A2524" s="216" t="s">
        <v>2964</v>
      </c>
      <c r="B2524" s="218" t="s">
        <v>48</v>
      </c>
      <c r="C2524" s="220" t="s">
        <v>230</v>
      </c>
      <c r="D2524" s="220" t="s">
        <v>90</v>
      </c>
      <c r="E2524" s="165">
        <v>574</v>
      </c>
    </row>
    <row r="2525" spans="1:5" x14ac:dyDescent="0.25">
      <c r="A2525" s="216" t="s">
        <v>3913</v>
      </c>
      <c r="B2525" s="218">
        <v>1</v>
      </c>
      <c r="C2525" s="220" t="s">
        <v>1359</v>
      </c>
      <c r="D2525" s="220" t="s">
        <v>63</v>
      </c>
      <c r="E2525" s="165">
        <v>574</v>
      </c>
    </row>
    <row r="2526" spans="1:5" x14ac:dyDescent="0.25">
      <c r="A2526" s="216" t="s">
        <v>3894</v>
      </c>
      <c r="B2526" s="218">
        <v>1</v>
      </c>
      <c r="C2526" s="220" t="s">
        <v>729</v>
      </c>
      <c r="D2526" s="220" t="s">
        <v>188</v>
      </c>
      <c r="E2526" s="165">
        <v>574</v>
      </c>
    </row>
    <row r="2527" spans="1:5" x14ac:dyDescent="0.25">
      <c r="A2527" s="216" t="s">
        <v>3901</v>
      </c>
      <c r="B2527" s="218">
        <v>1</v>
      </c>
      <c r="C2527" s="220" t="s">
        <v>3902</v>
      </c>
      <c r="D2527" s="220" t="s">
        <v>87</v>
      </c>
      <c r="E2527" s="165">
        <v>573</v>
      </c>
    </row>
    <row r="2528" spans="1:5" x14ac:dyDescent="0.25">
      <c r="A2528" s="216" t="s">
        <v>3848</v>
      </c>
      <c r="B2528" s="218">
        <v>1</v>
      </c>
      <c r="C2528" s="220" t="s">
        <v>3137</v>
      </c>
      <c r="D2528" s="220" t="s">
        <v>50</v>
      </c>
      <c r="E2528" s="165">
        <v>573</v>
      </c>
    </row>
    <row r="2529" spans="1:5" x14ac:dyDescent="0.25">
      <c r="A2529" s="216" t="s">
        <v>3945</v>
      </c>
      <c r="B2529" s="218" t="s">
        <v>48</v>
      </c>
      <c r="C2529" s="220" t="s">
        <v>257</v>
      </c>
      <c r="D2529" s="220" t="s">
        <v>108</v>
      </c>
      <c r="E2529" s="165">
        <v>572</v>
      </c>
    </row>
    <row r="2530" spans="1:5" x14ac:dyDescent="0.25">
      <c r="A2530" s="216" t="s">
        <v>3787</v>
      </c>
      <c r="B2530" s="218" t="s">
        <v>48</v>
      </c>
      <c r="C2530" s="220" t="s">
        <v>3788</v>
      </c>
      <c r="D2530" s="220" t="s">
        <v>166</v>
      </c>
      <c r="E2530" s="165">
        <v>572</v>
      </c>
    </row>
    <row r="2531" spans="1:5" x14ac:dyDescent="0.25">
      <c r="A2531" s="216" t="s">
        <v>3957</v>
      </c>
      <c r="B2531" s="218" t="s">
        <v>48</v>
      </c>
      <c r="C2531" s="220" t="s">
        <v>855</v>
      </c>
      <c r="D2531" s="220" t="s">
        <v>75</v>
      </c>
      <c r="E2531" s="165">
        <v>572</v>
      </c>
    </row>
    <row r="2532" spans="1:5" x14ac:dyDescent="0.25">
      <c r="A2532" s="216" t="s">
        <v>3886</v>
      </c>
      <c r="B2532" s="218">
        <v>1</v>
      </c>
      <c r="C2532" s="220" t="s">
        <v>1856</v>
      </c>
      <c r="D2532" s="220" t="s">
        <v>56</v>
      </c>
      <c r="E2532" s="165">
        <v>572</v>
      </c>
    </row>
    <row r="2533" spans="1:5" x14ac:dyDescent="0.25">
      <c r="A2533" s="216" t="s">
        <v>3792</v>
      </c>
      <c r="B2533" s="218">
        <v>1</v>
      </c>
      <c r="C2533" s="220" t="s">
        <v>2263</v>
      </c>
      <c r="D2533" s="220" t="s">
        <v>192</v>
      </c>
      <c r="E2533" s="165">
        <v>571</v>
      </c>
    </row>
    <row r="2534" spans="1:5" x14ac:dyDescent="0.25">
      <c r="A2534" s="216" t="s">
        <v>3920</v>
      </c>
      <c r="B2534" s="218" t="s">
        <v>48</v>
      </c>
      <c r="C2534" s="220" t="s">
        <v>1852</v>
      </c>
      <c r="D2534" s="220" t="s">
        <v>277</v>
      </c>
      <c r="E2534" s="165">
        <v>570</v>
      </c>
    </row>
    <row r="2535" spans="1:5" x14ac:dyDescent="0.25">
      <c r="A2535" s="216" t="s">
        <v>3274</v>
      </c>
      <c r="B2535" s="218" t="s">
        <v>48</v>
      </c>
      <c r="C2535" s="220" t="s">
        <v>679</v>
      </c>
      <c r="D2535" s="220" t="s">
        <v>206</v>
      </c>
      <c r="E2535" s="165">
        <v>569</v>
      </c>
    </row>
    <row r="2536" spans="1:5" x14ac:dyDescent="0.25">
      <c r="A2536" s="216" t="s">
        <v>3463</v>
      </c>
      <c r="B2536" s="218" t="s">
        <v>48</v>
      </c>
      <c r="C2536" s="220" t="s">
        <v>3464</v>
      </c>
      <c r="D2536" s="220" t="s">
        <v>87</v>
      </c>
      <c r="E2536" s="165">
        <v>568</v>
      </c>
    </row>
    <row r="2537" spans="1:5" x14ac:dyDescent="0.25">
      <c r="A2537" s="216" t="s">
        <v>3874</v>
      </c>
      <c r="B2537" s="218">
        <v>1</v>
      </c>
      <c r="C2537" s="220" t="s">
        <v>3875</v>
      </c>
      <c r="D2537" s="220" t="s">
        <v>394</v>
      </c>
      <c r="E2537" s="165">
        <v>567</v>
      </c>
    </row>
    <row r="2538" spans="1:5" x14ac:dyDescent="0.25">
      <c r="A2538" s="216" t="s">
        <v>3227</v>
      </c>
      <c r="B2538" s="218" t="s">
        <v>48</v>
      </c>
      <c r="C2538" s="220" t="s">
        <v>3228</v>
      </c>
      <c r="D2538" s="220" t="s">
        <v>90</v>
      </c>
      <c r="E2538" s="165">
        <v>566</v>
      </c>
    </row>
    <row r="2539" spans="1:5" x14ac:dyDescent="0.25">
      <c r="A2539" s="216" t="s">
        <v>3504</v>
      </c>
      <c r="B2539" s="218" t="s">
        <v>48</v>
      </c>
      <c r="C2539" s="220" t="s">
        <v>3505</v>
      </c>
      <c r="D2539" s="220" t="s">
        <v>59</v>
      </c>
      <c r="E2539" s="165">
        <v>566</v>
      </c>
    </row>
    <row r="2540" spans="1:5" x14ac:dyDescent="0.25">
      <c r="A2540" s="216" t="s">
        <v>3653</v>
      </c>
      <c r="B2540" s="218">
        <v>1</v>
      </c>
      <c r="C2540" s="220" t="s">
        <v>342</v>
      </c>
      <c r="D2540" s="220" t="s">
        <v>277</v>
      </c>
      <c r="E2540" s="165">
        <v>566</v>
      </c>
    </row>
    <row r="2541" spans="1:5" x14ac:dyDescent="0.25">
      <c r="A2541" s="216" t="s">
        <v>3856</v>
      </c>
      <c r="B2541" s="218" t="s">
        <v>48</v>
      </c>
      <c r="C2541" s="220" t="s">
        <v>1610</v>
      </c>
      <c r="D2541" s="220" t="s">
        <v>166</v>
      </c>
      <c r="E2541" s="165">
        <v>566</v>
      </c>
    </row>
    <row r="2542" spans="1:5" x14ac:dyDescent="0.25">
      <c r="A2542" s="216" t="s">
        <v>3758</v>
      </c>
      <c r="B2542" s="218" t="s">
        <v>48</v>
      </c>
      <c r="C2542" s="220" t="s">
        <v>1323</v>
      </c>
      <c r="D2542" s="220" t="s">
        <v>75</v>
      </c>
      <c r="E2542" s="165">
        <v>566</v>
      </c>
    </row>
    <row r="2543" spans="1:5" x14ac:dyDescent="0.25">
      <c r="A2543" s="216" t="s">
        <v>7513</v>
      </c>
      <c r="B2543" s="218" t="s">
        <v>48</v>
      </c>
      <c r="C2543" s="220" t="s">
        <v>2693</v>
      </c>
      <c r="D2543" s="220" t="s">
        <v>66</v>
      </c>
      <c r="E2543" s="165">
        <v>565</v>
      </c>
    </row>
    <row r="2544" spans="1:5" x14ac:dyDescent="0.25">
      <c r="A2544" s="216" t="s">
        <v>3969</v>
      </c>
      <c r="B2544" s="218">
        <v>1</v>
      </c>
      <c r="C2544" s="220" t="s">
        <v>3970</v>
      </c>
      <c r="D2544" s="220" t="s">
        <v>139</v>
      </c>
      <c r="E2544" s="165">
        <v>565</v>
      </c>
    </row>
    <row r="2545" spans="1:5" x14ac:dyDescent="0.25">
      <c r="A2545" s="216" t="s">
        <v>4045</v>
      </c>
      <c r="B2545" s="218" t="s">
        <v>48</v>
      </c>
      <c r="C2545" s="220" t="s">
        <v>4046</v>
      </c>
      <c r="D2545" s="220" t="s">
        <v>90</v>
      </c>
      <c r="E2545" s="165">
        <v>565</v>
      </c>
    </row>
    <row r="2546" spans="1:5" x14ac:dyDescent="0.25">
      <c r="A2546" s="216" t="s">
        <v>4100</v>
      </c>
      <c r="B2546" s="218" t="s">
        <v>48</v>
      </c>
      <c r="C2546" s="220" t="s">
        <v>4101</v>
      </c>
      <c r="D2546" s="220" t="s">
        <v>69</v>
      </c>
      <c r="E2546" s="165">
        <v>565</v>
      </c>
    </row>
    <row r="2547" spans="1:5" x14ac:dyDescent="0.25">
      <c r="A2547" s="216" t="s">
        <v>4790</v>
      </c>
      <c r="B2547" s="218" t="s">
        <v>48</v>
      </c>
      <c r="C2547" s="220" t="s">
        <v>1567</v>
      </c>
      <c r="D2547" s="220" t="s">
        <v>69</v>
      </c>
      <c r="E2547" s="165">
        <v>564</v>
      </c>
    </row>
    <row r="2548" spans="1:5" x14ac:dyDescent="0.25">
      <c r="A2548" s="216" t="s">
        <v>6559</v>
      </c>
      <c r="B2548" s="218">
        <v>1</v>
      </c>
      <c r="C2548" s="220" t="s">
        <v>6560</v>
      </c>
      <c r="D2548" s="220" t="s">
        <v>517</v>
      </c>
      <c r="E2548" s="165">
        <v>564</v>
      </c>
    </row>
    <row r="2549" spans="1:5" x14ac:dyDescent="0.25">
      <c r="A2549" s="216" t="s">
        <v>3895</v>
      </c>
      <c r="B2549" s="218" t="s">
        <v>48</v>
      </c>
      <c r="C2549" s="220" t="s">
        <v>679</v>
      </c>
      <c r="D2549" s="220" t="s">
        <v>206</v>
      </c>
      <c r="E2549" s="165">
        <v>563</v>
      </c>
    </row>
    <row r="2550" spans="1:5" x14ac:dyDescent="0.25">
      <c r="A2550" s="216" t="s">
        <v>3823</v>
      </c>
      <c r="B2550" s="218">
        <v>1</v>
      </c>
      <c r="C2550" s="220" t="s">
        <v>768</v>
      </c>
      <c r="D2550" s="220" t="s">
        <v>264</v>
      </c>
      <c r="E2550" s="165">
        <v>562</v>
      </c>
    </row>
    <row r="2551" spans="1:5" x14ac:dyDescent="0.25">
      <c r="A2551" s="216" t="s">
        <v>8747</v>
      </c>
      <c r="B2551" s="218">
        <v>1</v>
      </c>
      <c r="C2551" s="220" t="s">
        <v>2824</v>
      </c>
      <c r="D2551" s="220" t="s">
        <v>56</v>
      </c>
      <c r="E2551" s="165">
        <v>562</v>
      </c>
    </row>
    <row r="2552" spans="1:5" x14ac:dyDescent="0.25">
      <c r="A2552" s="216" t="s">
        <v>4571</v>
      </c>
      <c r="B2552" s="218">
        <v>1</v>
      </c>
      <c r="C2552" s="220" t="s">
        <v>4572</v>
      </c>
      <c r="D2552" s="220" t="s">
        <v>72</v>
      </c>
      <c r="E2552" s="165">
        <v>561</v>
      </c>
    </row>
    <row r="2553" spans="1:5" x14ac:dyDescent="0.25">
      <c r="A2553" s="216" t="s">
        <v>3824</v>
      </c>
      <c r="B2553" s="218" t="s">
        <v>48</v>
      </c>
      <c r="C2553" s="220" t="s">
        <v>3825</v>
      </c>
      <c r="D2553" s="220" t="s">
        <v>53</v>
      </c>
      <c r="E2553" s="165">
        <v>561</v>
      </c>
    </row>
    <row r="2554" spans="1:5" x14ac:dyDescent="0.25">
      <c r="A2554" s="216" t="s">
        <v>4575</v>
      </c>
      <c r="B2554" s="218">
        <v>1</v>
      </c>
      <c r="C2554" s="220" t="s">
        <v>1283</v>
      </c>
      <c r="D2554" s="220" t="s">
        <v>72</v>
      </c>
      <c r="E2554" s="165">
        <v>561</v>
      </c>
    </row>
    <row r="2555" spans="1:5" x14ac:dyDescent="0.25">
      <c r="A2555" s="216" t="s">
        <v>3878</v>
      </c>
      <c r="B2555" s="218">
        <v>1</v>
      </c>
      <c r="C2555" s="220" t="s">
        <v>1457</v>
      </c>
      <c r="D2555" s="220" t="s">
        <v>50</v>
      </c>
      <c r="E2555" s="165">
        <v>561</v>
      </c>
    </row>
    <row r="2556" spans="1:5" x14ac:dyDescent="0.25">
      <c r="A2556" s="216" t="s">
        <v>4500</v>
      </c>
      <c r="B2556" s="218">
        <v>1</v>
      </c>
      <c r="C2556" s="220" t="s">
        <v>4501</v>
      </c>
      <c r="D2556" s="220" t="s">
        <v>130</v>
      </c>
      <c r="E2556" s="165">
        <v>561</v>
      </c>
    </row>
    <row r="2557" spans="1:5" x14ac:dyDescent="0.25">
      <c r="A2557" s="216" t="s">
        <v>3780</v>
      </c>
      <c r="B2557" s="218">
        <v>1</v>
      </c>
      <c r="C2557" s="220" t="s">
        <v>289</v>
      </c>
      <c r="D2557" s="220" t="s">
        <v>69</v>
      </c>
      <c r="E2557" s="165">
        <v>561</v>
      </c>
    </row>
    <row r="2558" spans="1:5" x14ac:dyDescent="0.25">
      <c r="A2558" s="216" t="s">
        <v>3524</v>
      </c>
      <c r="B2558" s="218" t="s">
        <v>48</v>
      </c>
      <c r="C2558" s="220" t="s">
        <v>3525</v>
      </c>
      <c r="D2558" s="220" t="s">
        <v>75</v>
      </c>
      <c r="E2558" s="165">
        <v>559</v>
      </c>
    </row>
    <row r="2559" spans="1:5" x14ac:dyDescent="0.25">
      <c r="A2559" s="216" t="s">
        <v>4009</v>
      </c>
      <c r="B2559" s="218">
        <v>1</v>
      </c>
      <c r="C2559" s="220" t="s">
        <v>4010</v>
      </c>
      <c r="D2559" s="220" t="s">
        <v>139</v>
      </c>
      <c r="E2559" s="165">
        <v>559</v>
      </c>
    </row>
    <row r="2560" spans="1:5" x14ac:dyDescent="0.25">
      <c r="A2560" s="216" t="s">
        <v>11106</v>
      </c>
      <c r="B2560" s="218">
        <v>1</v>
      </c>
      <c r="C2560" s="220" t="s">
        <v>198</v>
      </c>
      <c r="D2560" s="220" t="s">
        <v>56</v>
      </c>
      <c r="E2560" s="165">
        <v>557</v>
      </c>
    </row>
    <row r="2561" spans="1:5" x14ac:dyDescent="0.25">
      <c r="A2561" s="216" t="s">
        <v>11107</v>
      </c>
      <c r="B2561" s="218" t="s">
        <v>48</v>
      </c>
      <c r="C2561" s="220" t="s">
        <v>1199</v>
      </c>
      <c r="D2561" s="220" t="s">
        <v>1200</v>
      </c>
      <c r="E2561" s="165">
        <v>556</v>
      </c>
    </row>
    <row r="2562" spans="1:5" x14ac:dyDescent="0.25">
      <c r="A2562" s="216" t="s">
        <v>4738</v>
      </c>
      <c r="B2562" s="218">
        <v>1</v>
      </c>
      <c r="C2562" s="220" t="s">
        <v>4739</v>
      </c>
      <c r="D2562" s="220" t="s">
        <v>348</v>
      </c>
      <c r="E2562" s="165">
        <v>556</v>
      </c>
    </row>
    <row r="2563" spans="1:5" x14ac:dyDescent="0.25">
      <c r="A2563" s="216" t="s">
        <v>3982</v>
      </c>
      <c r="B2563" s="218">
        <v>1</v>
      </c>
      <c r="C2563" s="220" t="s">
        <v>396</v>
      </c>
      <c r="D2563" s="220" t="s">
        <v>188</v>
      </c>
      <c r="E2563" s="165">
        <v>556</v>
      </c>
    </row>
    <row r="2564" spans="1:5" x14ac:dyDescent="0.25">
      <c r="A2564" s="216" t="s">
        <v>4862</v>
      </c>
      <c r="B2564" s="218" t="s">
        <v>48</v>
      </c>
      <c r="C2564" s="220" t="s">
        <v>4863</v>
      </c>
      <c r="D2564" s="220" t="s">
        <v>98</v>
      </c>
      <c r="E2564" s="165">
        <v>555</v>
      </c>
    </row>
    <row r="2565" spans="1:5" x14ac:dyDescent="0.25">
      <c r="A2565" s="216" t="s">
        <v>4608</v>
      </c>
      <c r="B2565" s="218">
        <v>1</v>
      </c>
      <c r="C2565" s="220" t="s">
        <v>684</v>
      </c>
      <c r="D2565" s="220" t="s">
        <v>72</v>
      </c>
      <c r="E2565" s="165">
        <v>555</v>
      </c>
    </row>
    <row r="2566" spans="1:5" x14ac:dyDescent="0.25">
      <c r="A2566" s="216" t="s">
        <v>4305</v>
      </c>
      <c r="B2566" s="218" t="s">
        <v>48</v>
      </c>
      <c r="C2566" s="220" t="s">
        <v>1849</v>
      </c>
      <c r="D2566" s="220" t="s">
        <v>93</v>
      </c>
      <c r="E2566" s="165">
        <v>555</v>
      </c>
    </row>
    <row r="2567" spans="1:5" x14ac:dyDescent="0.25">
      <c r="A2567" s="216" t="s">
        <v>5087</v>
      </c>
      <c r="B2567" s="218" t="s">
        <v>48</v>
      </c>
      <c r="C2567" s="220" t="s">
        <v>287</v>
      </c>
      <c r="D2567" s="220" t="s">
        <v>82</v>
      </c>
      <c r="E2567" s="165">
        <v>554</v>
      </c>
    </row>
    <row r="2568" spans="1:5" x14ac:dyDescent="0.25">
      <c r="A2568" s="216" t="s">
        <v>4121</v>
      </c>
      <c r="B2568" s="218" t="s">
        <v>48</v>
      </c>
      <c r="C2568" s="220" t="s">
        <v>4122</v>
      </c>
      <c r="D2568" s="220" t="s">
        <v>108</v>
      </c>
      <c r="E2568" s="165">
        <v>554</v>
      </c>
    </row>
    <row r="2569" spans="1:5" x14ac:dyDescent="0.25">
      <c r="A2569" s="216" t="s">
        <v>11108</v>
      </c>
      <c r="B2569" s="218">
        <v>1</v>
      </c>
      <c r="C2569" s="220" t="s">
        <v>3467</v>
      </c>
      <c r="D2569" s="220" t="s">
        <v>348</v>
      </c>
      <c r="E2569" s="165">
        <v>554</v>
      </c>
    </row>
    <row r="2570" spans="1:5" x14ac:dyDescent="0.25">
      <c r="A2570" s="216" t="s">
        <v>3776</v>
      </c>
      <c r="B2570" s="218" t="s">
        <v>48</v>
      </c>
      <c r="C2570" s="220" t="s">
        <v>547</v>
      </c>
      <c r="D2570" s="220" t="s">
        <v>87</v>
      </c>
      <c r="E2570" s="165">
        <v>553</v>
      </c>
    </row>
    <row r="2571" spans="1:5" x14ac:dyDescent="0.25">
      <c r="A2571" s="216" t="s">
        <v>3455</v>
      </c>
      <c r="B2571" s="218" t="s">
        <v>48</v>
      </c>
      <c r="C2571" s="220" t="s">
        <v>95</v>
      </c>
      <c r="D2571" s="220" t="s">
        <v>75</v>
      </c>
      <c r="E2571" s="165">
        <v>553</v>
      </c>
    </row>
    <row r="2572" spans="1:5" x14ac:dyDescent="0.25">
      <c r="A2572" s="216" t="s">
        <v>4251</v>
      </c>
      <c r="B2572" s="218">
        <v>1</v>
      </c>
      <c r="C2572" s="220" t="s">
        <v>845</v>
      </c>
      <c r="D2572" s="220" t="s">
        <v>66</v>
      </c>
      <c r="E2572" s="165">
        <v>553</v>
      </c>
    </row>
    <row r="2573" spans="1:5" x14ac:dyDescent="0.25">
      <c r="A2573" s="216" t="s">
        <v>3803</v>
      </c>
      <c r="B2573" s="218">
        <v>1</v>
      </c>
      <c r="C2573" s="220" t="s">
        <v>150</v>
      </c>
      <c r="D2573" s="220" t="s">
        <v>78</v>
      </c>
      <c r="E2573" s="165">
        <v>553</v>
      </c>
    </row>
    <row r="2574" spans="1:5" x14ac:dyDescent="0.25">
      <c r="A2574" s="216" t="s">
        <v>3805</v>
      </c>
      <c r="B2574" s="218">
        <v>1</v>
      </c>
      <c r="C2574" s="220" t="s">
        <v>877</v>
      </c>
      <c r="D2574" s="220" t="s">
        <v>78</v>
      </c>
      <c r="E2574" s="165">
        <v>553</v>
      </c>
    </row>
    <row r="2575" spans="1:5" x14ac:dyDescent="0.25">
      <c r="A2575" s="216" t="s">
        <v>3778</v>
      </c>
      <c r="B2575" s="218">
        <v>1</v>
      </c>
      <c r="C2575" s="220" t="s">
        <v>3779</v>
      </c>
      <c r="D2575" s="220" t="s">
        <v>53</v>
      </c>
      <c r="E2575" s="165">
        <v>552</v>
      </c>
    </row>
    <row r="2576" spans="1:5" x14ac:dyDescent="0.25">
      <c r="A2576" s="216" t="s">
        <v>3814</v>
      </c>
      <c r="B2576" s="218">
        <v>1</v>
      </c>
      <c r="C2576" s="220" t="s">
        <v>3815</v>
      </c>
      <c r="D2576" s="220" t="s">
        <v>56</v>
      </c>
      <c r="E2576" s="165">
        <v>551</v>
      </c>
    </row>
    <row r="2577" spans="1:5" x14ac:dyDescent="0.25">
      <c r="A2577" s="216" t="s">
        <v>3958</v>
      </c>
      <c r="B2577" s="218">
        <v>1</v>
      </c>
      <c r="C2577" s="220" t="s">
        <v>597</v>
      </c>
      <c r="D2577" s="220" t="s">
        <v>56</v>
      </c>
      <c r="E2577" s="165">
        <v>551</v>
      </c>
    </row>
    <row r="2578" spans="1:5" x14ac:dyDescent="0.25">
      <c r="A2578" s="216" t="s">
        <v>3689</v>
      </c>
      <c r="B2578" s="218">
        <v>1</v>
      </c>
      <c r="C2578" s="220" t="s">
        <v>784</v>
      </c>
      <c r="D2578" s="220" t="s">
        <v>774</v>
      </c>
      <c r="E2578" s="165">
        <v>551</v>
      </c>
    </row>
    <row r="2579" spans="1:5" x14ac:dyDescent="0.25">
      <c r="A2579" s="216" t="s">
        <v>4928</v>
      </c>
      <c r="B2579" s="218" t="s">
        <v>48</v>
      </c>
      <c r="C2579" s="220" t="s">
        <v>1567</v>
      </c>
      <c r="D2579" s="220" t="s">
        <v>56</v>
      </c>
      <c r="E2579" s="165">
        <v>550</v>
      </c>
    </row>
    <row r="2580" spans="1:5" x14ac:dyDescent="0.25">
      <c r="A2580" s="216" t="s">
        <v>4350</v>
      </c>
      <c r="B2580" s="218" t="s">
        <v>48</v>
      </c>
      <c r="C2580" s="220" t="s">
        <v>4351</v>
      </c>
      <c r="D2580" s="220" t="s">
        <v>56</v>
      </c>
      <c r="E2580" s="165">
        <v>550</v>
      </c>
    </row>
    <row r="2581" spans="1:5" x14ac:dyDescent="0.25">
      <c r="A2581" s="216" t="s">
        <v>3642</v>
      </c>
      <c r="B2581" s="218" t="s">
        <v>48</v>
      </c>
      <c r="C2581" s="220" t="s">
        <v>477</v>
      </c>
      <c r="D2581" s="220" t="s">
        <v>56</v>
      </c>
      <c r="E2581" s="165">
        <v>550</v>
      </c>
    </row>
    <row r="2582" spans="1:5" x14ac:dyDescent="0.25">
      <c r="A2582" s="216" t="s">
        <v>3082</v>
      </c>
      <c r="B2582" s="218">
        <v>1</v>
      </c>
      <c r="C2582" s="220" t="s">
        <v>347</v>
      </c>
      <c r="D2582" s="220" t="s">
        <v>348</v>
      </c>
      <c r="E2582" s="165">
        <v>550</v>
      </c>
    </row>
    <row r="2583" spans="1:5" x14ac:dyDescent="0.25">
      <c r="A2583" s="216" t="s">
        <v>3695</v>
      </c>
      <c r="B2583" s="218">
        <v>1</v>
      </c>
      <c r="C2583" s="220" t="s">
        <v>1700</v>
      </c>
      <c r="D2583" s="220" t="s">
        <v>337</v>
      </c>
      <c r="E2583" s="165">
        <v>549</v>
      </c>
    </row>
    <row r="2584" spans="1:5" x14ac:dyDescent="0.25">
      <c r="A2584" s="216" t="s">
        <v>4053</v>
      </c>
      <c r="B2584" s="218" t="s">
        <v>48</v>
      </c>
      <c r="C2584" s="220" t="s">
        <v>2572</v>
      </c>
      <c r="D2584" s="220" t="s">
        <v>63</v>
      </c>
      <c r="E2584" s="165">
        <v>548</v>
      </c>
    </row>
    <row r="2585" spans="1:5" x14ac:dyDescent="0.25">
      <c r="A2585" s="216" t="s">
        <v>4018</v>
      </c>
      <c r="B2585" s="218" t="s">
        <v>48</v>
      </c>
      <c r="C2585" s="220" t="s">
        <v>4019</v>
      </c>
      <c r="D2585" s="220" t="s">
        <v>108</v>
      </c>
      <c r="E2585" s="165">
        <v>548</v>
      </c>
    </row>
    <row r="2586" spans="1:5" x14ac:dyDescent="0.25">
      <c r="A2586" s="216" t="s">
        <v>11109</v>
      </c>
      <c r="B2586" s="218">
        <v>1</v>
      </c>
      <c r="C2586" s="220" t="s">
        <v>4560</v>
      </c>
      <c r="D2586" s="220" t="s">
        <v>82</v>
      </c>
      <c r="E2586" s="165">
        <v>547</v>
      </c>
    </row>
    <row r="2587" spans="1:5" x14ac:dyDescent="0.25">
      <c r="A2587" s="216" t="s">
        <v>11110</v>
      </c>
      <c r="B2587" s="218">
        <v>1</v>
      </c>
      <c r="C2587" s="220" t="s">
        <v>452</v>
      </c>
      <c r="D2587" s="220" t="s">
        <v>78</v>
      </c>
      <c r="E2587" s="165">
        <v>547</v>
      </c>
    </row>
    <row r="2588" spans="1:5" x14ac:dyDescent="0.25">
      <c r="A2588" s="216" t="s">
        <v>11111</v>
      </c>
      <c r="B2588" s="218">
        <v>1</v>
      </c>
      <c r="C2588" s="220" t="s">
        <v>1856</v>
      </c>
      <c r="D2588" s="220" t="s">
        <v>56</v>
      </c>
      <c r="E2588" s="165">
        <v>547</v>
      </c>
    </row>
    <row r="2589" spans="1:5" x14ac:dyDescent="0.25">
      <c r="A2589" s="216" t="s">
        <v>4315</v>
      </c>
      <c r="B2589" s="218">
        <v>1</v>
      </c>
      <c r="C2589" s="220" t="s">
        <v>990</v>
      </c>
      <c r="D2589" s="220" t="s">
        <v>63</v>
      </c>
      <c r="E2589" s="165">
        <v>547</v>
      </c>
    </row>
    <row r="2590" spans="1:5" x14ac:dyDescent="0.25">
      <c r="A2590" s="216" t="s">
        <v>11112</v>
      </c>
      <c r="B2590" s="218">
        <v>1</v>
      </c>
      <c r="C2590" s="220" t="s">
        <v>159</v>
      </c>
      <c r="D2590" s="220" t="s">
        <v>130</v>
      </c>
      <c r="E2590" s="165">
        <v>547</v>
      </c>
    </row>
    <row r="2591" spans="1:5" x14ac:dyDescent="0.25">
      <c r="A2591" s="216" t="s">
        <v>11113</v>
      </c>
      <c r="B2591" s="218">
        <v>1</v>
      </c>
      <c r="C2591" s="220" t="s">
        <v>2584</v>
      </c>
      <c r="D2591" s="220" t="s">
        <v>72</v>
      </c>
      <c r="E2591" s="165">
        <v>547</v>
      </c>
    </row>
    <row r="2592" spans="1:5" x14ac:dyDescent="0.25">
      <c r="A2592" s="216" t="s">
        <v>11114</v>
      </c>
      <c r="B2592" s="218">
        <v>1</v>
      </c>
      <c r="C2592" s="220" t="s">
        <v>261</v>
      </c>
      <c r="D2592" s="220" t="s">
        <v>56</v>
      </c>
      <c r="E2592" s="165">
        <v>547</v>
      </c>
    </row>
    <row r="2593" spans="1:5" x14ac:dyDescent="0.25">
      <c r="A2593" s="216" t="s">
        <v>4320</v>
      </c>
      <c r="B2593" s="218">
        <v>1</v>
      </c>
      <c r="C2593" s="220" t="s">
        <v>4321</v>
      </c>
      <c r="D2593" s="220" t="s">
        <v>69</v>
      </c>
      <c r="E2593" s="165">
        <v>547</v>
      </c>
    </row>
    <row r="2594" spans="1:5" x14ac:dyDescent="0.25">
      <c r="A2594" s="216" t="s">
        <v>4322</v>
      </c>
      <c r="B2594" s="218">
        <v>1</v>
      </c>
      <c r="C2594" s="220" t="s">
        <v>3961</v>
      </c>
      <c r="D2594" s="220" t="s">
        <v>56</v>
      </c>
      <c r="E2594" s="165">
        <v>547</v>
      </c>
    </row>
    <row r="2595" spans="1:5" x14ac:dyDescent="0.25">
      <c r="A2595" s="216" t="s">
        <v>11115</v>
      </c>
      <c r="B2595" s="218">
        <v>1</v>
      </c>
      <c r="C2595" s="220" t="s">
        <v>2519</v>
      </c>
      <c r="D2595" s="220" t="s">
        <v>523</v>
      </c>
      <c r="E2595" s="165">
        <v>547</v>
      </c>
    </row>
    <row r="2596" spans="1:5" x14ac:dyDescent="0.25">
      <c r="A2596" s="216" t="s">
        <v>5771</v>
      </c>
      <c r="B2596" s="218" t="s">
        <v>48</v>
      </c>
      <c r="C2596" s="220" t="s">
        <v>1835</v>
      </c>
      <c r="D2596" s="220" t="s">
        <v>166</v>
      </c>
      <c r="E2596" s="165">
        <v>545</v>
      </c>
    </row>
    <row r="2597" spans="1:5" x14ac:dyDescent="0.25">
      <c r="A2597" s="216" t="s">
        <v>3775</v>
      </c>
      <c r="B2597" s="218">
        <v>1</v>
      </c>
      <c r="C2597" s="220" t="s">
        <v>925</v>
      </c>
      <c r="D2597" s="220" t="s">
        <v>394</v>
      </c>
      <c r="E2597" s="165">
        <v>543</v>
      </c>
    </row>
    <row r="2598" spans="1:5" x14ac:dyDescent="0.25">
      <c r="A2598" s="216" t="s">
        <v>5198</v>
      </c>
      <c r="B2598" s="218">
        <v>1</v>
      </c>
      <c r="C2598" s="220" t="s">
        <v>5199</v>
      </c>
      <c r="D2598" s="220" t="s">
        <v>192</v>
      </c>
      <c r="E2598" s="165">
        <v>543</v>
      </c>
    </row>
    <row r="2599" spans="1:5" x14ac:dyDescent="0.25">
      <c r="A2599" s="216" t="s">
        <v>3835</v>
      </c>
      <c r="B2599" s="218">
        <v>1</v>
      </c>
      <c r="C2599" s="220" t="s">
        <v>1821</v>
      </c>
      <c r="D2599" s="220" t="s">
        <v>56</v>
      </c>
      <c r="E2599" s="165">
        <v>542</v>
      </c>
    </row>
    <row r="2600" spans="1:5" x14ac:dyDescent="0.25">
      <c r="A2600" s="216" t="s">
        <v>5369</v>
      </c>
      <c r="B2600" s="218" t="s">
        <v>48</v>
      </c>
      <c r="C2600" s="220" t="s">
        <v>89</v>
      </c>
      <c r="D2600" s="220" t="s">
        <v>90</v>
      </c>
      <c r="E2600" s="165">
        <v>542</v>
      </c>
    </row>
    <row r="2601" spans="1:5" x14ac:dyDescent="0.25">
      <c r="A2601" s="216" t="s">
        <v>3937</v>
      </c>
      <c r="B2601" s="218">
        <v>1</v>
      </c>
      <c r="C2601" s="220" t="s">
        <v>1113</v>
      </c>
      <c r="D2601" s="220" t="s">
        <v>50</v>
      </c>
      <c r="E2601" s="165">
        <v>542</v>
      </c>
    </row>
    <row r="2602" spans="1:5" x14ac:dyDescent="0.25">
      <c r="A2602" s="216" t="s">
        <v>3354</v>
      </c>
      <c r="B2602" s="218">
        <v>1</v>
      </c>
      <c r="C2602" s="220" t="s">
        <v>3355</v>
      </c>
      <c r="D2602" s="220" t="s">
        <v>523</v>
      </c>
      <c r="E2602" s="165">
        <v>541</v>
      </c>
    </row>
    <row r="2603" spans="1:5" x14ac:dyDescent="0.25">
      <c r="A2603" s="216" t="s">
        <v>3446</v>
      </c>
      <c r="B2603" s="218" t="s">
        <v>48</v>
      </c>
      <c r="C2603" s="220" t="s">
        <v>3091</v>
      </c>
      <c r="D2603" s="220" t="s">
        <v>90</v>
      </c>
      <c r="E2603" s="165">
        <v>541</v>
      </c>
    </row>
    <row r="2604" spans="1:5" x14ac:dyDescent="0.25">
      <c r="A2604" s="216" t="s">
        <v>4702</v>
      </c>
      <c r="B2604" s="218" t="s">
        <v>48</v>
      </c>
      <c r="C2604" s="220" t="s">
        <v>58</v>
      </c>
      <c r="D2604" s="220" t="s">
        <v>59</v>
      </c>
      <c r="E2604" s="165">
        <v>541</v>
      </c>
    </row>
    <row r="2605" spans="1:5" x14ac:dyDescent="0.25">
      <c r="A2605" s="216" t="s">
        <v>3727</v>
      </c>
      <c r="B2605" s="218" t="s">
        <v>48</v>
      </c>
      <c r="C2605" s="220" t="s">
        <v>3728</v>
      </c>
      <c r="D2605" s="220" t="s">
        <v>188</v>
      </c>
      <c r="E2605" s="165">
        <v>540</v>
      </c>
    </row>
    <row r="2606" spans="1:5" x14ac:dyDescent="0.25">
      <c r="A2606" s="216" t="s">
        <v>4167</v>
      </c>
      <c r="B2606" s="218">
        <v>1</v>
      </c>
      <c r="C2606" s="220" t="s">
        <v>3078</v>
      </c>
      <c r="D2606" s="220" t="s">
        <v>575</v>
      </c>
      <c r="E2606" s="165">
        <v>540</v>
      </c>
    </row>
    <row r="2607" spans="1:5" x14ac:dyDescent="0.25">
      <c r="A2607" s="216" t="s">
        <v>3940</v>
      </c>
      <c r="B2607" s="218" t="s">
        <v>48</v>
      </c>
      <c r="C2607" s="220" t="s">
        <v>3941</v>
      </c>
      <c r="D2607" s="220" t="s">
        <v>90</v>
      </c>
      <c r="E2607" s="165">
        <v>539</v>
      </c>
    </row>
    <row r="2608" spans="1:5" x14ac:dyDescent="0.25">
      <c r="A2608" s="216" t="s">
        <v>4692</v>
      </c>
      <c r="B2608" s="218">
        <v>1</v>
      </c>
      <c r="C2608" s="220" t="s">
        <v>4276</v>
      </c>
      <c r="D2608" s="220" t="s">
        <v>72</v>
      </c>
      <c r="E2608" s="165">
        <v>539</v>
      </c>
    </row>
    <row r="2609" spans="1:5" x14ac:dyDescent="0.25">
      <c r="A2609" s="216" t="s">
        <v>3842</v>
      </c>
      <c r="B2609" s="218">
        <v>1</v>
      </c>
      <c r="C2609" s="220" t="s">
        <v>1500</v>
      </c>
      <c r="D2609" s="220" t="s">
        <v>98</v>
      </c>
      <c r="E2609" s="165">
        <v>539</v>
      </c>
    </row>
    <row r="2610" spans="1:5" x14ac:dyDescent="0.25">
      <c r="A2610" s="216" t="s">
        <v>4403</v>
      </c>
      <c r="B2610" s="218" t="s">
        <v>48</v>
      </c>
      <c r="C2610" s="220" t="s">
        <v>213</v>
      </c>
      <c r="D2610" s="220" t="s">
        <v>75</v>
      </c>
      <c r="E2610" s="165">
        <v>538</v>
      </c>
    </row>
    <row r="2611" spans="1:5" x14ac:dyDescent="0.25">
      <c r="A2611" s="216" t="s">
        <v>3946</v>
      </c>
      <c r="B2611" s="218" t="s">
        <v>48</v>
      </c>
      <c r="C2611" s="220" t="s">
        <v>3947</v>
      </c>
      <c r="D2611" s="220" t="s">
        <v>98</v>
      </c>
      <c r="E2611" s="165">
        <v>538</v>
      </c>
    </row>
    <row r="2612" spans="1:5" x14ac:dyDescent="0.25">
      <c r="A2612" s="216" t="s">
        <v>3948</v>
      </c>
      <c r="B2612" s="218">
        <v>1</v>
      </c>
      <c r="C2612" s="220" t="s">
        <v>3949</v>
      </c>
      <c r="D2612" s="220" t="s">
        <v>63</v>
      </c>
      <c r="E2612" s="165">
        <v>538</v>
      </c>
    </row>
    <row r="2613" spans="1:5" x14ac:dyDescent="0.25">
      <c r="A2613" s="216" t="s">
        <v>4063</v>
      </c>
      <c r="B2613" s="218">
        <v>1</v>
      </c>
      <c r="C2613" s="220" t="s">
        <v>1513</v>
      </c>
      <c r="D2613" s="220" t="s">
        <v>188</v>
      </c>
      <c r="E2613" s="165">
        <v>538</v>
      </c>
    </row>
    <row r="2614" spans="1:5" x14ac:dyDescent="0.25">
      <c r="A2614" s="216" t="s">
        <v>3800</v>
      </c>
      <c r="B2614" s="218">
        <v>1</v>
      </c>
      <c r="C2614" s="220" t="s">
        <v>3801</v>
      </c>
      <c r="D2614" s="220" t="s">
        <v>277</v>
      </c>
      <c r="E2614" s="165">
        <v>537</v>
      </c>
    </row>
    <row r="2615" spans="1:5" x14ac:dyDescent="0.25">
      <c r="A2615" s="216" t="s">
        <v>3868</v>
      </c>
      <c r="B2615" s="218">
        <v>1</v>
      </c>
      <c r="C2615" s="220" t="s">
        <v>3869</v>
      </c>
      <c r="D2615" s="220" t="s">
        <v>72</v>
      </c>
      <c r="E2615" s="165">
        <v>537</v>
      </c>
    </row>
    <row r="2616" spans="1:5" x14ac:dyDescent="0.25">
      <c r="A2616" s="216" t="s">
        <v>3900</v>
      </c>
      <c r="B2616" s="218">
        <v>1</v>
      </c>
      <c r="C2616" s="220" t="s">
        <v>657</v>
      </c>
      <c r="D2616" s="220" t="s">
        <v>264</v>
      </c>
      <c r="E2616" s="165">
        <v>537</v>
      </c>
    </row>
    <row r="2617" spans="1:5" x14ac:dyDescent="0.25">
      <c r="A2617" s="216" t="s">
        <v>2348</v>
      </c>
      <c r="B2617" s="218" t="s">
        <v>48</v>
      </c>
      <c r="C2617" s="220" t="s">
        <v>1895</v>
      </c>
      <c r="D2617" s="220" t="s">
        <v>378</v>
      </c>
      <c r="E2617" s="165">
        <v>536</v>
      </c>
    </row>
    <row r="2618" spans="1:5" x14ac:dyDescent="0.25">
      <c r="A2618" s="216" t="s">
        <v>3550</v>
      </c>
      <c r="B2618" s="218" t="s">
        <v>48</v>
      </c>
      <c r="C2618" s="220" t="s">
        <v>3551</v>
      </c>
      <c r="D2618" s="220" t="s">
        <v>272</v>
      </c>
      <c r="E2618" s="165">
        <v>536</v>
      </c>
    </row>
    <row r="2619" spans="1:5" x14ac:dyDescent="0.25">
      <c r="A2619" s="216" t="s">
        <v>4229</v>
      </c>
      <c r="B2619" s="218" t="s">
        <v>48</v>
      </c>
      <c r="C2619" s="220" t="s">
        <v>4230</v>
      </c>
      <c r="D2619" s="220" t="s">
        <v>90</v>
      </c>
      <c r="E2619" s="165">
        <v>535</v>
      </c>
    </row>
    <row r="2620" spans="1:5" x14ac:dyDescent="0.25">
      <c r="A2620" s="216" t="s">
        <v>3521</v>
      </c>
      <c r="B2620" s="218">
        <v>1</v>
      </c>
      <c r="C2620" s="220" t="s">
        <v>3522</v>
      </c>
      <c r="D2620" s="220" t="s">
        <v>142</v>
      </c>
      <c r="E2620" s="165">
        <v>535</v>
      </c>
    </row>
    <row r="2621" spans="1:5" x14ac:dyDescent="0.25">
      <c r="A2621" s="216" t="s">
        <v>4214</v>
      </c>
      <c r="B2621" s="218" t="s">
        <v>48</v>
      </c>
      <c r="C2621" s="220" t="s">
        <v>4215</v>
      </c>
      <c r="D2621" s="220" t="s">
        <v>75</v>
      </c>
      <c r="E2621" s="165">
        <v>535</v>
      </c>
    </row>
    <row r="2622" spans="1:5" x14ac:dyDescent="0.25">
      <c r="A2622" s="216" t="s">
        <v>3763</v>
      </c>
      <c r="B2622" s="218">
        <v>1</v>
      </c>
      <c r="C2622" s="220" t="s">
        <v>3764</v>
      </c>
      <c r="D2622" s="220" t="s">
        <v>142</v>
      </c>
      <c r="E2622" s="165">
        <v>535</v>
      </c>
    </row>
    <row r="2623" spans="1:5" x14ac:dyDescent="0.25">
      <c r="A2623" s="216" t="s">
        <v>4163</v>
      </c>
      <c r="B2623" s="218" t="s">
        <v>48</v>
      </c>
      <c r="C2623" s="220" t="s">
        <v>857</v>
      </c>
      <c r="D2623" s="220" t="s">
        <v>378</v>
      </c>
      <c r="E2623" s="165">
        <v>534</v>
      </c>
    </row>
    <row r="2624" spans="1:5" x14ac:dyDescent="0.25">
      <c r="A2624" s="216" t="s">
        <v>3381</v>
      </c>
      <c r="B2624" s="218">
        <v>1</v>
      </c>
      <c r="C2624" s="220" t="s">
        <v>3382</v>
      </c>
      <c r="D2624" s="220" t="s">
        <v>523</v>
      </c>
      <c r="E2624" s="165">
        <v>534</v>
      </c>
    </row>
    <row r="2625" spans="1:5" x14ac:dyDescent="0.25">
      <c r="A2625" s="216" t="s">
        <v>3931</v>
      </c>
      <c r="B2625" s="218">
        <v>1</v>
      </c>
      <c r="C2625" s="220" t="s">
        <v>1115</v>
      </c>
      <c r="D2625" s="220" t="s">
        <v>222</v>
      </c>
      <c r="E2625" s="165">
        <v>534</v>
      </c>
    </row>
    <row r="2626" spans="1:5" x14ac:dyDescent="0.25">
      <c r="A2626" s="216" t="s">
        <v>3726</v>
      </c>
      <c r="B2626" s="218" t="s">
        <v>48</v>
      </c>
      <c r="C2626" s="220" t="s">
        <v>257</v>
      </c>
      <c r="D2626" s="220" t="s">
        <v>108</v>
      </c>
      <c r="E2626" s="165">
        <v>533</v>
      </c>
    </row>
    <row r="2627" spans="1:5" x14ac:dyDescent="0.25">
      <c r="A2627" s="216" t="s">
        <v>4061</v>
      </c>
      <c r="B2627" s="218">
        <v>1</v>
      </c>
      <c r="C2627" s="220" t="s">
        <v>4062</v>
      </c>
      <c r="D2627" s="220" t="s">
        <v>188</v>
      </c>
      <c r="E2627" s="165">
        <v>533</v>
      </c>
    </row>
    <row r="2628" spans="1:5" x14ac:dyDescent="0.25">
      <c r="A2628" s="216" t="s">
        <v>3129</v>
      </c>
      <c r="B2628" s="218">
        <v>1</v>
      </c>
      <c r="C2628" s="220" t="s">
        <v>3130</v>
      </c>
      <c r="D2628" s="220" t="s">
        <v>201</v>
      </c>
      <c r="E2628" s="165">
        <v>533</v>
      </c>
    </row>
    <row r="2629" spans="1:5" x14ac:dyDescent="0.25">
      <c r="A2629" s="216" t="s">
        <v>3866</v>
      </c>
      <c r="B2629" s="218">
        <v>1</v>
      </c>
      <c r="C2629" s="220" t="s">
        <v>176</v>
      </c>
      <c r="D2629" s="220" t="s">
        <v>177</v>
      </c>
      <c r="E2629" s="165">
        <v>533</v>
      </c>
    </row>
    <row r="2630" spans="1:5" x14ac:dyDescent="0.25">
      <c r="A2630" s="216" t="s">
        <v>3876</v>
      </c>
      <c r="B2630" s="218" t="s">
        <v>48</v>
      </c>
      <c r="C2630" s="220" t="s">
        <v>3877</v>
      </c>
      <c r="D2630" s="220" t="s">
        <v>166</v>
      </c>
      <c r="E2630" s="165">
        <v>533</v>
      </c>
    </row>
    <row r="2631" spans="1:5" x14ac:dyDescent="0.25">
      <c r="A2631" s="216" t="s">
        <v>3460</v>
      </c>
      <c r="B2631" s="218" t="s">
        <v>48</v>
      </c>
      <c r="C2631" s="220" t="s">
        <v>2706</v>
      </c>
      <c r="D2631" s="220" t="s">
        <v>50</v>
      </c>
      <c r="E2631" s="165">
        <v>532</v>
      </c>
    </row>
    <row r="2632" spans="1:5" x14ac:dyDescent="0.25">
      <c r="A2632" s="216" t="s">
        <v>1708</v>
      </c>
      <c r="B2632" s="218">
        <v>1</v>
      </c>
      <c r="C2632" s="220" t="s">
        <v>1709</v>
      </c>
      <c r="D2632" s="220" t="s">
        <v>192</v>
      </c>
      <c r="E2632" s="165">
        <v>532</v>
      </c>
    </row>
    <row r="2633" spans="1:5" x14ac:dyDescent="0.25">
      <c r="A2633" s="216" t="s">
        <v>3881</v>
      </c>
      <c r="B2633" s="218" t="s">
        <v>48</v>
      </c>
      <c r="C2633" s="220" t="s">
        <v>331</v>
      </c>
      <c r="D2633" s="220" t="s">
        <v>69</v>
      </c>
      <c r="E2633" s="165">
        <v>531</v>
      </c>
    </row>
    <row r="2634" spans="1:5" x14ac:dyDescent="0.25">
      <c r="A2634" s="216" t="s">
        <v>4068</v>
      </c>
      <c r="B2634" s="218">
        <v>1</v>
      </c>
      <c r="C2634" s="220" t="s">
        <v>363</v>
      </c>
      <c r="D2634" s="220" t="s">
        <v>56</v>
      </c>
      <c r="E2634" s="165">
        <v>531</v>
      </c>
    </row>
    <row r="2635" spans="1:5" x14ac:dyDescent="0.25">
      <c r="A2635" s="216" t="s">
        <v>4404</v>
      </c>
      <c r="B2635" s="218">
        <v>1</v>
      </c>
      <c r="C2635" s="220" t="s">
        <v>915</v>
      </c>
      <c r="D2635" s="220" t="s">
        <v>201</v>
      </c>
      <c r="E2635" s="165">
        <v>531</v>
      </c>
    </row>
    <row r="2636" spans="1:5" x14ac:dyDescent="0.25">
      <c r="A2636" s="216" t="s">
        <v>4073</v>
      </c>
      <c r="B2636" s="218">
        <v>1</v>
      </c>
      <c r="C2636" s="220" t="s">
        <v>4074</v>
      </c>
      <c r="D2636" s="220" t="s">
        <v>56</v>
      </c>
      <c r="E2636" s="165">
        <v>531</v>
      </c>
    </row>
    <row r="2637" spans="1:5" x14ac:dyDescent="0.25">
      <c r="A2637" s="216" t="s">
        <v>3870</v>
      </c>
      <c r="B2637" s="218">
        <v>1</v>
      </c>
      <c r="C2637" s="220" t="s">
        <v>3871</v>
      </c>
      <c r="D2637" s="220" t="s">
        <v>177</v>
      </c>
      <c r="E2637" s="165">
        <v>531</v>
      </c>
    </row>
    <row r="2638" spans="1:5" x14ac:dyDescent="0.25">
      <c r="A2638" s="216" t="s">
        <v>5523</v>
      </c>
      <c r="B2638" s="218" t="s">
        <v>48</v>
      </c>
      <c r="C2638" s="220" t="s">
        <v>1405</v>
      </c>
      <c r="D2638" s="220" t="s">
        <v>710</v>
      </c>
      <c r="E2638" s="165">
        <v>530</v>
      </c>
    </row>
    <row r="2639" spans="1:5" x14ac:dyDescent="0.25">
      <c r="A2639" s="216" t="s">
        <v>11116</v>
      </c>
      <c r="B2639" s="218" t="s">
        <v>48</v>
      </c>
      <c r="C2639" s="220" t="s">
        <v>7759</v>
      </c>
      <c r="D2639" s="220" t="s">
        <v>93</v>
      </c>
      <c r="E2639" s="165">
        <v>530</v>
      </c>
    </row>
    <row r="2640" spans="1:5" x14ac:dyDescent="0.25">
      <c r="A2640" s="216" t="s">
        <v>10576</v>
      </c>
      <c r="B2640" s="218" t="s">
        <v>48</v>
      </c>
      <c r="C2640" s="220" t="s">
        <v>4786</v>
      </c>
      <c r="D2640" s="220" t="s">
        <v>69</v>
      </c>
      <c r="E2640" s="165">
        <v>530</v>
      </c>
    </row>
    <row r="2641" spans="1:5" x14ac:dyDescent="0.25">
      <c r="A2641" s="216" t="s">
        <v>3841</v>
      </c>
      <c r="B2641" s="218">
        <v>1</v>
      </c>
      <c r="C2641" s="220" t="s">
        <v>2623</v>
      </c>
      <c r="D2641" s="220" t="s">
        <v>50</v>
      </c>
      <c r="E2641" s="165">
        <v>530</v>
      </c>
    </row>
    <row r="2642" spans="1:5" x14ac:dyDescent="0.25">
      <c r="A2642" s="216" t="s">
        <v>3587</v>
      </c>
      <c r="B2642" s="218" t="s">
        <v>48</v>
      </c>
      <c r="C2642" s="220" t="s">
        <v>3588</v>
      </c>
      <c r="D2642" s="220" t="s">
        <v>127</v>
      </c>
      <c r="E2642" s="165">
        <v>530</v>
      </c>
    </row>
    <row r="2643" spans="1:5" x14ac:dyDescent="0.25">
      <c r="A2643" s="216" t="s">
        <v>3453</v>
      </c>
      <c r="B2643" s="218">
        <v>1</v>
      </c>
      <c r="C2643" s="220" t="s">
        <v>3454</v>
      </c>
      <c r="D2643" s="220" t="s">
        <v>139</v>
      </c>
      <c r="E2643" s="165">
        <v>530</v>
      </c>
    </row>
    <row r="2644" spans="1:5" x14ac:dyDescent="0.25">
      <c r="A2644" s="216" t="s">
        <v>6093</v>
      </c>
      <c r="B2644" s="218" t="s">
        <v>48</v>
      </c>
      <c r="C2644" s="220" t="s">
        <v>6094</v>
      </c>
      <c r="D2644" s="220" t="s">
        <v>394</v>
      </c>
      <c r="E2644" s="165">
        <v>530</v>
      </c>
    </row>
    <row r="2645" spans="1:5" x14ac:dyDescent="0.25">
      <c r="A2645" s="216" t="s">
        <v>3773</v>
      </c>
      <c r="B2645" s="218">
        <v>1</v>
      </c>
      <c r="C2645" s="220" t="s">
        <v>92</v>
      </c>
      <c r="D2645" s="220" t="s">
        <v>93</v>
      </c>
      <c r="E2645" s="165">
        <v>529</v>
      </c>
    </row>
    <row r="2646" spans="1:5" x14ac:dyDescent="0.25">
      <c r="A2646" s="216" t="s">
        <v>4083</v>
      </c>
      <c r="B2646" s="218" t="s">
        <v>48</v>
      </c>
      <c r="C2646" s="220" t="s">
        <v>3935</v>
      </c>
      <c r="D2646" s="220" t="s">
        <v>575</v>
      </c>
      <c r="E2646" s="165">
        <v>528</v>
      </c>
    </row>
    <row r="2647" spans="1:5" x14ac:dyDescent="0.25">
      <c r="A2647" s="216" t="s">
        <v>3892</v>
      </c>
      <c r="B2647" s="218">
        <v>1</v>
      </c>
      <c r="C2647" s="220" t="s">
        <v>560</v>
      </c>
      <c r="D2647" s="220" t="s">
        <v>56</v>
      </c>
      <c r="E2647" s="165">
        <v>528</v>
      </c>
    </row>
    <row r="2648" spans="1:5" x14ac:dyDescent="0.25">
      <c r="A2648" s="216" t="s">
        <v>4412</v>
      </c>
      <c r="B2648" s="218" t="s">
        <v>48</v>
      </c>
      <c r="C2648" s="220" t="s">
        <v>123</v>
      </c>
      <c r="D2648" s="220" t="s">
        <v>124</v>
      </c>
      <c r="E2648" s="165">
        <v>527</v>
      </c>
    </row>
    <row r="2649" spans="1:5" x14ac:dyDescent="0.25">
      <c r="A2649" s="216" t="s">
        <v>3918</v>
      </c>
      <c r="B2649" s="218">
        <v>1</v>
      </c>
      <c r="C2649" s="220" t="s">
        <v>304</v>
      </c>
      <c r="D2649" s="220" t="s">
        <v>192</v>
      </c>
      <c r="E2649" s="165">
        <v>527</v>
      </c>
    </row>
    <row r="2650" spans="1:5" x14ac:dyDescent="0.25">
      <c r="A2650" s="216" t="s">
        <v>4635</v>
      </c>
      <c r="B2650" s="218" t="s">
        <v>48</v>
      </c>
      <c r="C2650" s="220" t="s">
        <v>289</v>
      </c>
      <c r="D2650" s="220" t="s">
        <v>69</v>
      </c>
      <c r="E2650" s="165">
        <v>526</v>
      </c>
    </row>
    <row r="2651" spans="1:5" x14ac:dyDescent="0.25">
      <c r="A2651" s="216" t="s">
        <v>3884</v>
      </c>
      <c r="B2651" s="218">
        <v>1</v>
      </c>
      <c r="C2651" s="220" t="s">
        <v>121</v>
      </c>
      <c r="D2651" s="220" t="s">
        <v>56</v>
      </c>
      <c r="E2651" s="165">
        <v>526</v>
      </c>
    </row>
    <row r="2652" spans="1:5" x14ac:dyDescent="0.25">
      <c r="A2652" s="216" t="s">
        <v>3996</v>
      </c>
      <c r="B2652" s="218">
        <v>1</v>
      </c>
      <c r="C2652" s="220" t="s">
        <v>3997</v>
      </c>
      <c r="D2652" s="220" t="s">
        <v>130</v>
      </c>
      <c r="E2652" s="165">
        <v>525</v>
      </c>
    </row>
    <row r="2653" spans="1:5" x14ac:dyDescent="0.25">
      <c r="A2653" s="216" t="s">
        <v>5051</v>
      </c>
      <c r="B2653" s="218" t="s">
        <v>48</v>
      </c>
      <c r="C2653" s="220" t="s">
        <v>1610</v>
      </c>
      <c r="D2653" s="220" t="s">
        <v>166</v>
      </c>
      <c r="E2653" s="165">
        <v>525</v>
      </c>
    </row>
    <row r="2654" spans="1:5" x14ac:dyDescent="0.25">
      <c r="A2654" s="216" t="s">
        <v>4156</v>
      </c>
      <c r="B2654" s="218">
        <v>1</v>
      </c>
      <c r="C2654" s="220" t="s">
        <v>4157</v>
      </c>
      <c r="D2654" s="220" t="s">
        <v>63</v>
      </c>
      <c r="E2654" s="165">
        <v>524</v>
      </c>
    </row>
    <row r="2655" spans="1:5" x14ac:dyDescent="0.25">
      <c r="A2655" s="216" t="s">
        <v>4208</v>
      </c>
      <c r="B2655" s="218" t="s">
        <v>48</v>
      </c>
      <c r="C2655" s="220" t="s">
        <v>4209</v>
      </c>
      <c r="D2655" s="220" t="s">
        <v>90</v>
      </c>
      <c r="E2655" s="165">
        <v>524</v>
      </c>
    </row>
    <row r="2656" spans="1:5" x14ac:dyDescent="0.25">
      <c r="A2656" s="216" t="s">
        <v>4050</v>
      </c>
      <c r="B2656" s="218">
        <v>1</v>
      </c>
      <c r="C2656" s="220" t="s">
        <v>4051</v>
      </c>
      <c r="D2656" s="220" t="s">
        <v>50</v>
      </c>
      <c r="E2656" s="165">
        <v>524</v>
      </c>
    </row>
    <row r="2657" spans="1:5" x14ac:dyDescent="0.25">
      <c r="A2657" s="216" t="s">
        <v>3854</v>
      </c>
      <c r="B2657" s="218">
        <v>1</v>
      </c>
      <c r="C2657" s="220" t="s">
        <v>496</v>
      </c>
      <c r="D2657" s="220" t="s">
        <v>272</v>
      </c>
      <c r="E2657" s="165">
        <v>524</v>
      </c>
    </row>
    <row r="2658" spans="1:5" x14ac:dyDescent="0.25">
      <c r="A2658" s="216" t="s">
        <v>4052</v>
      </c>
      <c r="B2658" s="218" t="s">
        <v>48</v>
      </c>
      <c r="C2658" s="220" t="s">
        <v>925</v>
      </c>
      <c r="D2658" s="220" t="s">
        <v>394</v>
      </c>
      <c r="E2658" s="165">
        <v>524</v>
      </c>
    </row>
    <row r="2659" spans="1:5" x14ac:dyDescent="0.25">
      <c r="A2659" s="216" t="s">
        <v>3170</v>
      </c>
      <c r="B2659" s="218">
        <v>1</v>
      </c>
      <c r="C2659" s="220" t="s">
        <v>490</v>
      </c>
      <c r="D2659" s="220" t="s">
        <v>201</v>
      </c>
      <c r="E2659" s="165">
        <v>523</v>
      </c>
    </row>
    <row r="2660" spans="1:5" x14ac:dyDescent="0.25">
      <c r="A2660" s="216" t="s">
        <v>3752</v>
      </c>
      <c r="B2660" s="218" t="s">
        <v>48</v>
      </c>
      <c r="C2660" s="220" t="s">
        <v>3753</v>
      </c>
      <c r="D2660" s="220" t="s">
        <v>53</v>
      </c>
      <c r="E2660" s="165">
        <v>523</v>
      </c>
    </row>
    <row r="2661" spans="1:5" x14ac:dyDescent="0.25">
      <c r="A2661" s="216" t="s">
        <v>4651</v>
      </c>
      <c r="B2661" s="218" t="s">
        <v>48</v>
      </c>
      <c r="C2661" s="220" t="s">
        <v>4652</v>
      </c>
      <c r="D2661" s="220" t="s">
        <v>75</v>
      </c>
      <c r="E2661" s="165">
        <v>523</v>
      </c>
    </row>
    <row r="2662" spans="1:5" x14ac:dyDescent="0.25">
      <c r="A2662" s="216" t="s">
        <v>3839</v>
      </c>
      <c r="B2662" s="218">
        <v>1</v>
      </c>
      <c r="C2662" s="220" t="s">
        <v>3840</v>
      </c>
      <c r="D2662" s="220" t="s">
        <v>1200</v>
      </c>
      <c r="E2662" s="165">
        <v>523</v>
      </c>
    </row>
    <row r="2663" spans="1:5" x14ac:dyDescent="0.25">
      <c r="A2663" s="216" t="s">
        <v>4109</v>
      </c>
      <c r="B2663" s="218">
        <v>1</v>
      </c>
      <c r="C2663" s="220" t="s">
        <v>4110</v>
      </c>
      <c r="D2663" s="220" t="s">
        <v>188</v>
      </c>
      <c r="E2663" s="165">
        <v>523</v>
      </c>
    </row>
    <row r="2664" spans="1:5" x14ac:dyDescent="0.25">
      <c r="A2664" s="216" t="s">
        <v>4161</v>
      </c>
      <c r="B2664" s="218" t="s">
        <v>48</v>
      </c>
      <c r="C2664" s="220" t="s">
        <v>4162</v>
      </c>
      <c r="D2664" s="220" t="s">
        <v>53</v>
      </c>
      <c r="E2664" s="165">
        <v>522</v>
      </c>
    </row>
    <row r="2665" spans="1:5" x14ac:dyDescent="0.25">
      <c r="A2665" s="216" t="s">
        <v>3924</v>
      </c>
      <c r="B2665" s="218" t="s">
        <v>48</v>
      </c>
      <c r="C2665" s="220" t="s">
        <v>3925</v>
      </c>
      <c r="D2665" s="220" t="s">
        <v>75</v>
      </c>
      <c r="E2665" s="165">
        <v>522</v>
      </c>
    </row>
    <row r="2666" spans="1:5" x14ac:dyDescent="0.25">
      <c r="A2666" s="216" t="s">
        <v>4195</v>
      </c>
      <c r="B2666" s="218">
        <v>1</v>
      </c>
      <c r="C2666" s="220" t="s">
        <v>4196</v>
      </c>
      <c r="D2666" s="220" t="s">
        <v>139</v>
      </c>
      <c r="E2666" s="165">
        <v>522</v>
      </c>
    </row>
    <row r="2667" spans="1:5" x14ac:dyDescent="0.25">
      <c r="A2667" s="216" t="s">
        <v>3621</v>
      </c>
      <c r="B2667" s="218" t="s">
        <v>48</v>
      </c>
      <c r="C2667" s="220" t="s">
        <v>681</v>
      </c>
      <c r="D2667" s="220" t="s">
        <v>90</v>
      </c>
      <c r="E2667" s="165">
        <v>522</v>
      </c>
    </row>
    <row r="2668" spans="1:5" x14ac:dyDescent="0.25">
      <c r="A2668" s="216" t="s">
        <v>4036</v>
      </c>
      <c r="B2668" s="218">
        <v>1</v>
      </c>
      <c r="C2668" s="220" t="s">
        <v>1121</v>
      </c>
      <c r="D2668" s="220" t="s">
        <v>63</v>
      </c>
      <c r="E2668" s="165">
        <v>521</v>
      </c>
    </row>
    <row r="2669" spans="1:5" x14ac:dyDescent="0.25">
      <c r="A2669" s="216" t="s">
        <v>3179</v>
      </c>
      <c r="B2669" s="218">
        <v>1</v>
      </c>
      <c r="C2669" s="220" t="s">
        <v>3180</v>
      </c>
      <c r="D2669" s="220" t="s">
        <v>201</v>
      </c>
      <c r="E2669" s="165">
        <v>521</v>
      </c>
    </row>
    <row r="2670" spans="1:5" x14ac:dyDescent="0.25">
      <c r="A2670" s="216" t="s">
        <v>4040</v>
      </c>
      <c r="B2670" s="218">
        <v>1</v>
      </c>
      <c r="C2670" s="220" t="s">
        <v>2972</v>
      </c>
      <c r="D2670" s="220" t="s">
        <v>63</v>
      </c>
      <c r="E2670" s="165">
        <v>521</v>
      </c>
    </row>
    <row r="2671" spans="1:5" x14ac:dyDescent="0.25">
      <c r="A2671" s="216" t="s">
        <v>5118</v>
      </c>
      <c r="B2671" s="218" t="s">
        <v>48</v>
      </c>
      <c r="C2671" s="220" t="s">
        <v>5119</v>
      </c>
      <c r="D2671" s="220" t="s">
        <v>72</v>
      </c>
      <c r="E2671" s="165">
        <v>520</v>
      </c>
    </row>
    <row r="2672" spans="1:5" x14ac:dyDescent="0.25">
      <c r="A2672" s="216" t="s">
        <v>3985</v>
      </c>
      <c r="B2672" s="218">
        <v>1</v>
      </c>
      <c r="C2672" s="220" t="s">
        <v>3986</v>
      </c>
      <c r="D2672" s="220" t="s">
        <v>66</v>
      </c>
      <c r="E2672" s="165">
        <v>520</v>
      </c>
    </row>
    <row r="2673" spans="1:5" x14ac:dyDescent="0.25">
      <c r="A2673" s="216" t="s">
        <v>4184</v>
      </c>
      <c r="B2673" s="218" t="s">
        <v>48</v>
      </c>
      <c r="C2673" s="220" t="s">
        <v>4185</v>
      </c>
      <c r="D2673" s="220" t="s">
        <v>523</v>
      </c>
      <c r="E2673" s="165">
        <v>520</v>
      </c>
    </row>
    <row r="2674" spans="1:5" x14ac:dyDescent="0.25">
      <c r="A2674" s="216" t="s">
        <v>3765</v>
      </c>
      <c r="B2674" s="218">
        <v>1</v>
      </c>
      <c r="C2674" s="220" t="s">
        <v>3766</v>
      </c>
      <c r="D2674" s="220" t="s">
        <v>130</v>
      </c>
      <c r="E2674" s="165">
        <v>520</v>
      </c>
    </row>
    <row r="2675" spans="1:5" x14ac:dyDescent="0.25">
      <c r="A2675" s="216" t="s">
        <v>3786</v>
      </c>
      <c r="B2675" s="218" t="s">
        <v>48</v>
      </c>
      <c r="C2675" s="220" t="s">
        <v>150</v>
      </c>
      <c r="D2675" s="220" t="s">
        <v>236</v>
      </c>
      <c r="E2675" s="165">
        <v>520</v>
      </c>
    </row>
    <row r="2676" spans="1:5" x14ac:dyDescent="0.25">
      <c r="A2676" s="216" t="s">
        <v>6461</v>
      </c>
      <c r="B2676" s="218" t="s">
        <v>48</v>
      </c>
      <c r="C2676" s="220" t="s">
        <v>11117</v>
      </c>
      <c r="D2676" s="220" t="s">
        <v>53</v>
      </c>
      <c r="E2676" s="165">
        <v>519</v>
      </c>
    </row>
    <row r="2677" spans="1:5" x14ac:dyDescent="0.25">
      <c r="A2677" s="216" t="s">
        <v>3896</v>
      </c>
      <c r="B2677" s="218">
        <v>1</v>
      </c>
      <c r="C2677" s="220" t="s">
        <v>1747</v>
      </c>
      <c r="D2677" s="220" t="s">
        <v>98</v>
      </c>
      <c r="E2677" s="165">
        <v>519</v>
      </c>
    </row>
    <row r="2678" spans="1:5" x14ac:dyDescent="0.25">
      <c r="A2678" s="216" t="s">
        <v>3967</v>
      </c>
      <c r="B2678" s="218">
        <v>1</v>
      </c>
      <c r="C2678" s="220" t="s">
        <v>1906</v>
      </c>
      <c r="D2678" s="220" t="s">
        <v>66</v>
      </c>
      <c r="E2678" s="165">
        <v>519</v>
      </c>
    </row>
    <row r="2679" spans="1:5" x14ac:dyDescent="0.25">
      <c r="A2679" s="216" t="s">
        <v>4070</v>
      </c>
      <c r="B2679" s="218">
        <v>1</v>
      </c>
      <c r="C2679" s="220" t="s">
        <v>587</v>
      </c>
      <c r="D2679" s="220" t="s">
        <v>50</v>
      </c>
      <c r="E2679" s="165">
        <v>519</v>
      </c>
    </row>
    <row r="2680" spans="1:5" x14ac:dyDescent="0.25">
      <c r="A2680" s="216" t="s">
        <v>4097</v>
      </c>
      <c r="B2680" s="218">
        <v>1</v>
      </c>
      <c r="C2680" s="220" t="s">
        <v>4098</v>
      </c>
      <c r="D2680" s="220" t="s">
        <v>394</v>
      </c>
      <c r="E2680" s="165">
        <v>519</v>
      </c>
    </row>
    <row r="2681" spans="1:5" x14ac:dyDescent="0.25">
      <c r="A2681" s="216" t="s">
        <v>4015</v>
      </c>
      <c r="B2681" s="218">
        <v>1</v>
      </c>
      <c r="C2681" s="220" t="s">
        <v>4016</v>
      </c>
      <c r="D2681" s="220" t="s">
        <v>192</v>
      </c>
      <c r="E2681" s="165">
        <v>519</v>
      </c>
    </row>
    <row r="2682" spans="1:5" x14ac:dyDescent="0.25">
      <c r="A2682" s="216" t="s">
        <v>4182</v>
      </c>
      <c r="B2682" s="218" t="s">
        <v>48</v>
      </c>
      <c r="C2682" s="220" t="s">
        <v>4183</v>
      </c>
      <c r="D2682" s="220" t="s">
        <v>108</v>
      </c>
      <c r="E2682" s="165">
        <v>518</v>
      </c>
    </row>
    <row r="2683" spans="1:5" x14ac:dyDescent="0.25">
      <c r="A2683" s="216" t="s">
        <v>4362</v>
      </c>
      <c r="B2683" s="218" t="s">
        <v>48</v>
      </c>
      <c r="C2683" s="220" t="s">
        <v>4363</v>
      </c>
      <c r="D2683" s="220" t="s">
        <v>59</v>
      </c>
      <c r="E2683" s="165">
        <v>518</v>
      </c>
    </row>
    <row r="2684" spans="1:5" x14ac:dyDescent="0.25">
      <c r="A2684" s="216" t="s">
        <v>3811</v>
      </c>
      <c r="B2684" s="218" t="s">
        <v>48</v>
      </c>
      <c r="C2684" s="220" t="s">
        <v>3812</v>
      </c>
      <c r="D2684" s="220" t="s">
        <v>90</v>
      </c>
      <c r="E2684" s="165">
        <v>517</v>
      </c>
    </row>
    <row r="2685" spans="1:5" x14ac:dyDescent="0.25">
      <c r="A2685" s="216" t="s">
        <v>2664</v>
      </c>
      <c r="B2685" s="218" t="s">
        <v>48</v>
      </c>
      <c r="C2685" s="220" t="s">
        <v>424</v>
      </c>
      <c r="D2685" s="220" t="s">
        <v>59</v>
      </c>
      <c r="E2685" s="165">
        <v>517</v>
      </c>
    </row>
    <row r="2686" spans="1:5" x14ac:dyDescent="0.25">
      <c r="A2686" s="216" t="s">
        <v>4178</v>
      </c>
      <c r="B2686" s="218">
        <v>1</v>
      </c>
      <c r="C2686" s="220" t="s">
        <v>1513</v>
      </c>
      <c r="D2686" s="220" t="s">
        <v>188</v>
      </c>
      <c r="E2686" s="165">
        <v>516</v>
      </c>
    </row>
    <row r="2687" spans="1:5" x14ac:dyDescent="0.25">
      <c r="A2687" s="216" t="s">
        <v>4118</v>
      </c>
      <c r="B2687" s="218" t="s">
        <v>48</v>
      </c>
      <c r="C2687" s="220" t="s">
        <v>733</v>
      </c>
      <c r="D2687" s="220" t="s">
        <v>82</v>
      </c>
      <c r="E2687" s="165">
        <v>516</v>
      </c>
    </row>
    <row r="2688" spans="1:5" x14ac:dyDescent="0.25">
      <c r="A2688" s="216" t="s">
        <v>4004</v>
      </c>
      <c r="B2688" s="218">
        <v>1</v>
      </c>
      <c r="C2688" s="220" t="s">
        <v>4005</v>
      </c>
      <c r="D2688" s="220" t="s">
        <v>66</v>
      </c>
      <c r="E2688" s="165">
        <v>516</v>
      </c>
    </row>
    <row r="2689" spans="1:5" x14ac:dyDescent="0.25">
      <c r="A2689" s="216" t="s">
        <v>4700</v>
      </c>
      <c r="B2689" s="218" t="s">
        <v>48</v>
      </c>
      <c r="C2689" s="220" t="s">
        <v>3457</v>
      </c>
      <c r="D2689" s="220" t="s">
        <v>108</v>
      </c>
      <c r="E2689" s="165">
        <v>515</v>
      </c>
    </row>
    <row r="2690" spans="1:5" x14ac:dyDescent="0.25">
      <c r="A2690" s="216" t="s">
        <v>3990</v>
      </c>
      <c r="B2690" s="218">
        <v>1</v>
      </c>
      <c r="C2690" s="220" t="s">
        <v>3991</v>
      </c>
      <c r="D2690" s="220" t="s">
        <v>192</v>
      </c>
      <c r="E2690" s="165">
        <v>515</v>
      </c>
    </row>
    <row r="2691" spans="1:5" x14ac:dyDescent="0.25">
      <c r="A2691" s="216" t="s">
        <v>3606</v>
      </c>
      <c r="B2691" s="218">
        <v>1</v>
      </c>
      <c r="C2691" s="220" t="s">
        <v>1971</v>
      </c>
      <c r="D2691" s="220" t="s">
        <v>142</v>
      </c>
      <c r="E2691" s="165">
        <v>515</v>
      </c>
    </row>
    <row r="2692" spans="1:5" x14ac:dyDescent="0.25">
      <c r="A2692" s="216" t="s">
        <v>4150</v>
      </c>
      <c r="B2692" s="218">
        <v>1</v>
      </c>
      <c r="C2692" s="220" t="s">
        <v>922</v>
      </c>
      <c r="D2692" s="220" t="s">
        <v>188</v>
      </c>
      <c r="E2692" s="165">
        <v>515</v>
      </c>
    </row>
    <row r="2693" spans="1:5" x14ac:dyDescent="0.25">
      <c r="A2693" s="216" t="s">
        <v>4130</v>
      </c>
      <c r="B2693" s="218">
        <v>1</v>
      </c>
      <c r="C2693" s="220" t="s">
        <v>4131</v>
      </c>
      <c r="D2693" s="220" t="s">
        <v>69</v>
      </c>
      <c r="E2693" s="165">
        <v>515</v>
      </c>
    </row>
    <row r="2694" spans="1:5" x14ac:dyDescent="0.25">
      <c r="A2694" s="216" t="s">
        <v>3699</v>
      </c>
      <c r="B2694" s="218" t="s">
        <v>48</v>
      </c>
      <c r="C2694" s="220" t="s">
        <v>3700</v>
      </c>
      <c r="D2694" s="220" t="s">
        <v>53</v>
      </c>
      <c r="E2694" s="165">
        <v>514</v>
      </c>
    </row>
    <row r="2695" spans="1:5" x14ac:dyDescent="0.25">
      <c r="A2695" s="216" t="s">
        <v>3626</v>
      </c>
      <c r="B2695" s="218">
        <v>1</v>
      </c>
      <c r="C2695" s="220" t="s">
        <v>318</v>
      </c>
      <c r="D2695" s="220" t="s">
        <v>172</v>
      </c>
      <c r="E2695" s="165">
        <v>514</v>
      </c>
    </row>
    <row r="2696" spans="1:5" x14ac:dyDescent="0.25">
      <c r="A2696" s="216" t="s">
        <v>3193</v>
      </c>
      <c r="B2696" s="218" t="s">
        <v>48</v>
      </c>
      <c r="C2696" s="220" t="s">
        <v>3194</v>
      </c>
      <c r="D2696" s="220" t="s">
        <v>75</v>
      </c>
      <c r="E2696" s="165">
        <v>514</v>
      </c>
    </row>
    <row r="2697" spans="1:5" x14ac:dyDescent="0.25">
      <c r="A2697" s="216" t="s">
        <v>4103</v>
      </c>
      <c r="B2697" s="218">
        <v>1</v>
      </c>
      <c r="C2697" s="220" t="s">
        <v>1113</v>
      </c>
      <c r="D2697" s="220" t="s">
        <v>50</v>
      </c>
      <c r="E2697" s="165">
        <v>514</v>
      </c>
    </row>
    <row r="2698" spans="1:5" x14ac:dyDescent="0.25">
      <c r="A2698" s="216" t="s">
        <v>3987</v>
      </c>
      <c r="B2698" s="218">
        <v>1</v>
      </c>
      <c r="C2698" s="220" t="s">
        <v>1508</v>
      </c>
      <c r="D2698" s="220" t="s">
        <v>69</v>
      </c>
      <c r="E2698" s="165">
        <v>513</v>
      </c>
    </row>
    <row r="2699" spans="1:5" x14ac:dyDescent="0.25">
      <c r="A2699" s="216" t="s">
        <v>4527</v>
      </c>
      <c r="B2699" s="218" t="s">
        <v>48</v>
      </c>
      <c r="C2699" s="220" t="s">
        <v>4528</v>
      </c>
      <c r="D2699" s="220" t="s">
        <v>394</v>
      </c>
      <c r="E2699" s="165">
        <v>513</v>
      </c>
    </row>
    <row r="2700" spans="1:5" x14ac:dyDescent="0.25">
      <c r="A2700" s="216" t="s">
        <v>3890</v>
      </c>
      <c r="B2700" s="218">
        <v>1</v>
      </c>
      <c r="C2700" s="220" t="s">
        <v>323</v>
      </c>
      <c r="D2700" s="220" t="s">
        <v>277</v>
      </c>
      <c r="E2700" s="165">
        <v>513</v>
      </c>
    </row>
    <row r="2701" spans="1:5" x14ac:dyDescent="0.25">
      <c r="A2701" s="216" t="s">
        <v>4055</v>
      </c>
      <c r="B2701" s="218">
        <v>1</v>
      </c>
      <c r="C2701" s="220" t="s">
        <v>4056</v>
      </c>
      <c r="D2701" s="220" t="s">
        <v>98</v>
      </c>
      <c r="E2701" s="165">
        <v>513</v>
      </c>
    </row>
    <row r="2702" spans="1:5" x14ac:dyDescent="0.25">
      <c r="A2702" s="216" t="s">
        <v>4272</v>
      </c>
      <c r="B2702" s="218">
        <v>1</v>
      </c>
      <c r="C2702" s="220" t="s">
        <v>733</v>
      </c>
      <c r="D2702" s="220" t="s">
        <v>139</v>
      </c>
      <c r="E2702" s="165">
        <v>512</v>
      </c>
    </row>
    <row r="2703" spans="1:5" x14ac:dyDescent="0.25">
      <c r="A2703" s="216" t="s">
        <v>3992</v>
      </c>
      <c r="B2703" s="218" t="s">
        <v>48</v>
      </c>
      <c r="C2703" s="220" t="s">
        <v>52</v>
      </c>
      <c r="D2703" s="220" t="s">
        <v>53</v>
      </c>
      <c r="E2703" s="165">
        <v>512</v>
      </c>
    </row>
    <row r="2704" spans="1:5" x14ac:dyDescent="0.25">
      <c r="A2704" s="216" t="s">
        <v>4071</v>
      </c>
      <c r="B2704" s="218" t="s">
        <v>48</v>
      </c>
      <c r="C2704" s="220" t="s">
        <v>4072</v>
      </c>
      <c r="D2704" s="220" t="s">
        <v>166</v>
      </c>
      <c r="E2704" s="165">
        <v>512</v>
      </c>
    </row>
    <row r="2705" spans="1:5" x14ac:dyDescent="0.25">
      <c r="A2705" s="216" t="s">
        <v>4569</v>
      </c>
      <c r="B2705" s="218" t="s">
        <v>48</v>
      </c>
      <c r="C2705" s="220" t="s">
        <v>270</v>
      </c>
      <c r="D2705" s="220" t="s">
        <v>177</v>
      </c>
      <c r="E2705" s="165">
        <v>512</v>
      </c>
    </row>
    <row r="2706" spans="1:5" x14ac:dyDescent="0.25">
      <c r="A2706" s="216" t="s">
        <v>4479</v>
      </c>
      <c r="B2706" s="218">
        <v>1</v>
      </c>
      <c r="C2706" s="220" t="s">
        <v>86</v>
      </c>
      <c r="D2706" s="220" t="s">
        <v>78</v>
      </c>
      <c r="E2706" s="165">
        <v>512</v>
      </c>
    </row>
    <row r="2707" spans="1:5" x14ac:dyDescent="0.25">
      <c r="A2707" s="216" t="s">
        <v>4347</v>
      </c>
      <c r="B2707" s="218">
        <v>1</v>
      </c>
      <c r="C2707" s="220" t="s">
        <v>574</v>
      </c>
      <c r="D2707" s="220" t="s">
        <v>575</v>
      </c>
      <c r="E2707" s="165">
        <v>511</v>
      </c>
    </row>
    <row r="2708" spans="1:5" x14ac:dyDescent="0.25">
      <c r="A2708" s="216" t="s">
        <v>4084</v>
      </c>
      <c r="B2708" s="218">
        <v>1</v>
      </c>
      <c r="C2708" s="220" t="s">
        <v>4085</v>
      </c>
      <c r="D2708" s="220" t="s">
        <v>63</v>
      </c>
      <c r="E2708" s="165">
        <v>511</v>
      </c>
    </row>
    <row r="2709" spans="1:5" x14ac:dyDescent="0.25">
      <c r="A2709" s="216" t="s">
        <v>4228</v>
      </c>
      <c r="B2709" s="218" t="s">
        <v>48</v>
      </c>
      <c r="C2709" s="220" t="s">
        <v>2098</v>
      </c>
      <c r="D2709" s="220" t="s">
        <v>63</v>
      </c>
      <c r="E2709" s="165">
        <v>511</v>
      </c>
    </row>
    <row r="2710" spans="1:5" x14ac:dyDescent="0.25">
      <c r="A2710" s="216" t="s">
        <v>3843</v>
      </c>
      <c r="B2710" s="218">
        <v>1</v>
      </c>
      <c r="C2710" s="220" t="s">
        <v>3844</v>
      </c>
      <c r="D2710" s="220" t="s">
        <v>142</v>
      </c>
      <c r="E2710" s="165">
        <v>511</v>
      </c>
    </row>
    <row r="2711" spans="1:5" x14ac:dyDescent="0.25">
      <c r="A2711" s="216" t="s">
        <v>4170</v>
      </c>
      <c r="B2711" s="218">
        <v>1</v>
      </c>
      <c r="C2711" s="220" t="s">
        <v>1643</v>
      </c>
      <c r="D2711" s="220" t="s">
        <v>56</v>
      </c>
      <c r="E2711" s="165">
        <v>510</v>
      </c>
    </row>
    <row r="2712" spans="1:5" x14ac:dyDescent="0.25">
      <c r="A2712" s="216" t="s">
        <v>11118</v>
      </c>
      <c r="B2712" s="218">
        <v>1</v>
      </c>
      <c r="C2712" s="220" t="s">
        <v>870</v>
      </c>
      <c r="D2712" s="220" t="s">
        <v>63</v>
      </c>
      <c r="E2712" s="165">
        <v>510</v>
      </c>
    </row>
    <row r="2713" spans="1:5" x14ac:dyDescent="0.25">
      <c r="A2713" s="216" t="s">
        <v>4494</v>
      </c>
      <c r="B2713" s="218" t="s">
        <v>48</v>
      </c>
      <c r="C2713" s="220" t="s">
        <v>4211</v>
      </c>
      <c r="D2713" s="220" t="s">
        <v>50</v>
      </c>
      <c r="E2713" s="165">
        <v>510</v>
      </c>
    </row>
    <row r="2714" spans="1:5" x14ac:dyDescent="0.25">
      <c r="A2714" s="216" t="s">
        <v>4179</v>
      </c>
      <c r="B2714" s="218" t="s">
        <v>48</v>
      </c>
      <c r="C2714" s="220" t="s">
        <v>121</v>
      </c>
      <c r="D2714" s="220" t="s">
        <v>56</v>
      </c>
      <c r="E2714" s="165">
        <v>510</v>
      </c>
    </row>
    <row r="2715" spans="1:5" x14ac:dyDescent="0.25">
      <c r="A2715" s="216" t="s">
        <v>4765</v>
      </c>
      <c r="B2715" s="218" t="s">
        <v>48</v>
      </c>
      <c r="C2715" s="220" t="s">
        <v>689</v>
      </c>
      <c r="D2715" s="220" t="s">
        <v>124</v>
      </c>
      <c r="E2715" s="165">
        <v>510</v>
      </c>
    </row>
    <row r="2716" spans="1:5" x14ac:dyDescent="0.25">
      <c r="A2716" s="216" t="s">
        <v>3702</v>
      </c>
      <c r="B2716" s="218">
        <v>1</v>
      </c>
      <c r="C2716" s="220" t="s">
        <v>3703</v>
      </c>
      <c r="D2716" s="220" t="s">
        <v>69</v>
      </c>
      <c r="E2716" s="165">
        <v>510</v>
      </c>
    </row>
    <row r="2717" spans="1:5" x14ac:dyDescent="0.25">
      <c r="A2717" s="216" t="s">
        <v>5955</v>
      </c>
      <c r="B2717" s="218">
        <v>1</v>
      </c>
      <c r="C2717" s="220" t="s">
        <v>1268</v>
      </c>
      <c r="D2717" s="220" t="s">
        <v>63</v>
      </c>
      <c r="E2717" s="165">
        <v>510</v>
      </c>
    </row>
    <row r="2718" spans="1:5" x14ac:dyDescent="0.25">
      <c r="A2718" s="216" t="s">
        <v>4134</v>
      </c>
      <c r="B2718" s="218" t="s">
        <v>48</v>
      </c>
      <c r="C2718" s="220" t="s">
        <v>4135</v>
      </c>
      <c r="D2718" s="220" t="s">
        <v>142</v>
      </c>
      <c r="E2718" s="165">
        <v>509</v>
      </c>
    </row>
    <row r="2719" spans="1:5" x14ac:dyDescent="0.25">
      <c r="A2719" s="216" t="s">
        <v>3213</v>
      </c>
      <c r="B2719" s="218" t="s">
        <v>48</v>
      </c>
      <c r="C2719" s="220" t="s">
        <v>3214</v>
      </c>
      <c r="D2719" s="220" t="s">
        <v>206</v>
      </c>
      <c r="E2719" s="165">
        <v>509</v>
      </c>
    </row>
    <row r="2720" spans="1:5" x14ac:dyDescent="0.25">
      <c r="A2720" s="216" t="s">
        <v>4014</v>
      </c>
      <c r="B2720" s="218">
        <v>1</v>
      </c>
      <c r="C2720" s="220" t="s">
        <v>300</v>
      </c>
      <c r="D2720" s="220" t="s">
        <v>69</v>
      </c>
      <c r="E2720" s="165">
        <v>509</v>
      </c>
    </row>
    <row r="2721" spans="1:5" x14ac:dyDescent="0.25">
      <c r="A2721" s="216" t="s">
        <v>3944</v>
      </c>
      <c r="B2721" s="218">
        <v>1</v>
      </c>
      <c r="C2721" s="220" t="s">
        <v>889</v>
      </c>
      <c r="D2721" s="220" t="s">
        <v>188</v>
      </c>
      <c r="E2721" s="165">
        <v>508</v>
      </c>
    </row>
    <row r="2722" spans="1:5" x14ac:dyDescent="0.25">
      <c r="A2722" s="216" t="s">
        <v>4113</v>
      </c>
      <c r="B2722" s="218">
        <v>1</v>
      </c>
      <c r="C2722" s="220" t="s">
        <v>4114</v>
      </c>
      <c r="D2722" s="220" t="s">
        <v>63</v>
      </c>
      <c r="E2722" s="165">
        <v>508</v>
      </c>
    </row>
    <row r="2723" spans="1:5" x14ac:dyDescent="0.25">
      <c r="A2723" s="216" t="s">
        <v>3847</v>
      </c>
      <c r="B2723" s="218">
        <v>1</v>
      </c>
      <c r="C2723" s="220" t="s">
        <v>1826</v>
      </c>
      <c r="D2723" s="220" t="s">
        <v>394</v>
      </c>
      <c r="E2723" s="165">
        <v>508</v>
      </c>
    </row>
    <row r="2724" spans="1:5" x14ac:dyDescent="0.25">
      <c r="A2724" s="216" t="s">
        <v>11119</v>
      </c>
      <c r="B2724" s="218" t="s">
        <v>48</v>
      </c>
      <c r="C2724" s="220" t="s">
        <v>7042</v>
      </c>
      <c r="D2724" s="220" t="s">
        <v>166</v>
      </c>
      <c r="E2724" s="165">
        <v>508</v>
      </c>
    </row>
    <row r="2725" spans="1:5" x14ac:dyDescent="0.25">
      <c r="A2725" s="216" t="s">
        <v>4119</v>
      </c>
      <c r="B2725" s="218">
        <v>1</v>
      </c>
      <c r="C2725" s="220" t="s">
        <v>2347</v>
      </c>
      <c r="D2725" s="220" t="s">
        <v>63</v>
      </c>
      <c r="E2725" s="165">
        <v>508</v>
      </c>
    </row>
    <row r="2726" spans="1:5" x14ac:dyDescent="0.25">
      <c r="A2726" s="216" t="s">
        <v>3675</v>
      </c>
      <c r="B2726" s="218">
        <v>1</v>
      </c>
      <c r="C2726" s="220" t="s">
        <v>3676</v>
      </c>
      <c r="D2726" s="220" t="s">
        <v>118</v>
      </c>
      <c r="E2726" s="165">
        <v>507</v>
      </c>
    </row>
    <row r="2727" spans="1:5" x14ac:dyDescent="0.25">
      <c r="A2727" s="216" t="s">
        <v>4768</v>
      </c>
      <c r="B2727" s="218" t="s">
        <v>48</v>
      </c>
      <c r="C2727" s="220" t="s">
        <v>4769</v>
      </c>
      <c r="D2727" s="220" t="s">
        <v>50</v>
      </c>
      <c r="E2727" s="165">
        <v>507</v>
      </c>
    </row>
    <row r="2728" spans="1:5" x14ac:dyDescent="0.25">
      <c r="A2728" s="216" t="s">
        <v>3910</v>
      </c>
      <c r="B2728" s="218">
        <v>1</v>
      </c>
      <c r="C2728" s="220" t="s">
        <v>1071</v>
      </c>
      <c r="D2728" s="220" t="s">
        <v>50</v>
      </c>
      <c r="E2728" s="165">
        <v>507</v>
      </c>
    </row>
    <row r="2729" spans="1:5" x14ac:dyDescent="0.25">
      <c r="A2729" s="216" t="s">
        <v>4487</v>
      </c>
      <c r="B2729" s="218" t="s">
        <v>48</v>
      </c>
      <c r="C2729" s="220" t="s">
        <v>647</v>
      </c>
      <c r="D2729" s="220" t="s">
        <v>69</v>
      </c>
      <c r="E2729" s="165">
        <v>506</v>
      </c>
    </row>
    <row r="2730" spans="1:5" x14ac:dyDescent="0.25">
      <c r="A2730" s="216" t="s">
        <v>3705</v>
      </c>
      <c r="B2730" s="218" t="s">
        <v>48</v>
      </c>
      <c r="C2730" s="220" t="s">
        <v>2049</v>
      </c>
      <c r="D2730" s="220" t="s">
        <v>53</v>
      </c>
      <c r="E2730" s="165">
        <v>506</v>
      </c>
    </row>
    <row r="2731" spans="1:5" x14ac:dyDescent="0.25">
      <c r="A2731" s="216" t="s">
        <v>4112</v>
      </c>
      <c r="B2731" s="218">
        <v>1</v>
      </c>
      <c r="C2731" s="220" t="s">
        <v>3565</v>
      </c>
      <c r="D2731" s="220" t="s">
        <v>63</v>
      </c>
      <c r="E2731" s="165">
        <v>506</v>
      </c>
    </row>
    <row r="2732" spans="1:5" x14ac:dyDescent="0.25">
      <c r="A2732" s="216" t="s">
        <v>7720</v>
      </c>
      <c r="B2732" s="218" t="s">
        <v>48</v>
      </c>
      <c r="C2732" s="220" t="s">
        <v>1963</v>
      </c>
      <c r="D2732" s="220" t="s">
        <v>90</v>
      </c>
      <c r="E2732" s="165">
        <v>505</v>
      </c>
    </row>
    <row r="2733" spans="1:5" x14ac:dyDescent="0.25">
      <c r="A2733" s="216" t="s">
        <v>4222</v>
      </c>
      <c r="B2733" s="218">
        <v>1</v>
      </c>
      <c r="C2733" s="220" t="s">
        <v>121</v>
      </c>
      <c r="D2733" s="220" t="s">
        <v>56</v>
      </c>
      <c r="E2733" s="165">
        <v>505</v>
      </c>
    </row>
    <row r="2734" spans="1:5" x14ac:dyDescent="0.25">
      <c r="A2734" s="216" t="s">
        <v>4013</v>
      </c>
      <c r="B2734" s="218">
        <v>1</v>
      </c>
      <c r="C2734" s="220" t="s">
        <v>1349</v>
      </c>
      <c r="D2734" s="220" t="s">
        <v>56</v>
      </c>
      <c r="E2734" s="165">
        <v>505</v>
      </c>
    </row>
    <row r="2735" spans="1:5" x14ac:dyDescent="0.25">
      <c r="A2735" s="216" t="s">
        <v>4818</v>
      </c>
      <c r="B2735" s="218" t="s">
        <v>48</v>
      </c>
      <c r="C2735" s="220" t="s">
        <v>89</v>
      </c>
      <c r="D2735" s="220" t="s">
        <v>90</v>
      </c>
      <c r="E2735" s="165">
        <v>505</v>
      </c>
    </row>
    <row r="2736" spans="1:5" x14ac:dyDescent="0.25">
      <c r="A2736" s="216" t="s">
        <v>2735</v>
      </c>
      <c r="B2736" s="218" t="s">
        <v>48</v>
      </c>
      <c r="C2736" s="220" t="s">
        <v>2736</v>
      </c>
      <c r="D2736" s="220" t="s">
        <v>82</v>
      </c>
      <c r="E2736" s="165">
        <v>505</v>
      </c>
    </row>
    <row r="2737" spans="1:5" x14ac:dyDescent="0.25">
      <c r="A2737" s="216" t="s">
        <v>3641</v>
      </c>
      <c r="B2737" s="218" t="s">
        <v>48</v>
      </c>
      <c r="C2737" s="220" t="s">
        <v>3596</v>
      </c>
      <c r="D2737" s="220" t="s">
        <v>75</v>
      </c>
      <c r="E2737" s="165">
        <v>504</v>
      </c>
    </row>
    <row r="2738" spans="1:5" x14ac:dyDescent="0.25">
      <c r="A2738" s="216" t="s">
        <v>4875</v>
      </c>
      <c r="B2738" s="218">
        <v>1</v>
      </c>
      <c r="C2738" s="220" t="s">
        <v>4876</v>
      </c>
      <c r="D2738" s="220" t="s">
        <v>72</v>
      </c>
      <c r="E2738" s="165">
        <v>504</v>
      </c>
    </row>
    <row r="2739" spans="1:5" x14ac:dyDescent="0.25">
      <c r="A2739" s="216" t="s">
        <v>2106</v>
      </c>
      <c r="B2739" s="218" t="s">
        <v>48</v>
      </c>
      <c r="C2739" s="220" t="s">
        <v>213</v>
      </c>
      <c r="D2739" s="220" t="s">
        <v>75</v>
      </c>
      <c r="E2739" s="165">
        <v>504</v>
      </c>
    </row>
    <row r="2740" spans="1:5" x14ac:dyDescent="0.25">
      <c r="A2740" s="216" t="s">
        <v>4225</v>
      </c>
      <c r="B2740" s="218">
        <v>1</v>
      </c>
      <c r="C2740" s="220" t="s">
        <v>1281</v>
      </c>
      <c r="D2740" s="220" t="s">
        <v>188</v>
      </c>
      <c r="E2740" s="165">
        <v>504</v>
      </c>
    </row>
    <row r="2741" spans="1:5" x14ac:dyDescent="0.25">
      <c r="A2741" s="216" t="s">
        <v>4151</v>
      </c>
      <c r="B2741" s="218">
        <v>1</v>
      </c>
      <c r="C2741" s="220" t="s">
        <v>4152</v>
      </c>
      <c r="D2741" s="220" t="s">
        <v>50</v>
      </c>
      <c r="E2741" s="165">
        <v>504</v>
      </c>
    </row>
    <row r="2742" spans="1:5" x14ac:dyDescent="0.25">
      <c r="A2742" s="216" t="s">
        <v>2787</v>
      </c>
      <c r="B2742" s="218">
        <v>1</v>
      </c>
      <c r="C2742" s="220" t="s">
        <v>65</v>
      </c>
      <c r="D2742" s="220" t="s">
        <v>66</v>
      </c>
      <c r="E2742" s="165">
        <v>503</v>
      </c>
    </row>
    <row r="2743" spans="1:5" x14ac:dyDescent="0.25">
      <c r="A2743" s="216" t="s">
        <v>4822</v>
      </c>
      <c r="B2743" s="218">
        <v>1</v>
      </c>
      <c r="C2743" s="220" t="s">
        <v>4823</v>
      </c>
      <c r="D2743" s="220" t="s">
        <v>130</v>
      </c>
      <c r="E2743" s="165">
        <v>503</v>
      </c>
    </row>
    <row r="2744" spans="1:5" x14ac:dyDescent="0.25">
      <c r="A2744" s="216" t="s">
        <v>3506</v>
      </c>
      <c r="B2744" s="218" t="s">
        <v>48</v>
      </c>
      <c r="C2744" s="220" t="s">
        <v>2509</v>
      </c>
      <c r="D2744" s="220" t="s">
        <v>108</v>
      </c>
      <c r="E2744" s="165">
        <v>503</v>
      </c>
    </row>
    <row r="2745" spans="1:5" x14ac:dyDescent="0.25">
      <c r="A2745" s="216" t="s">
        <v>11120</v>
      </c>
      <c r="B2745" s="218" t="s">
        <v>48</v>
      </c>
      <c r="C2745" s="220" t="s">
        <v>605</v>
      </c>
      <c r="D2745" s="220" t="s">
        <v>585</v>
      </c>
      <c r="E2745" s="165">
        <v>503</v>
      </c>
    </row>
    <row r="2746" spans="1:5" x14ac:dyDescent="0.25">
      <c r="A2746" s="216" t="s">
        <v>4485</v>
      </c>
      <c r="B2746" s="218" t="s">
        <v>48</v>
      </c>
      <c r="C2746" s="220" t="s">
        <v>4486</v>
      </c>
      <c r="D2746" s="220" t="s">
        <v>59</v>
      </c>
      <c r="E2746" s="165">
        <v>502</v>
      </c>
    </row>
    <row r="2747" spans="1:5" x14ac:dyDescent="0.25">
      <c r="A2747" s="216" t="s">
        <v>1891</v>
      </c>
      <c r="B2747" s="218">
        <v>1</v>
      </c>
      <c r="C2747" s="220" t="s">
        <v>768</v>
      </c>
      <c r="D2747" s="220" t="s">
        <v>264</v>
      </c>
      <c r="E2747" s="165">
        <v>502</v>
      </c>
    </row>
    <row r="2748" spans="1:5" x14ac:dyDescent="0.25">
      <c r="A2748" s="216" t="s">
        <v>3975</v>
      </c>
      <c r="B2748" s="218">
        <v>1</v>
      </c>
      <c r="C2748" s="220" t="s">
        <v>3577</v>
      </c>
      <c r="D2748" s="220" t="s">
        <v>124</v>
      </c>
      <c r="E2748" s="165">
        <v>502</v>
      </c>
    </row>
    <row r="2749" spans="1:5" x14ac:dyDescent="0.25">
      <c r="A2749" s="216" t="s">
        <v>5670</v>
      </c>
      <c r="B2749" s="218" t="s">
        <v>48</v>
      </c>
      <c r="C2749" s="220" t="s">
        <v>221</v>
      </c>
      <c r="D2749" s="220" t="s">
        <v>93</v>
      </c>
      <c r="E2749" s="165">
        <v>502</v>
      </c>
    </row>
    <row r="2750" spans="1:5" x14ac:dyDescent="0.25">
      <c r="A2750" s="216" t="s">
        <v>3922</v>
      </c>
      <c r="B2750" s="218" t="s">
        <v>48</v>
      </c>
      <c r="C2750" s="220" t="s">
        <v>3923</v>
      </c>
      <c r="D2750" s="220" t="s">
        <v>177</v>
      </c>
      <c r="E2750" s="165">
        <v>502</v>
      </c>
    </row>
    <row r="2751" spans="1:5" x14ac:dyDescent="0.25">
      <c r="A2751" s="216" t="s">
        <v>10522</v>
      </c>
      <c r="B2751" s="218">
        <v>1</v>
      </c>
      <c r="C2751" s="220" t="s">
        <v>2740</v>
      </c>
      <c r="D2751" s="220" t="s">
        <v>78</v>
      </c>
      <c r="E2751" s="165">
        <v>501</v>
      </c>
    </row>
    <row r="2752" spans="1:5" x14ac:dyDescent="0.25">
      <c r="A2752" s="216" t="s">
        <v>3045</v>
      </c>
      <c r="B2752" s="218">
        <v>1</v>
      </c>
      <c r="C2752" s="220" t="s">
        <v>3046</v>
      </c>
      <c r="D2752" s="220" t="s">
        <v>222</v>
      </c>
      <c r="E2752" s="165">
        <v>501</v>
      </c>
    </row>
    <row r="2753" spans="1:5" x14ac:dyDescent="0.25">
      <c r="A2753" s="216" t="s">
        <v>5286</v>
      </c>
      <c r="B2753" s="218">
        <v>1</v>
      </c>
      <c r="C2753" s="220" t="s">
        <v>249</v>
      </c>
      <c r="D2753" s="220" t="s">
        <v>142</v>
      </c>
      <c r="E2753" s="165">
        <v>501</v>
      </c>
    </row>
    <row r="2754" spans="1:5" x14ac:dyDescent="0.25">
      <c r="A2754" s="216" t="s">
        <v>3707</v>
      </c>
      <c r="B2754" s="218" t="s">
        <v>48</v>
      </c>
      <c r="C2754" s="220" t="s">
        <v>2919</v>
      </c>
      <c r="D2754" s="220" t="s">
        <v>66</v>
      </c>
      <c r="E2754" s="165">
        <v>501</v>
      </c>
    </row>
    <row r="2755" spans="1:5" x14ac:dyDescent="0.25">
      <c r="A2755" s="216" t="s">
        <v>4660</v>
      </c>
      <c r="B2755" s="218" t="s">
        <v>48</v>
      </c>
      <c r="C2755" s="220" t="s">
        <v>4661</v>
      </c>
      <c r="D2755" s="220" t="s">
        <v>585</v>
      </c>
      <c r="E2755" s="165">
        <v>501</v>
      </c>
    </row>
    <row r="2756" spans="1:5" x14ac:dyDescent="0.25">
      <c r="A2756" s="216" t="s">
        <v>4033</v>
      </c>
      <c r="B2756" s="218">
        <v>1</v>
      </c>
      <c r="C2756" s="220" t="s">
        <v>4034</v>
      </c>
      <c r="D2756" s="220" t="s">
        <v>72</v>
      </c>
      <c r="E2756" s="165">
        <v>500</v>
      </c>
    </row>
    <row r="2757" spans="1:5" x14ac:dyDescent="0.25">
      <c r="A2757" s="216" t="s">
        <v>6074</v>
      </c>
      <c r="B2757" s="218" t="s">
        <v>48</v>
      </c>
      <c r="C2757" s="220" t="s">
        <v>6075</v>
      </c>
      <c r="D2757" s="220" t="s">
        <v>56</v>
      </c>
      <c r="E2757" s="165">
        <v>500</v>
      </c>
    </row>
    <row r="2758" spans="1:5" x14ac:dyDescent="0.25">
      <c r="A2758" s="216" t="s">
        <v>4748</v>
      </c>
      <c r="B2758" s="218" t="s">
        <v>48</v>
      </c>
      <c r="C2758" s="220" t="s">
        <v>1359</v>
      </c>
      <c r="D2758" s="220" t="s">
        <v>105</v>
      </c>
      <c r="E2758" s="165">
        <v>500</v>
      </c>
    </row>
    <row r="2759" spans="1:5" x14ac:dyDescent="0.25">
      <c r="A2759" s="216" t="s">
        <v>5039</v>
      </c>
      <c r="B2759" s="218" t="s">
        <v>48</v>
      </c>
      <c r="C2759" s="220" t="s">
        <v>11121</v>
      </c>
      <c r="D2759" s="220" t="s">
        <v>56</v>
      </c>
      <c r="E2759" s="165">
        <v>500</v>
      </c>
    </row>
    <row r="2760" spans="1:5" x14ac:dyDescent="0.25">
      <c r="A2760" s="216" t="s">
        <v>3560</v>
      </c>
      <c r="B2760" s="218">
        <v>1</v>
      </c>
      <c r="C2760" s="220" t="s">
        <v>3561</v>
      </c>
      <c r="D2760" s="220" t="s">
        <v>264</v>
      </c>
      <c r="E2760" s="165">
        <v>500</v>
      </c>
    </row>
    <row r="2761" spans="1:5" x14ac:dyDescent="0.25">
      <c r="A2761" s="216" t="s">
        <v>4842</v>
      </c>
      <c r="B2761" s="218" t="s">
        <v>48</v>
      </c>
      <c r="C2761" s="220" t="s">
        <v>4843</v>
      </c>
      <c r="D2761" s="220" t="s">
        <v>192</v>
      </c>
      <c r="E2761" s="165">
        <v>500</v>
      </c>
    </row>
    <row r="2762" spans="1:5" x14ac:dyDescent="0.25">
      <c r="A2762" s="216" t="s">
        <v>4296</v>
      </c>
      <c r="B2762" s="218" t="s">
        <v>48</v>
      </c>
      <c r="C2762" s="220" t="s">
        <v>110</v>
      </c>
      <c r="D2762" s="220" t="s">
        <v>69</v>
      </c>
      <c r="E2762" s="165">
        <v>500</v>
      </c>
    </row>
    <row r="2763" spans="1:5" x14ac:dyDescent="0.25">
      <c r="A2763" s="216" t="s">
        <v>4254</v>
      </c>
      <c r="B2763" s="218" t="s">
        <v>48</v>
      </c>
      <c r="C2763" s="220" t="s">
        <v>733</v>
      </c>
      <c r="D2763" s="220" t="s">
        <v>82</v>
      </c>
      <c r="E2763" s="165">
        <v>500</v>
      </c>
    </row>
    <row r="2764" spans="1:5" x14ac:dyDescent="0.25">
      <c r="A2764" s="216" t="s">
        <v>11122</v>
      </c>
      <c r="B2764" s="218" t="s">
        <v>48</v>
      </c>
      <c r="C2764" s="220" t="s">
        <v>1164</v>
      </c>
      <c r="D2764" s="220" t="s">
        <v>98</v>
      </c>
      <c r="E2764" s="165">
        <v>500</v>
      </c>
    </row>
    <row r="2765" spans="1:5" x14ac:dyDescent="0.25">
      <c r="A2765" s="216" t="s">
        <v>4003</v>
      </c>
      <c r="B2765" s="218" t="s">
        <v>48</v>
      </c>
      <c r="C2765" s="220" t="s">
        <v>3078</v>
      </c>
      <c r="D2765" s="220" t="s">
        <v>575</v>
      </c>
      <c r="E2765" s="165">
        <v>500</v>
      </c>
    </row>
    <row r="2766" spans="1:5" x14ac:dyDescent="0.25">
      <c r="A2766" s="216" t="s">
        <v>5385</v>
      </c>
      <c r="B2766" s="218" t="s">
        <v>48</v>
      </c>
      <c r="C2766" s="220" t="s">
        <v>5386</v>
      </c>
      <c r="D2766" s="220" t="s">
        <v>66</v>
      </c>
      <c r="E2766" s="165">
        <v>500</v>
      </c>
    </row>
    <row r="2767" spans="1:5" x14ac:dyDescent="0.25">
      <c r="A2767" s="216" t="s">
        <v>4911</v>
      </c>
      <c r="B2767" s="218" t="s">
        <v>48</v>
      </c>
      <c r="C2767" s="220" t="s">
        <v>2453</v>
      </c>
      <c r="D2767" s="220" t="s">
        <v>628</v>
      </c>
      <c r="E2767" s="165">
        <v>500</v>
      </c>
    </row>
    <row r="2768" spans="1:5" x14ac:dyDescent="0.25">
      <c r="A2768" s="216" t="s">
        <v>3419</v>
      </c>
      <c r="B2768" s="218" t="s">
        <v>48</v>
      </c>
      <c r="C2768" s="220" t="s">
        <v>3420</v>
      </c>
      <c r="D2768" s="220" t="s">
        <v>394</v>
      </c>
      <c r="E2768" s="165">
        <v>500</v>
      </c>
    </row>
    <row r="2769" spans="1:5" x14ac:dyDescent="0.25">
      <c r="A2769" s="216" t="s">
        <v>3927</v>
      </c>
      <c r="B2769" s="218" t="s">
        <v>48</v>
      </c>
      <c r="C2769" s="220" t="s">
        <v>3928</v>
      </c>
      <c r="D2769" s="220" t="s">
        <v>1200</v>
      </c>
      <c r="E2769" s="165">
        <v>500</v>
      </c>
    </row>
    <row r="2770" spans="1:5" x14ac:dyDescent="0.25">
      <c r="A2770" s="216" t="s">
        <v>4301</v>
      </c>
      <c r="B2770" s="218" t="s">
        <v>48</v>
      </c>
      <c r="C2770" s="220" t="s">
        <v>4302</v>
      </c>
      <c r="D2770" s="220" t="s">
        <v>72</v>
      </c>
      <c r="E2770" s="165">
        <v>500</v>
      </c>
    </row>
    <row r="2771" spans="1:5" x14ac:dyDescent="0.25">
      <c r="A2771" s="216" t="s">
        <v>4683</v>
      </c>
      <c r="B2771" s="218">
        <v>1</v>
      </c>
      <c r="C2771" s="220" t="s">
        <v>1540</v>
      </c>
      <c r="D2771" s="220" t="s">
        <v>105</v>
      </c>
      <c r="E2771" s="165">
        <v>500</v>
      </c>
    </row>
    <row r="2772" spans="1:5" x14ac:dyDescent="0.25">
      <c r="A2772" s="216" t="s">
        <v>4389</v>
      </c>
      <c r="B2772" s="218" t="s">
        <v>48</v>
      </c>
      <c r="C2772" s="220" t="s">
        <v>814</v>
      </c>
      <c r="D2772" s="220" t="s">
        <v>66</v>
      </c>
      <c r="E2772" s="165">
        <v>500</v>
      </c>
    </row>
    <row r="2773" spans="1:5" x14ac:dyDescent="0.25">
      <c r="A2773" s="216" t="s">
        <v>3430</v>
      </c>
      <c r="B2773" s="218" t="s">
        <v>48</v>
      </c>
      <c r="C2773" s="220" t="s">
        <v>251</v>
      </c>
      <c r="D2773" s="220" t="s">
        <v>98</v>
      </c>
      <c r="E2773" s="165">
        <v>500</v>
      </c>
    </row>
    <row r="2774" spans="1:5" x14ac:dyDescent="0.25">
      <c r="A2774" s="216" t="s">
        <v>6031</v>
      </c>
      <c r="B2774" s="218" t="s">
        <v>48</v>
      </c>
      <c r="C2774" s="220" t="s">
        <v>6032</v>
      </c>
      <c r="D2774" s="220" t="s">
        <v>66</v>
      </c>
      <c r="E2774" s="165">
        <v>500</v>
      </c>
    </row>
    <row r="2775" spans="1:5" x14ac:dyDescent="0.25">
      <c r="A2775" s="216" t="s">
        <v>4265</v>
      </c>
      <c r="B2775" s="218" t="s">
        <v>48</v>
      </c>
      <c r="C2775" s="220" t="s">
        <v>4266</v>
      </c>
      <c r="D2775" s="220" t="s">
        <v>50</v>
      </c>
      <c r="E2775" s="165">
        <v>500</v>
      </c>
    </row>
    <row r="2776" spans="1:5" x14ac:dyDescent="0.25">
      <c r="A2776" s="216" t="s">
        <v>6114</v>
      </c>
      <c r="B2776" s="218" t="s">
        <v>48</v>
      </c>
      <c r="C2776" s="220" t="s">
        <v>413</v>
      </c>
      <c r="D2776" s="220" t="s">
        <v>236</v>
      </c>
      <c r="E2776" s="165">
        <v>499</v>
      </c>
    </row>
    <row r="2777" spans="1:5" x14ac:dyDescent="0.25">
      <c r="A2777" s="216" t="s">
        <v>5844</v>
      </c>
      <c r="B2777" s="218">
        <v>1</v>
      </c>
      <c r="C2777" s="220" t="s">
        <v>5845</v>
      </c>
      <c r="D2777" s="220" t="s">
        <v>98</v>
      </c>
      <c r="E2777" s="165">
        <v>499</v>
      </c>
    </row>
    <row r="2778" spans="1:5" x14ac:dyDescent="0.25">
      <c r="A2778" s="216" t="s">
        <v>4356</v>
      </c>
      <c r="B2778" s="218">
        <v>1</v>
      </c>
      <c r="C2778" s="220" t="s">
        <v>4357</v>
      </c>
      <c r="D2778" s="220" t="s">
        <v>139</v>
      </c>
      <c r="E2778" s="165">
        <v>499</v>
      </c>
    </row>
    <row r="2779" spans="1:5" x14ac:dyDescent="0.25">
      <c r="A2779" s="216" t="s">
        <v>4360</v>
      </c>
      <c r="B2779" s="218">
        <v>1</v>
      </c>
      <c r="C2779" s="220" t="s">
        <v>4361</v>
      </c>
      <c r="D2779" s="220" t="s">
        <v>139</v>
      </c>
      <c r="E2779" s="165">
        <v>499</v>
      </c>
    </row>
    <row r="2780" spans="1:5" x14ac:dyDescent="0.25">
      <c r="A2780" s="216" t="s">
        <v>4021</v>
      </c>
      <c r="B2780" s="218">
        <v>1</v>
      </c>
      <c r="C2780" s="220" t="s">
        <v>4022</v>
      </c>
      <c r="D2780" s="220" t="s">
        <v>56</v>
      </c>
      <c r="E2780" s="165">
        <v>498</v>
      </c>
    </row>
    <row r="2781" spans="1:5" x14ac:dyDescent="0.25">
      <c r="A2781" s="216" t="s">
        <v>3889</v>
      </c>
      <c r="B2781" s="218" t="s">
        <v>48</v>
      </c>
      <c r="C2781" s="220" t="s">
        <v>1331</v>
      </c>
      <c r="D2781" s="220" t="s">
        <v>348</v>
      </c>
      <c r="E2781" s="165">
        <v>497</v>
      </c>
    </row>
    <row r="2782" spans="1:5" x14ac:dyDescent="0.25">
      <c r="A2782" s="216" t="s">
        <v>4058</v>
      </c>
      <c r="B2782" s="218">
        <v>1</v>
      </c>
      <c r="C2782" s="220" t="s">
        <v>4059</v>
      </c>
      <c r="D2782" s="220" t="s">
        <v>72</v>
      </c>
      <c r="E2782" s="165">
        <v>497</v>
      </c>
    </row>
    <row r="2783" spans="1:5" x14ac:dyDescent="0.25">
      <c r="A2783" s="216" t="s">
        <v>4288</v>
      </c>
      <c r="B2783" s="218">
        <v>1</v>
      </c>
      <c r="C2783" s="220" t="s">
        <v>274</v>
      </c>
      <c r="D2783" s="220" t="s">
        <v>188</v>
      </c>
      <c r="E2783" s="165">
        <v>497</v>
      </c>
    </row>
    <row r="2784" spans="1:5" x14ac:dyDescent="0.25">
      <c r="A2784" s="216" t="s">
        <v>4057</v>
      </c>
      <c r="B2784" s="218">
        <v>1</v>
      </c>
      <c r="C2784" s="220" t="s">
        <v>121</v>
      </c>
      <c r="D2784" s="220" t="s">
        <v>56</v>
      </c>
      <c r="E2784" s="165">
        <v>496</v>
      </c>
    </row>
    <row r="2785" spans="1:5" x14ac:dyDescent="0.25">
      <c r="A2785" s="216" t="s">
        <v>4168</v>
      </c>
      <c r="B2785" s="218">
        <v>1</v>
      </c>
      <c r="C2785" s="220" t="s">
        <v>1431</v>
      </c>
      <c r="D2785" s="220" t="s">
        <v>63</v>
      </c>
      <c r="E2785" s="165">
        <v>496</v>
      </c>
    </row>
    <row r="2786" spans="1:5" x14ac:dyDescent="0.25">
      <c r="A2786" s="216" t="s">
        <v>4834</v>
      </c>
      <c r="B2786" s="218">
        <v>1</v>
      </c>
      <c r="C2786" s="220" t="s">
        <v>138</v>
      </c>
      <c r="D2786" s="220" t="s">
        <v>139</v>
      </c>
      <c r="E2786" s="165">
        <v>496</v>
      </c>
    </row>
    <row r="2787" spans="1:5" x14ac:dyDescent="0.25">
      <c r="A2787" s="216" t="s">
        <v>4295</v>
      </c>
      <c r="B2787" s="218" t="s">
        <v>48</v>
      </c>
      <c r="C2787" s="220" t="s">
        <v>350</v>
      </c>
      <c r="D2787" s="220" t="s">
        <v>69</v>
      </c>
      <c r="E2787" s="165">
        <v>495</v>
      </c>
    </row>
    <row r="2788" spans="1:5" x14ac:dyDescent="0.25">
      <c r="A2788" s="216" t="s">
        <v>3666</v>
      </c>
      <c r="B2788" s="218" t="s">
        <v>48</v>
      </c>
      <c r="C2788" s="220" t="s">
        <v>1414</v>
      </c>
      <c r="D2788" s="220" t="s">
        <v>63</v>
      </c>
      <c r="E2788" s="165">
        <v>495</v>
      </c>
    </row>
    <row r="2789" spans="1:5" x14ac:dyDescent="0.25">
      <c r="A2789" s="216" t="s">
        <v>3548</v>
      </c>
      <c r="B2789" s="218">
        <v>1</v>
      </c>
      <c r="C2789" s="220" t="s">
        <v>3549</v>
      </c>
      <c r="D2789" s="220" t="s">
        <v>50</v>
      </c>
      <c r="E2789" s="165">
        <v>495</v>
      </c>
    </row>
    <row r="2790" spans="1:5" x14ac:dyDescent="0.25">
      <c r="A2790" s="216" t="s">
        <v>11123</v>
      </c>
      <c r="B2790" s="218" t="s">
        <v>48</v>
      </c>
      <c r="C2790" s="220" t="s">
        <v>1194</v>
      </c>
      <c r="D2790" s="220" t="s">
        <v>75</v>
      </c>
      <c r="E2790" s="165">
        <v>495</v>
      </c>
    </row>
    <row r="2791" spans="1:5" x14ac:dyDescent="0.25">
      <c r="A2791" s="216" t="s">
        <v>4333</v>
      </c>
      <c r="B2791" s="218">
        <v>1</v>
      </c>
      <c r="C2791" s="220" t="s">
        <v>4062</v>
      </c>
      <c r="D2791" s="220" t="s">
        <v>188</v>
      </c>
      <c r="E2791" s="165">
        <v>495</v>
      </c>
    </row>
    <row r="2792" spans="1:5" x14ac:dyDescent="0.25">
      <c r="A2792" s="216" t="s">
        <v>4221</v>
      </c>
      <c r="B2792" s="218">
        <v>1</v>
      </c>
      <c r="C2792" s="220" t="s">
        <v>2623</v>
      </c>
      <c r="D2792" s="220" t="s">
        <v>50</v>
      </c>
      <c r="E2792" s="165">
        <v>494</v>
      </c>
    </row>
    <row r="2793" spans="1:5" x14ac:dyDescent="0.25">
      <c r="A2793" s="216" t="s">
        <v>3926</v>
      </c>
      <c r="B2793" s="218">
        <v>1</v>
      </c>
      <c r="C2793" s="220" t="s">
        <v>1209</v>
      </c>
      <c r="D2793" s="220" t="s">
        <v>142</v>
      </c>
      <c r="E2793" s="165">
        <v>494</v>
      </c>
    </row>
    <row r="2794" spans="1:5" x14ac:dyDescent="0.25">
      <c r="A2794" s="216" t="s">
        <v>4433</v>
      </c>
      <c r="B2794" s="218" t="s">
        <v>48</v>
      </c>
      <c r="C2794" s="220" t="s">
        <v>347</v>
      </c>
      <c r="D2794" s="220" t="s">
        <v>348</v>
      </c>
      <c r="E2794" s="165">
        <v>494</v>
      </c>
    </row>
    <row r="2795" spans="1:5" x14ac:dyDescent="0.25">
      <c r="A2795" s="216" t="s">
        <v>4434</v>
      </c>
      <c r="B2795" s="218">
        <v>1</v>
      </c>
      <c r="C2795" s="220" t="s">
        <v>574</v>
      </c>
      <c r="D2795" s="220" t="s">
        <v>575</v>
      </c>
      <c r="E2795" s="165">
        <v>493</v>
      </c>
    </row>
    <row r="2796" spans="1:5" x14ac:dyDescent="0.25">
      <c r="A2796" s="216" t="s">
        <v>11124</v>
      </c>
      <c r="B2796" s="218" t="s">
        <v>48</v>
      </c>
      <c r="C2796" s="220" t="s">
        <v>11125</v>
      </c>
      <c r="D2796" s="220" t="s">
        <v>50</v>
      </c>
      <c r="E2796" s="165">
        <v>493</v>
      </c>
    </row>
    <row r="2797" spans="1:5" x14ac:dyDescent="0.25">
      <c r="A2797" s="216" t="s">
        <v>4659</v>
      </c>
      <c r="B2797" s="218" t="s">
        <v>48</v>
      </c>
      <c r="C2797" s="220" t="s">
        <v>2811</v>
      </c>
      <c r="D2797" s="220" t="s">
        <v>177</v>
      </c>
      <c r="E2797" s="165">
        <v>493</v>
      </c>
    </row>
    <row r="2798" spans="1:5" x14ac:dyDescent="0.25">
      <c r="A2798" s="216" t="s">
        <v>4216</v>
      </c>
      <c r="B2798" s="218">
        <v>1</v>
      </c>
      <c r="C2798" s="220" t="s">
        <v>11126</v>
      </c>
      <c r="D2798" s="220" t="s">
        <v>394</v>
      </c>
      <c r="E2798" s="165">
        <v>493</v>
      </c>
    </row>
    <row r="2799" spans="1:5" x14ac:dyDescent="0.25">
      <c r="A2799" s="216" t="s">
        <v>4307</v>
      </c>
      <c r="B2799" s="218" t="s">
        <v>48</v>
      </c>
      <c r="C2799" s="220" t="s">
        <v>4308</v>
      </c>
      <c r="D2799" s="220" t="s">
        <v>177</v>
      </c>
      <c r="E2799" s="165">
        <v>493</v>
      </c>
    </row>
    <row r="2800" spans="1:5" x14ac:dyDescent="0.25">
      <c r="A2800" s="216" t="s">
        <v>4069</v>
      </c>
      <c r="B2800" s="218">
        <v>1</v>
      </c>
      <c r="C2800" s="220" t="s">
        <v>626</v>
      </c>
      <c r="D2800" s="220" t="s">
        <v>56</v>
      </c>
      <c r="E2800" s="165">
        <v>492</v>
      </c>
    </row>
    <row r="2801" spans="1:5" x14ac:dyDescent="0.25">
      <c r="A2801" s="216" t="s">
        <v>3748</v>
      </c>
      <c r="B2801" s="218">
        <v>1</v>
      </c>
      <c r="C2801" s="220" t="s">
        <v>3749</v>
      </c>
      <c r="D2801" s="220" t="s">
        <v>802</v>
      </c>
      <c r="E2801" s="165">
        <v>492</v>
      </c>
    </row>
    <row r="2802" spans="1:5" x14ac:dyDescent="0.25">
      <c r="A2802" s="216" t="s">
        <v>4604</v>
      </c>
      <c r="B2802" s="218">
        <v>1</v>
      </c>
      <c r="C2802" s="220" t="s">
        <v>2391</v>
      </c>
      <c r="D2802" s="220" t="s">
        <v>108</v>
      </c>
      <c r="E2802" s="165">
        <v>492</v>
      </c>
    </row>
    <row r="2803" spans="1:5" x14ac:dyDescent="0.25">
      <c r="A2803" s="216" t="s">
        <v>11127</v>
      </c>
      <c r="B2803" s="218">
        <v>1</v>
      </c>
      <c r="C2803" s="220" t="s">
        <v>295</v>
      </c>
      <c r="D2803" s="220" t="s">
        <v>56</v>
      </c>
      <c r="E2803" s="165">
        <v>492</v>
      </c>
    </row>
    <row r="2804" spans="1:5" x14ac:dyDescent="0.25">
      <c r="A2804" s="216" t="s">
        <v>4206</v>
      </c>
      <c r="B2804" s="218">
        <v>1</v>
      </c>
      <c r="C2804" s="220" t="s">
        <v>615</v>
      </c>
      <c r="D2804" s="220" t="s">
        <v>63</v>
      </c>
      <c r="E2804" s="165">
        <v>492</v>
      </c>
    </row>
    <row r="2805" spans="1:5" x14ac:dyDescent="0.25">
      <c r="A2805" s="216" t="s">
        <v>11128</v>
      </c>
      <c r="B2805" s="218">
        <v>1</v>
      </c>
      <c r="C2805" s="220" t="s">
        <v>3317</v>
      </c>
      <c r="D2805" s="220" t="s">
        <v>56</v>
      </c>
      <c r="E2805" s="165">
        <v>492</v>
      </c>
    </row>
    <row r="2806" spans="1:5" x14ac:dyDescent="0.25">
      <c r="A2806" s="216" t="s">
        <v>4079</v>
      </c>
      <c r="B2806" s="218">
        <v>1</v>
      </c>
      <c r="C2806" s="220" t="s">
        <v>509</v>
      </c>
      <c r="D2806" s="220" t="s">
        <v>56</v>
      </c>
      <c r="E2806" s="165">
        <v>491</v>
      </c>
    </row>
    <row r="2807" spans="1:5" x14ac:dyDescent="0.25">
      <c r="A2807" s="216" t="s">
        <v>4233</v>
      </c>
      <c r="B2807" s="218">
        <v>1</v>
      </c>
      <c r="C2807" s="220" t="s">
        <v>68</v>
      </c>
      <c r="D2807" s="220" t="s">
        <v>63</v>
      </c>
      <c r="E2807" s="165">
        <v>491</v>
      </c>
    </row>
    <row r="2808" spans="1:5" x14ac:dyDescent="0.25">
      <c r="A2808" s="216" t="s">
        <v>4133</v>
      </c>
      <c r="B2808" s="218">
        <v>1</v>
      </c>
      <c r="C2808" s="220" t="s">
        <v>768</v>
      </c>
      <c r="D2808" s="220" t="s">
        <v>264</v>
      </c>
      <c r="E2808" s="165">
        <v>490</v>
      </c>
    </row>
    <row r="2809" spans="1:5" x14ac:dyDescent="0.25">
      <c r="A2809" s="216" t="s">
        <v>4165</v>
      </c>
      <c r="B2809" s="218" t="s">
        <v>48</v>
      </c>
      <c r="C2809" s="220" t="s">
        <v>2960</v>
      </c>
      <c r="D2809" s="220" t="s">
        <v>50</v>
      </c>
      <c r="E2809" s="165">
        <v>490</v>
      </c>
    </row>
    <row r="2810" spans="1:5" x14ac:dyDescent="0.25">
      <c r="A2810" s="216" t="s">
        <v>4443</v>
      </c>
      <c r="B2810" s="218" t="s">
        <v>48</v>
      </c>
      <c r="C2810" s="220" t="s">
        <v>4444</v>
      </c>
      <c r="D2810" s="220" t="s">
        <v>56</v>
      </c>
      <c r="E2810" s="165">
        <v>490</v>
      </c>
    </row>
    <row r="2811" spans="1:5" x14ac:dyDescent="0.25">
      <c r="A2811" s="216" t="s">
        <v>4567</v>
      </c>
      <c r="B2811" s="218" t="s">
        <v>48</v>
      </c>
      <c r="C2811" s="220" t="s">
        <v>4568</v>
      </c>
      <c r="D2811" s="220" t="s">
        <v>56</v>
      </c>
      <c r="E2811" s="165">
        <v>490</v>
      </c>
    </row>
    <row r="2812" spans="1:5" x14ac:dyDescent="0.25">
      <c r="A2812" s="216" t="s">
        <v>3981</v>
      </c>
      <c r="B2812" s="218" t="s">
        <v>48</v>
      </c>
      <c r="C2812" s="220" t="s">
        <v>306</v>
      </c>
      <c r="D2812" s="220" t="s">
        <v>63</v>
      </c>
      <c r="E2812" s="165">
        <v>490</v>
      </c>
    </row>
    <row r="2813" spans="1:5" x14ac:dyDescent="0.25">
      <c r="A2813" s="216" t="s">
        <v>3798</v>
      </c>
      <c r="B2813" s="218" t="s">
        <v>48</v>
      </c>
      <c r="C2813" s="220" t="s">
        <v>3799</v>
      </c>
      <c r="D2813" s="220" t="s">
        <v>56</v>
      </c>
      <c r="E2813" s="165">
        <v>490</v>
      </c>
    </row>
    <row r="2814" spans="1:5" x14ac:dyDescent="0.25">
      <c r="A2814" s="216" t="s">
        <v>4399</v>
      </c>
      <c r="B2814" s="218">
        <v>1</v>
      </c>
      <c r="C2814" s="220" t="s">
        <v>138</v>
      </c>
      <c r="D2814" s="220" t="s">
        <v>139</v>
      </c>
      <c r="E2814" s="165">
        <v>489</v>
      </c>
    </row>
    <row r="2815" spans="1:5" x14ac:dyDescent="0.25">
      <c r="A2815" s="216" t="s">
        <v>4763</v>
      </c>
      <c r="B2815" s="218" t="s">
        <v>48</v>
      </c>
      <c r="C2815" s="220" t="s">
        <v>538</v>
      </c>
      <c r="D2815" s="220" t="s">
        <v>90</v>
      </c>
      <c r="E2815" s="165">
        <v>489</v>
      </c>
    </row>
    <row r="2816" spans="1:5" x14ac:dyDescent="0.25">
      <c r="A2816" s="216" t="s">
        <v>4020</v>
      </c>
      <c r="B2816" s="218">
        <v>1</v>
      </c>
      <c r="C2816" s="220" t="s">
        <v>211</v>
      </c>
      <c r="D2816" s="220" t="s">
        <v>50</v>
      </c>
      <c r="E2816" s="165">
        <v>488</v>
      </c>
    </row>
    <row r="2817" spans="1:5" x14ac:dyDescent="0.25">
      <c r="A2817" s="216" t="s">
        <v>4464</v>
      </c>
      <c r="B2817" s="218" t="s">
        <v>48</v>
      </c>
      <c r="C2817" s="220" t="s">
        <v>481</v>
      </c>
      <c r="D2817" s="220" t="s">
        <v>142</v>
      </c>
      <c r="E2817" s="165">
        <v>488</v>
      </c>
    </row>
    <row r="2818" spans="1:5" x14ac:dyDescent="0.25">
      <c r="A2818" s="216" t="s">
        <v>4244</v>
      </c>
      <c r="B2818" s="218">
        <v>1</v>
      </c>
      <c r="C2818" s="220" t="s">
        <v>4245</v>
      </c>
      <c r="D2818" s="220" t="s">
        <v>63</v>
      </c>
      <c r="E2818" s="165">
        <v>488</v>
      </c>
    </row>
    <row r="2819" spans="1:5" x14ac:dyDescent="0.25">
      <c r="A2819" s="216" t="s">
        <v>3968</v>
      </c>
      <c r="B2819" s="218">
        <v>1</v>
      </c>
      <c r="C2819" s="220" t="s">
        <v>2136</v>
      </c>
      <c r="D2819" s="220" t="s">
        <v>192</v>
      </c>
      <c r="E2819" s="165">
        <v>488</v>
      </c>
    </row>
    <row r="2820" spans="1:5" x14ac:dyDescent="0.25">
      <c r="A2820" s="216" t="s">
        <v>3762</v>
      </c>
      <c r="B2820" s="218">
        <v>1</v>
      </c>
      <c r="C2820" s="220" t="s">
        <v>390</v>
      </c>
      <c r="D2820" s="220" t="s">
        <v>172</v>
      </c>
      <c r="E2820" s="165">
        <v>488</v>
      </c>
    </row>
    <row r="2821" spans="1:5" x14ac:dyDescent="0.25">
      <c r="A2821" s="216" t="s">
        <v>4497</v>
      </c>
      <c r="B2821" s="218" t="s">
        <v>48</v>
      </c>
      <c r="C2821" s="220" t="s">
        <v>3001</v>
      </c>
      <c r="D2821" s="220" t="s">
        <v>575</v>
      </c>
      <c r="E2821" s="165">
        <v>488</v>
      </c>
    </row>
    <row r="2822" spans="1:5" x14ac:dyDescent="0.25">
      <c r="A2822" s="216" t="s">
        <v>4093</v>
      </c>
      <c r="B2822" s="218">
        <v>1</v>
      </c>
      <c r="C2822" s="220" t="s">
        <v>4094</v>
      </c>
      <c r="D2822" s="220" t="s">
        <v>78</v>
      </c>
      <c r="E2822" s="165">
        <v>487</v>
      </c>
    </row>
    <row r="2823" spans="1:5" x14ac:dyDescent="0.25">
      <c r="A2823" s="216" t="s">
        <v>3867</v>
      </c>
      <c r="B2823" s="218" t="s">
        <v>48</v>
      </c>
      <c r="C2823" s="220" t="s">
        <v>89</v>
      </c>
      <c r="D2823" s="220" t="s">
        <v>90</v>
      </c>
      <c r="E2823" s="165">
        <v>487</v>
      </c>
    </row>
    <row r="2824" spans="1:5" x14ac:dyDescent="0.25">
      <c r="A2824" s="216" t="s">
        <v>3965</v>
      </c>
      <c r="B2824" s="218" t="s">
        <v>48</v>
      </c>
      <c r="C2824" s="220" t="s">
        <v>3966</v>
      </c>
      <c r="D2824" s="220" t="s">
        <v>59</v>
      </c>
      <c r="E2824" s="165">
        <v>487</v>
      </c>
    </row>
    <row r="2825" spans="1:5" x14ac:dyDescent="0.25">
      <c r="A2825" s="216" t="s">
        <v>1673</v>
      </c>
      <c r="B2825" s="218" t="s">
        <v>48</v>
      </c>
      <c r="C2825" s="220" t="s">
        <v>261</v>
      </c>
      <c r="D2825" s="220" t="s">
        <v>56</v>
      </c>
      <c r="E2825" s="165">
        <v>487</v>
      </c>
    </row>
    <row r="2826" spans="1:5" x14ac:dyDescent="0.25">
      <c r="A2826" s="216" t="s">
        <v>4505</v>
      </c>
      <c r="B2826" s="218">
        <v>1</v>
      </c>
      <c r="C2826" s="220" t="s">
        <v>4506</v>
      </c>
      <c r="D2826" s="220" t="s">
        <v>118</v>
      </c>
      <c r="E2826" s="165">
        <v>487</v>
      </c>
    </row>
    <row r="2827" spans="1:5" x14ac:dyDescent="0.25">
      <c r="A2827" s="216" t="s">
        <v>10717</v>
      </c>
      <c r="B2827" s="218" t="s">
        <v>48</v>
      </c>
      <c r="C2827" s="220" t="s">
        <v>1614</v>
      </c>
      <c r="D2827" s="220" t="s">
        <v>93</v>
      </c>
      <c r="E2827" s="165">
        <v>487</v>
      </c>
    </row>
    <row r="2828" spans="1:5" x14ac:dyDescent="0.25">
      <c r="A2828" s="216" t="s">
        <v>11129</v>
      </c>
      <c r="B2828" s="218" t="s">
        <v>48</v>
      </c>
      <c r="C2828" s="220" t="s">
        <v>102</v>
      </c>
      <c r="D2828" s="220" t="s">
        <v>93</v>
      </c>
      <c r="E2828" s="165">
        <v>487</v>
      </c>
    </row>
    <row r="2829" spans="1:5" x14ac:dyDescent="0.25">
      <c r="A2829" s="216" t="s">
        <v>3942</v>
      </c>
      <c r="B2829" s="218" t="s">
        <v>48</v>
      </c>
      <c r="C2829" s="220" t="s">
        <v>406</v>
      </c>
      <c r="D2829" s="220" t="s">
        <v>277</v>
      </c>
      <c r="E2829" s="165">
        <v>486</v>
      </c>
    </row>
    <row r="2830" spans="1:5" x14ac:dyDescent="0.25">
      <c r="A2830" s="216" t="s">
        <v>4642</v>
      </c>
      <c r="B2830" s="218">
        <v>1</v>
      </c>
      <c r="C2830" s="220" t="s">
        <v>323</v>
      </c>
      <c r="D2830" s="220" t="s">
        <v>56</v>
      </c>
      <c r="E2830" s="165">
        <v>486</v>
      </c>
    </row>
    <row r="2831" spans="1:5" x14ac:dyDescent="0.25">
      <c r="A2831" s="216" t="s">
        <v>3993</v>
      </c>
      <c r="B2831" s="218">
        <v>1</v>
      </c>
      <c r="C2831" s="220" t="s">
        <v>556</v>
      </c>
      <c r="D2831" s="220" t="s">
        <v>142</v>
      </c>
      <c r="E2831" s="165">
        <v>486</v>
      </c>
    </row>
    <row r="2832" spans="1:5" x14ac:dyDescent="0.25">
      <c r="A2832" s="216" t="s">
        <v>4938</v>
      </c>
      <c r="B2832" s="218" t="s">
        <v>48</v>
      </c>
      <c r="C2832" s="220" t="s">
        <v>159</v>
      </c>
      <c r="D2832" s="220" t="s">
        <v>130</v>
      </c>
      <c r="E2832" s="165">
        <v>486</v>
      </c>
    </row>
    <row r="2833" spans="1:5" x14ac:dyDescent="0.25">
      <c r="A2833" s="216" t="s">
        <v>4132</v>
      </c>
      <c r="B2833" s="218">
        <v>1</v>
      </c>
      <c r="C2833" s="220" t="s">
        <v>1168</v>
      </c>
      <c r="D2833" s="220" t="s">
        <v>192</v>
      </c>
      <c r="E2833" s="165">
        <v>485</v>
      </c>
    </row>
    <row r="2834" spans="1:5" x14ac:dyDescent="0.25">
      <c r="A2834" s="216" t="s">
        <v>11130</v>
      </c>
      <c r="B2834" s="218" t="s">
        <v>48</v>
      </c>
      <c r="C2834" s="220" t="s">
        <v>3662</v>
      </c>
      <c r="D2834" s="220" t="s">
        <v>66</v>
      </c>
      <c r="E2834" s="165">
        <v>485</v>
      </c>
    </row>
    <row r="2835" spans="1:5" x14ac:dyDescent="0.25">
      <c r="A2835" s="216" t="s">
        <v>4364</v>
      </c>
      <c r="B2835" s="218">
        <v>1</v>
      </c>
      <c r="C2835" s="220" t="s">
        <v>4365</v>
      </c>
      <c r="D2835" s="220" t="s">
        <v>56</v>
      </c>
      <c r="E2835" s="165">
        <v>485</v>
      </c>
    </row>
    <row r="2836" spans="1:5" x14ac:dyDescent="0.25">
      <c r="A2836" s="216" t="s">
        <v>3633</v>
      </c>
      <c r="B2836" s="218" t="s">
        <v>48</v>
      </c>
      <c r="C2836" s="220" t="s">
        <v>3634</v>
      </c>
      <c r="D2836" s="220" t="s">
        <v>192</v>
      </c>
      <c r="E2836" s="165">
        <v>485</v>
      </c>
    </row>
    <row r="2837" spans="1:5" x14ac:dyDescent="0.25">
      <c r="A2837" s="216" t="s">
        <v>4017</v>
      </c>
      <c r="B2837" s="218" t="s">
        <v>48</v>
      </c>
      <c r="C2837" s="220" t="s">
        <v>1214</v>
      </c>
      <c r="D2837" s="220" t="s">
        <v>75</v>
      </c>
      <c r="E2837" s="165">
        <v>484</v>
      </c>
    </row>
    <row r="2838" spans="1:5" x14ac:dyDescent="0.25">
      <c r="A2838" s="216" t="s">
        <v>4081</v>
      </c>
      <c r="B2838" s="218">
        <v>1</v>
      </c>
      <c r="C2838" s="220" t="s">
        <v>4082</v>
      </c>
      <c r="D2838" s="220" t="s">
        <v>98</v>
      </c>
      <c r="E2838" s="165">
        <v>484</v>
      </c>
    </row>
    <row r="2839" spans="1:5" x14ac:dyDescent="0.25">
      <c r="A2839" s="216" t="s">
        <v>4413</v>
      </c>
      <c r="B2839" s="218" t="s">
        <v>48</v>
      </c>
      <c r="C2839" s="220" t="s">
        <v>1610</v>
      </c>
      <c r="D2839" s="220" t="s">
        <v>166</v>
      </c>
      <c r="E2839" s="165">
        <v>483</v>
      </c>
    </row>
    <row r="2840" spans="1:5" x14ac:dyDescent="0.25">
      <c r="A2840" s="216" t="s">
        <v>11131</v>
      </c>
      <c r="B2840" s="218" t="s">
        <v>48</v>
      </c>
      <c r="C2840" s="220" t="s">
        <v>5253</v>
      </c>
      <c r="D2840" s="220" t="s">
        <v>139</v>
      </c>
      <c r="E2840" s="165">
        <v>483</v>
      </c>
    </row>
    <row r="2841" spans="1:5" x14ac:dyDescent="0.25">
      <c r="A2841" s="216" t="s">
        <v>3090</v>
      </c>
      <c r="B2841" s="218" t="s">
        <v>48</v>
      </c>
      <c r="C2841" s="220" t="s">
        <v>3091</v>
      </c>
      <c r="D2841" s="220" t="s">
        <v>90</v>
      </c>
      <c r="E2841" s="165">
        <v>483</v>
      </c>
    </row>
    <row r="2842" spans="1:5" x14ac:dyDescent="0.25">
      <c r="A2842" s="216" t="s">
        <v>10093</v>
      </c>
      <c r="B2842" s="218">
        <v>1</v>
      </c>
      <c r="C2842" s="220" t="s">
        <v>2445</v>
      </c>
      <c r="D2842" s="220" t="s">
        <v>56</v>
      </c>
      <c r="E2842" s="165">
        <v>483</v>
      </c>
    </row>
    <row r="2843" spans="1:5" x14ac:dyDescent="0.25">
      <c r="A2843" s="216" t="s">
        <v>2038</v>
      </c>
      <c r="B2843" s="218" t="s">
        <v>48</v>
      </c>
      <c r="C2843" s="220" t="s">
        <v>2039</v>
      </c>
      <c r="D2843" s="220" t="s">
        <v>59</v>
      </c>
      <c r="E2843" s="165">
        <v>483</v>
      </c>
    </row>
    <row r="2844" spans="1:5" x14ac:dyDescent="0.25">
      <c r="A2844" s="216" t="s">
        <v>5684</v>
      </c>
      <c r="B2844" s="218" t="s">
        <v>48</v>
      </c>
      <c r="C2844" s="220" t="s">
        <v>1293</v>
      </c>
      <c r="D2844" s="220" t="s">
        <v>166</v>
      </c>
      <c r="E2844" s="165">
        <v>482</v>
      </c>
    </row>
    <row r="2845" spans="1:5" x14ac:dyDescent="0.25">
      <c r="A2845" s="216" t="s">
        <v>3302</v>
      </c>
      <c r="B2845" s="218">
        <v>1</v>
      </c>
      <c r="C2845" s="220" t="s">
        <v>1349</v>
      </c>
      <c r="D2845" s="220" t="s">
        <v>56</v>
      </c>
      <c r="E2845" s="165">
        <v>482</v>
      </c>
    </row>
    <row r="2846" spans="1:5" x14ac:dyDescent="0.25">
      <c r="A2846" s="216" t="s">
        <v>5626</v>
      </c>
      <c r="B2846" s="218" t="s">
        <v>48</v>
      </c>
      <c r="C2846" s="220" t="s">
        <v>5627</v>
      </c>
      <c r="D2846" s="220" t="s">
        <v>139</v>
      </c>
      <c r="E2846" s="165">
        <v>482</v>
      </c>
    </row>
    <row r="2847" spans="1:5" x14ac:dyDescent="0.25">
      <c r="A2847" s="216" t="s">
        <v>4173</v>
      </c>
      <c r="B2847" s="218">
        <v>1</v>
      </c>
      <c r="C2847" s="220" t="s">
        <v>2258</v>
      </c>
      <c r="D2847" s="220" t="s">
        <v>66</v>
      </c>
      <c r="E2847" s="165">
        <v>482</v>
      </c>
    </row>
    <row r="2848" spans="1:5" x14ac:dyDescent="0.25">
      <c r="A2848" s="216" t="s">
        <v>3692</v>
      </c>
      <c r="B2848" s="218" t="s">
        <v>48</v>
      </c>
      <c r="C2848" s="220" t="s">
        <v>615</v>
      </c>
      <c r="D2848" s="220" t="s">
        <v>108</v>
      </c>
      <c r="E2848" s="165">
        <v>482</v>
      </c>
    </row>
    <row r="2849" spans="1:5" x14ac:dyDescent="0.25">
      <c r="A2849" s="216" t="s">
        <v>6631</v>
      </c>
      <c r="B2849" s="218" t="s">
        <v>48</v>
      </c>
      <c r="C2849" s="220" t="s">
        <v>2036</v>
      </c>
      <c r="D2849" s="220" t="s">
        <v>56</v>
      </c>
      <c r="E2849" s="165">
        <v>482</v>
      </c>
    </row>
    <row r="2850" spans="1:5" x14ac:dyDescent="0.25">
      <c r="A2850" s="216" t="s">
        <v>3680</v>
      </c>
      <c r="B2850" s="218" t="s">
        <v>48</v>
      </c>
      <c r="C2850" s="220" t="s">
        <v>3681</v>
      </c>
      <c r="D2850" s="220" t="s">
        <v>90</v>
      </c>
      <c r="E2850" s="165">
        <v>482</v>
      </c>
    </row>
    <row r="2851" spans="1:5" x14ac:dyDescent="0.25">
      <c r="A2851" s="216" t="s">
        <v>4290</v>
      </c>
      <c r="B2851" s="218">
        <v>1</v>
      </c>
      <c r="C2851" s="220" t="s">
        <v>4291</v>
      </c>
      <c r="D2851" s="220" t="s">
        <v>63</v>
      </c>
      <c r="E2851" s="165">
        <v>481</v>
      </c>
    </row>
    <row r="2852" spans="1:5" x14ac:dyDescent="0.25">
      <c r="A2852" s="216" t="s">
        <v>4947</v>
      </c>
      <c r="B2852" s="218">
        <v>1</v>
      </c>
      <c r="C2852" s="220" t="s">
        <v>4948</v>
      </c>
      <c r="D2852" s="220" t="s">
        <v>130</v>
      </c>
      <c r="E2852" s="165">
        <v>481</v>
      </c>
    </row>
    <row r="2853" spans="1:5" x14ac:dyDescent="0.25">
      <c r="A2853" s="216" t="s">
        <v>10538</v>
      </c>
      <c r="B2853" s="218">
        <v>1</v>
      </c>
      <c r="C2853" s="220" t="s">
        <v>11132</v>
      </c>
      <c r="D2853" s="220" t="s">
        <v>66</v>
      </c>
      <c r="E2853" s="165">
        <v>481</v>
      </c>
    </row>
    <row r="2854" spans="1:5" x14ac:dyDescent="0.25">
      <c r="A2854" s="216" t="s">
        <v>3610</v>
      </c>
      <c r="B2854" s="218" t="s">
        <v>48</v>
      </c>
      <c r="C2854" s="220" t="s">
        <v>1849</v>
      </c>
      <c r="D2854" s="220" t="s">
        <v>93</v>
      </c>
      <c r="E2854" s="165">
        <v>481</v>
      </c>
    </row>
    <row r="2855" spans="1:5" x14ac:dyDescent="0.25">
      <c r="A2855" s="216" t="s">
        <v>3632</v>
      </c>
      <c r="B2855" s="218">
        <v>1</v>
      </c>
      <c r="C2855" s="220" t="s">
        <v>1006</v>
      </c>
      <c r="D2855" s="220" t="s">
        <v>277</v>
      </c>
      <c r="E2855" s="165">
        <v>481</v>
      </c>
    </row>
    <row r="2856" spans="1:5" x14ac:dyDescent="0.25">
      <c r="A2856" s="216" t="s">
        <v>3930</v>
      </c>
      <c r="B2856" s="218">
        <v>1</v>
      </c>
      <c r="C2856" s="220" t="s">
        <v>3357</v>
      </c>
      <c r="D2856" s="220" t="s">
        <v>394</v>
      </c>
      <c r="E2856" s="165">
        <v>481</v>
      </c>
    </row>
    <row r="2857" spans="1:5" x14ac:dyDescent="0.25">
      <c r="A2857" s="216" t="s">
        <v>1718</v>
      </c>
      <c r="B2857" s="218" t="s">
        <v>48</v>
      </c>
      <c r="C2857" s="220" t="s">
        <v>1719</v>
      </c>
      <c r="D2857" s="220" t="s">
        <v>90</v>
      </c>
      <c r="E2857" s="165">
        <v>480</v>
      </c>
    </row>
    <row r="2858" spans="1:5" x14ac:dyDescent="0.25">
      <c r="A2858" s="216" t="s">
        <v>4676</v>
      </c>
      <c r="B2858" s="218">
        <v>1</v>
      </c>
      <c r="C2858" s="220" t="s">
        <v>733</v>
      </c>
      <c r="D2858" s="220" t="s">
        <v>53</v>
      </c>
      <c r="E2858" s="165">
        <v>480</v>
      </c>
    </row>
    <row r="2859" spans="1:5" x14ac:dyDescent="0.25">
      <c r="A2859" s="216" t="s">
        <v>4175</v>
      </c>
      <c r="B2859" s="218" t="s">
        <v>48</v>
      </c>
      <c r="C2859" s="220" t="s">
        <v>279</v>
      </c>
      <c r="D2859" s="220" t="s">
        <v>127</v>
      </c>
      <c r="E2859" s="165">
        <v>480</v>
      </c>
    </row>
    <row r="2860" spans="1:5" x14ac:dyDescent="0.25">
      <c r="A2860" s="216" t="s">
        <v>4236</v>
      </c>
      <c r="B2860" s="218">
        <v>1</v>
      </c>
      <c r="C2860" s="220" t="s">
        <v>4237</v>
      </c>
      <c r="D2860" s="220" t="s">
        <v>192</v>
      </c>
      <c r="E2860" s="165">
        <v>480</v>
      </c>
    </row>
    <row r="2861" spans="1:5" x14ac:dyDescent="0.25">
      <c r="A2861" s="216" t="s">
        <v>11133</v>
      </c>
      <c r="B2861" s="218" t="s">
        <v>48</v>
      </c>
      <c r="C2861" s="220" t="s">
        <v>161</v>
      </c>
      <c r="D2861" s="220" t="s">
        <v>201</v>
      </c>
      <c r="E2861" s="165">
        <v>480</v>
      </c>
    </row>
    <row r="2862" spans="1:5" x14ac:dyDescent="0.25">
      <c r="A2862" s="216" t="s">
        <v>4139</v>
      </c>
      <c r="B2862" s="218" t="s">
        <v>48</v>
      </c>
      <c r="C2862" s="220" t="s">
        <v>913</v>
      </c>
      <c r="D2862" s="220" t="s">
        <v>75</v>
      </c>
      <c r="E2862" s="165">
        <v>479</v>
      </c>
    </row>
    <row r="2863" spans="1:5" x14ac:dyDescent="0.25">
      <c r="A2863" s="216" t="s">
        <v>4143</v>
      </c>
      <c r="B2863" s="218">
        <v>1</v>
      </c>
      <c r="C2863" s="220" t="s">
        <v>4144</v>
      </c>
      <c r="D2863" s="220" t="s">
        <v>78</v>
      </c>
      <c r="E2863" s="165">
        <v>479</v>
      </c>
    </row>
    <row r="2864" spans="1:5" x14ac:dyDescent="0.25">
      <c r="A2864" s="216" t="s">
        <v>4147</v>
      </c>
      <c r="B2864" s="218">
        <v>1</v>
      </c>
      <c r="C2864" s="220" t="s">
        <v>323</v>
      </c>
      <c r="D2864" s="220" t="s">
        <v>56</v>
      </c>
      <c r="E2864" s="165">
        <v>478</v>
      </c>
    </row>
    <row r="2865" spans="1:5" x14ac:dyDescent="0.25">
      <c r="A2865" s="216" t="s">
        <v>4207</v>
      </c>
      <c r="B2865" s="218">
        <v>1</v>
      </c>
      <c r="C2865" s="220" t="s">
        <v>1700</v>
      </c>
      <c r="D2865" s="220" t="s">
        <v>337</v>
      </c>
      <c r="E2865" s="165">
        <v>478</v>
      </c>
    </row>
    <row r="2866" spans="1:5" x14ac:dyDescent="0.25">
      <c r="A2866" s="216" t="s">
        <v>3836</v>
      </c>
      <c r="B2866" s="218">
        <v>1</v>
      </c>
      <c r="C2866" s="220" t="s">
        <v>1669</v>
      </c>
      <c r="D2866" s="220" t="s">
        <v>774</v>
      </c>
      <c r="E2866" s="165">
        <v>478</v>
      </c>
    </row>
    <row r="2867" spans="1:5" x14ac:dyDescent="0.25">
      <c r="A2867" s="216" t="s">
        <v>3838</v>
      </c>
      <c r="B2867" s="218">
        <v>1</v>
      </c>
      <c r="C2867" s="220" t="s">
        <v>3469</v>
      </c>
      <c r="D2867" s="220" t="s">
        <v>774</v>
      </c>
      <c r="E2867" s="165">
        <v>478</v>
      </c>
    </row>
    <row r="2868" spans="1:5" x14ac:dyDescent="0.25">
      <c r="A2868" s="216" t="s">
        <v>4677</v>
      </c>
      <c r="B2868" s="218" t="s">
        <v>48</v>
      </c>
      <c r="C2868" s="220" t="s">
        <v>4678</v>
      </c>
      <c r="D2868" s="220" t="s">
        <v>486</v>
      </c>
      <c r="E2868" s="165">
        <v>478</v>
      </c>
    </row>
    <row r="2869" spans="1:5" x14ac:dyDescent="0.25">
      <c r="A2869" s="216" t="s">
        <v>3971</v>
      </c>
      <c r="B2869" s="218">
        <v>1</v>
      </c>
      <c r="C2869" s="220" t="s">
        <v>371</v>
      </c>
      <c r="D2869" s="220" t="s">
        <v>69</v>
      </c>
      <c r="E2869" s="165">
        <v>478</v>
      </c>
    </row>
    <row r="2870" spans="1:5" x14ac:dyDescent="0.25">
      <c r="A2870" s="216" t="s">
        <v>4077</v>
      </c>
      <c r="B2870" s="218">
        <v>1</v>
      </c>
      <c r="C2870" s="220" t="s">
        <v>4078</v>
      </c>
      <c r="D2870" s="220" t="s">
        <v>50</v>
      </c>
      <c r="E2870" s="165">
        <v>478</v>
      </c>
    </row>
    <row r="2871" spans="1:5" x14ac:dyDescent="0.25">
      <c r="A2871" s="216" t="s">
        <v>4656</v>
      </c>
      <c r="B2871" s="218" t="s">
        <v>48</v>
      </c>
      <c r="C2871" s="220" t="s">
        <v>4657</v>
      </c>
      <c r="D2871" s="220" t="s">
        <v>59</v>
      </c>
      <c r="E2871" s="165">
        <v>477</v>
      </c>
    </row>
    <row r="2872" spans="1:5" x14ac:dyDescent="0.25">
      <c r="A2872" s="216" t="s">
        <v>8039</v>
      </c>
      <c r="B2872" s="218" t="s">
        <v>48</v>
      </c>
      <c r="C2872" s="220" t="s">
        <v>1610</v>
      </c>
      <c r="D2872" s="220" t="s">
        <v>166</v>
      </c>
      <c r="E2872" s="165">
        <v>477</v>
      </c>
    </row>
    <row r="2873" spans="1:5" x14ac:dyDescent="0.25">
      <c r="A2873" s="216" t="s">
        <v>4319</v>
      </c>
      <c r="B2873" s="218">
        <v>1</v>
      </c>
      <c r="C2873" s="220" t="s">
        <v>4294</v>
      </c>
      <c r="D2873" s="220" t="s">
        <v>63</v>
      </c>
      <c r="E2873" s="165">
        <v>476</v>
      </c>
    </row>
    <row r="2874" spans="1:5" x14ac:dyDescent="0.25">
      <c r="A2874" s="216" t="s">
        <v>4280</v>
      </c>
      <c r="B2874" s="218">
        <v>1</v>
      </c>
      <c r="C2874" s="220" t="s">
        <v>3201</v>
      </c>
      <c r="D2874" s="220" t="s">
        <v>192</v>
      </c>
      <c r="E2874" s="165">
        <v>476</v>
      </c>
    </row>
    <row r="2875" spans="1:5" x14ac:dyDescent="0.25">
      <c r="A2875" s="216" t="s">
        <v>4140</v>
      </c>
      <c r="B2875" s="218">
        <v>1</v>
      </c>
      <c r="C2875" s="220" t="s">
        <v>3278</v>
      </c>
      <c r="D2875" s="220" t="s">
        <v>188</v>
      </c>
      <c r="E2875" s="165">
        <v>476</v>
      </c>
    </row>
    <row r="2876" spans="1:5" x14ac:dyDescent="0.25">
      <c r="A2876" s="216" t="s">
        <v>4242</v>
      </c>
      <c r="B2876" s="218">
        <v>1</v>
      </c>
      <c r="C2876" s="220" t="s">
        <v>4243</v>
      </c>
      <c r="D2876" s="220" t="s">
        <v>66</v>
      </c>
      <c r="E2876" s="165">
        <v>475</v>
      </c>
    </row>
    <row r="2877" spans="1:5" x14ac:dyDescent="0.25">
      <c r="A2877" s="216" t="s">
        <v>5333</v>
      </c>
      <c r="B2877" s="218" t="s">
        <v>48</v>
      </c>
      <c r="C2877" s="220" t="s">
        <v>5334</v>
      </c>
      <c r="D2877" s="220" t="s">
        <v>264</v>
      </c>
      <c r="E2877" s="165">
        <v>475</v>
      </c>
    </row>
    <row r="2878" spans="1:5" x14ac:dyDescent="0.25">
      <c r="A2878" s="216" t="s">
        <v>4390</v>
      </c>
      <c r="B2878" s="218">
        <v>1</v>
      </c>
      <c r="C2878" s="220" t="s">
        <v>110</v>
      </c>
      <c r="D2878" s="220" t="s">
        <v>69</v>
      </c>
      <c r="E2878" s="165">
        <v>475</v>
      </c>
    </row>
    <row r="2879" spans="1:5" x14ac:dyDescent="0.25">
      <c r="A2879" s="216" t="s">
        <v>4418</v>
      </c>
      <c r="B2879" s="218">
        <v>1</v>
      </c>
      <c r="C2879" s="220" t="s">
        <v>597</v>
      </c>
      <c r="D2879" s="220" t="s">
        <v>56</v>
      </c>
      <c r="E2879" s="165">
        <v>475</v>
      </c>
    </row>
    <row r="2880" spans="1:5" x14ac:dyDescent="0.25">
      <c r="A2880" s="216" t="s">
        <v>5157</v>
      </c>
      <c r="B2880" s="218" t="s">
        <v>48</v>
      </c>
      <c r="C2880" s="220" t="s">
        <v>5158</v>
      </c>
      <c r="D2880" s="220" t="s">
        <v>206</v>
      </c>
      <c r="E2880" s="165">
        <v>475</v>
      </c>
    </row>
    <row r="2881" spans="1:5" x14ac:dyDescent="0.25">
      <c r="A2881" s="216" t="s">
        <v>4249</v>
      </c>
      <c r="B2881" s="218">
        <v>1</v>
      </c>
      <c r="C2881" s="220" t="s">
        <v>634</v>
      </c>
      <c r="D2881" s="220" t="s">
        <v>264</v>
      </c>
      <c r="E2881" s="165">
        <v>474</v>
      </c>
    </row>
    <row r="2882" spans="1:5" x14ac:dyDescent="0.25">
      <c r="A2882" s="216" t="s">
        <v>7804</v>
      </c>
      <c r="B2882" s="218">
        <v>1</v>
      </c>
      <c r="C2882" s="220" t="s">
        <v>3076</v>
      </c>
      <c r="D2882" s="220" t="s">
        <v>66</v>
      </c>
      <c r="E2882" s="165">
        <v>474</v>
      </c>
    </row>
    <row r="2883" spans="1:5" x14ac:dyDescent="0.25">
      <c r="A2883" s="216" t="s">
        <v>4241</v>
      </c>
      <c r="B2883" s="218">
        <v>1</v>
      </c>
      <c r="C2883" s="220" t="s">
        <v>179</v>
      </c>
      <c r="D2883" s="220" t="s">
        <v>66</v>
      </c>
      <c r="E2883" s="165">
        <v>474</v>
      </c>
    </row>
    <row r="2884" spans="1:5" x14ac:dyDescent="0.25">
      <c r="A2884" s="216" t="s">
        <v>3593</v>
      </c>
      <c r="B2884" s="218" t="s">
        <v>48</v>
      </c>
      <c r="C2884" s="220" t="s">
        <v>3594</v>
      </c>
      <c r="D2884" s="220" t="s">
        <v>56</v>
      </c>
      <c r="E2884" s="165">
        <v>473</v>
      </c>
    </row>
    <row r="2885" spans="1:5" x14ac:dyDescent="0.25">
      <c r="A2885" s="216" t="s">
        <v>2797</v>
      </c>
      <c r="B2885" s="218" t="s">
        <v>48</v>
      </c>
      <c r="C2885" s="220" t="s">
        <v>283</v>
      </c>
      <c r="D2885" s="220" t="s">
        <v>59</v>
      </c>
      <c r="E2885" s="165">
        <v>473</v>
      </c>
    </row>
    <row r="2886" spans="1:5" x14ac:dyDescent="0.25">
      <c r="A2886" s="216" t="s">
        <v>4270</v>
      </c>
      <c r="B2886" s="218">
        <v>1</v>
      </c>
      <c r="C2886" s="220" t="s">
        <v>4271</v>
      </c>
      <c r="D2886" s="220" t="s">
        <v>66</v>
      </c>
      <c r="E2886" s="165">
        <v>472</v>
      </c>
    </row>
    <row r="2887" spans="1:5" x14ac:dyDescent="0.25">
      <c r="A2887" s="216" t="s">
        <v>4740</v>
      </c>
      <c r="B2887" s="218">
        <v>1</v>
      </c>
      <c r="C2887" s="220" t="s">
        <v>810</v>
      </c>
      <c r="D2887" s="220" t="s">
        <v>394</v>
      </c>
      <c r="E2887" s="165">
        <v>472</v>
      </c>
    </row>
    <row r="2888" spans="1:5" x14ac:dyDescent="0.25">
      <c r="A2888" s="216" t="s">
        <v>3860</v>
      </c>
      <c r="B2888" s="218">
        <v>1</v>
      </c>
      <c r="C2888" s="220" t="s">
        <v>3861</v>
      </c>
      <c r="D2888" s="220" t="s">
        <v>118</v>
      </c>
      <c r="E2888" s="165">
        <v>471</v>
      </c>
    </row>
    <row r="2889" spans="1:5" x14ac:dyDescent="0.25">
      <c r="A2889" s="216" t="s">
        <v>4471</v>
      </c>
      <c r="B2889" s="218" t="s">
        <v>48</v>
      </c>
      <c r="C2889" s="220" t="s">
        <v>709</v>
      </c>
      <c r="D2889" s="220" t="s">
        <v>710</v>
      </c>
      <c r="E2889" s="165">
        <v>471</v>
      </c>
    </row>
    <row r="2890" spans="1:5" x14ac:dyDescent="0.25">
      <c r="A2890" s="216" t="s">
        <v>4141</v>
      </c>
      <c r="B2890" s="218" t="s">
        <v>48</v>
      </c>
      <c r="C2890" s="220" t="s">
        <v>4142</v>
      </c>
      <c r="D2890" s="220" t="s">
        <v>108</v>
      </c>
      <c r="E2890" s="165">
        <v>471</v>
      </c>
    </row>
    <row r="2891" spans="1:5" x14ac:dyDescent="0.25">
      <c r="A2891" s="216" t="s">
        <v>4445</v>
      </c>
      <c r="B2891" s="218">
        <v>1</v>
      </c>
      <c r="C2891" s="220" t="s">
        <v>4446</v>
      </c>
      <c r="D2891" s="220" t="s">
        <v>188</v>
      </c>
      <c r="E2891" s="165">
        <v>471</v>
      </c>
    </row>
    <row r="2892" spans="1:5" x14ac:dyDescent="0.25">
      <c r="A2892" s="216" t="s">
        <v>4449</v>
      </c>
      <c r="B2892" s="218">
        <v>1</v>
      </c>
      <c r="C2892" s="220" t="s">
        <v>4450</v>
      </c>
      <c r="D2892" s="220" t="s">
        <v>188</v>
      </c>
      <c r="E2892" s="165">
        <v>470</v>
      </c>
    </row>
    <row r="2893" spans="1:5" x14ac:dyDescent="0.25">
      <c r="A2893" s="216" t="s">
        <v>4257</v>
      </c>
      <c r="B2893" s="218">
        <v>1</v>
      </c>
      <c r="C2893" s="220" t="s">
        <v>1604</v>
      </c>
      <c r="D2893" s="220" t="s">
        <v>66</v>
      </c>
      <c r="E2893" s="165">
        <v>470</v>
      </c>
    </row>
    <row r="2894" spans="1:5" x14ac:dyDescent="0.25">
      <c r="A2894" s="216" t="s">
        <v>4394</v>
      </c>
      <c r="B2894" s="218" t="s">
        <v>48</v>
      </c>
      <c r="C2894" s="220" t="s">
        <v>2847</v>
      </c>
      <c r="D2894" s="220" t="s">
        <v>66</v>
      </c>
      <c r="E2894" s="165">
        <v>470</v>
      </c>
    </row>
    <row r="2895" spans="1:5" x14ac:dyDescent="0.25">
      <c r="A2895" s="216" t="s">
        <v>5574</v>
      </c>
      <c r="B2895" s="218" t="s">
        <v>48</v>
      </c>
      <c r="C2895" s="220" t="s">
        <v>5575</v>
      </c>
      <c r="D2895" s="220" t="s">
        <v>75</v>
      </c>
      <c r="E2895" s="165">
        <v>470</v>
      </c>
    </row>
    <row r="2896" spans="1:5" x14ac:dyDescent="0.25">
      <c r="A2896" s="216" t="s">
        <v>4521</v>
      </c>
      <c r="B2896" s="218" t="s">
        <v>48</v>
      </c>
      <c r="C2896" s="220" t="s">
        <v>679</v>
      </c>
      <c r="D2896" s="220" t="s">
        <v>206</v>
      </c>
      <c r="E2896" s="165">
        <v>470</v>
      </c>
    </row>
    <row r="2897" spans="1:5" x14ac:dyDescent="0.25">
      <c r="A2897" s="216" t="s">
        <v>4388</v>
      </c>
      <c r="B2897" s="218">
        <v>1</v>
      </c>
      <c r="C2897" s="220" t="s">
        <v>599</v>
      </c>
      <c r="D2897" s="220" t="s">
        <v>50</v>
      </c>
      <c r="E2897" s="165">
        <v>470</v>
      </c>
    </row>
    <row r="2898" spans="1:5" x14ac:dyDescent="0.25">
      <c r="A2898" s="216" t="s">
        <v>4201</v>
      </c>
      <c r="B2898" s="218">
        <v>1</v>
      </c>
      <c r="C2898" s="220" t="s">
        <v>4202</v>
      </c>
      <c r="D2898" s="220" t="s">
        <v>78</v>
      </c>
      <c r="E2898" s="165">
        <v>470</v>
      </c>
    </row>
    <row r="2899" spans="1:5" x14ac:dyDescent="0.25">
      <c r="A2899" s="216" t="s">
        <v>4217</v>
      </c>
      <c r="B2899" s="218">
        <v>1</v>
      </c>
      <c r="C2899" s="220" t="s">
        <v>4218</v>
      </c>
      <c r="D2899" s="220" t="s">
        <v>56</v>
      </c>
      <c r="E2899" s="165">
        <v>469</v>
      </c>
    </row>
    <row r="2900" spans="1:5" x14ac:dyDescent="0.25">
      <c r="A2900" s="216" t="s">
        <v>3696</v>
      </c>
      <c r="B2900" s="218">
        <v>1</v>
      </c>
      <c r="C2900" s="220" t="s">
        <v>3697</v>
      </c>
      <c r="D2900" s="220" t="s">
        <v>50</v>
      </c>
      <c r="E2900" s="165">
        <v>469</v>
      </c>
    </row>
    <row r="2901" spans="1:5" x14ac:dyDescent="0.25">
      <c r="A2901" s="216" t="s">
        <v>3952</v>
      </c>
      <c r="B2901" s="218" t="s">
        <v>48</v>
      </c>
      <c r="C2901" s="220" t="s">
        <v>1323</v>
      </c>
      <c r="D2901" s="220" t="s">
        <v>75</v>
      </c>
      <c r="E2901" s="165">
        <v>469</v>
      </c>
    </row>
    <row r="2902" spans="1:5" x14ac:dyDescent="0.25">
      <c r="A2902" s="216" t="s">
        <v>4380</v>
      </c>
      <c r="B2902" s="218">
        <v>1</v>
      </c>
      <c r="C2902" s="220" t="s">
        <v>4381</v>
      </c>
      <c r="D2902" s="220" t="s">
        <v>63</v>
      </c>
      <c r="E2902" s="165">
        <v>469</v>
      </c>
    </row>
    <row r="2903" spans="1:5" x14ac:dyDescent="0.25">
      <c r="A2903" s="216" t="s">
        <v>4455</v>
      </c>
      <c r="B2903" s="218" t="s">
        <v>48</v>
      </c>
      <c r="C2903" s="220" t="s">
        <v>4456</v>
      </c>
      <c r="D2903" s="220" t="s">
        <v>394</v>
      </c>
      <c r="E2903" s="165">
        <v>469</v>
      </c>
    </row>
    <row r="2904" spans="1:5" x14ac:dyDescent="0.25">
      <c r="A2904" s="216" t="s">
        <v>4398</v>
      </c>
      <c r="B2904" s="218" t="s">
        <v>48</v>
      </c>
      <c r="C2904" s="220" t="s">
        <v>2471</v>
      </c>
      <c r="D2904" s="220" t="s">
        <v>105</v>
      </c>
      <c r="E2904" s="165">
        <v>467</v>
      </c>
    </row>
    <row r="2905" spans="1:5" x14ac:dyDescent="0.25">
      <c r="A2905" s="216" t="s">
        <v>4398</v>
      </c>
      <c r="B2905" s="218" t="s">
        <v>48</v>
      </c>
      <c r="C2905" s="220" t="s">
        <v>104</v>
      </c>
      <c r="D2905" s="220" t="s">
        <v>105</v>
      </c>
      <c r="E2905" s="165">
        <v>467</v>
      </c>
    </row>
    <row r="2906" spans="1:5" x14ac:dyDescent="0.25">
      <c r="A2906" s="216" t="s">
        <v>4043</v>
      </c>
      <c r="B2906" s="218">
        <v>1</v>
      </c>
      <c r="C2906" s="220" t="s">
        <v>4044</v>
      </c>
      <c r="D2906" s="220" t="s">
        <v>523</v>
      </c>
      <c r="E2906" s="165">
        <v>467</v>
      </c>
    </row>
    <row r="2907" spans="1:5" x14ac:dyDescent="0.25">
      <c r="A2907" s="216" t="s">
        <v>4171</v>
      </c>
      <c r="B2907" s="218">
        <v>1</v>
      </c>
      <c r="C2907" s="220" t="s">
        <v>4172</v>
      </c>
      <c r="D2907" s="220" t="s">
        <v>98</v>
      </c>
      <c r="E2907" s="165">
        <v>467</v>
      </c>
    </row>
    <row r="2908" spans="1:5" x14ac:dyDescent="0.25">
      <c r="A2908" s="216" t="s">
        <v>2619</v>
      </c>
      <c r="B2908" s="218">
        <v>1</v>
      </c>
      <c r="C2908" s="220" t="s">
        <v>2195</v>
      </c>
      <c r="D2908" s="220" t="s">
        <v>69</v>
      </c>
      <c r="E2908" s="165">
        <v>467</v>
      </c>
    </row>
    <row r="2909" spans="1:5" x14ac:dyDescent="0.25">
      <c r="A2909" s="216" t="s">
        <v>4508</v>
      </c>
      <c r="B2909" s="218">
        <v>1</v>
      </c>
      <c r="C2909" s="220" t="s">
        <v>4509</v>
      </c>
      <c r="D2909" s="220" t="s">
        <v>139</v>
      </c>
      <c r="E2909" s="165">
        <v>466</v>
      </c>
    </row>
    <row r="2910" spans="1:5" x14ac:dyDescent="0.25">
      <c r="A2910" s="216" t="s">
        <v>4210</v>
      </c>
      <c r="B2910" s="218">
        <v>1</v>
      </c>
      <c r="C2910" s="220" t="s">
        <v>4211</v>
      </c>
      <c r="D2910" s="220" t="s">
        <v>56</v>
      </c>
      <c r="E2910" s="165">
        <v>466</v>
      </c>
    </row>
    <row r="2911" spans="1:5" x14ac:dyDescent="0.25">
      <c r="A2911" s="216" t="s">
        <v>3102</v>
      </c>
      <c r="B2911" s="218">
        <v>1</v>
      </c>
      <c r="C2911" s="220" t="s">
        <v>1647</v>
      </c>
      <c r="D2911" s="220" t="s">
        <v>98</v>
      </c>
      <c r="E2911" s="165">
        <v>466</v>
      </c>
    </row>
    <row r="2912" spans="1:5" x14ac:dyDescent="0.25">
      <c r="A2912" s="216" t="s">
        <v>6449</v>
      </c>
      <c r="B2912" s="218" t="s">
        <v>48</v>
      </c>
      <c r="C2912" s="220" t="s">
        <v>6450</v>
      </c>
      <c r="D2912" s="220" t="s">
        <v>66</v>
      </c>
      <c r="E2912" s="165">
        <v>466</v>
      </c>
    </row>
    <row r="2913" spans="1:5" x14ac:dyDescent="0.25">
      <c r="A2913" s="216" t="s">
        <v>6843</v>
      </c>
      <c r="B2913" s="218" t="s">
        <v>48</v>
      </c>
      <c r="C2913" s="220" t="s">
        <v>3253</v>
      </c>
      <c r="D2913" s="220" t="s">
        <v>75</v>
      </c>
      <c r="E2913" s="165">
        <v>465</v>
      </c>
    </row>
    <row r="2914" spans="1:5" x14ac:dyDescent="0.25">
      <c r="A2914" s="216" t="s">
        <v>3772</v>
      </c>
      <c r="B2914" s="218" t="s">
        <v>48</v>
      </c>
      <c r="C2914" s="220" t="s">
        <v>709</v>
      </c>
      <c r="D2914" s="220" t="s">
        <v>710</v>
      </c>
      <c r="E2914" s="165">
        <v>465</v>
      </c>
    </row>
    <row r="2915" spans="1:5" x14ac:dyDescent="0.25">
      <c r="A2915" s="216" t="s">
        <v>11134</v>
      </c>
      <c r="B2915" s="218">
        <v>1</v>
      </c>
      <c r="C2915" s="220" t="s">
        <v>1331</v>
      </c>
      <c r="D2915" s="220" t="s">
        <v>348</v>
      </c>
      <c r="E2915" s="165">
        <v>465</v>
      </c>
    </row>
    <row r="2916" spans="1:5" x14ac:dyDescent="0.25">
      <c r="A2916" s="216" t="s">
        <v>5707</v>
      </c>
      <c r="B2916" s="218" t="s">
        <v>48</v>
      </c>
      <c r="C2916" s="220" t="s">
        <v>5708</v>
      </c>
      <c r="D2916" s="220" t="s">
        <v>50</v>
      </c>
      <c r="E2916" s="165">
        <v>465</v>
      </c>
    </row>
    <row r="2917" spans="1:5" x14ac:dyDescent="0.25">
      <c r="A2917" s="216" t="s">
        <v>4232</v>
      </c>
      <c r="B2917" s="218">
        <v>1</v>
      </c>
      <c r="C2917" s="220" t="s">
        <v>907</v>
      </c>
      <c r="D2917" s="220" t="s">
        <v>188</v>
      </c>
      <c r="E2917" s="165">
        <v>464</v>
      </c>
    </row>
    <row r="2918" spans="1:5" x14ac:dyDescent="0.25">
      <c r="A2918" s="216" t="s">
        <v>4287</v>
      </c>
      <c r="B2918" s="218">
        <v>1</v>
      </c>
      <c r="C2918" s="220" t="s">
        <v>988</v>
      </c>
      <c r="D2918" s="220" t="s">
        <v>69</v>
      </c>
      <c r="E2918" s="165">
        <v>464</v>
      </c>
    </row>
    <row r="2919" spans="1:5" x14ac:dyDescent="0.25">
      <c r="A2919" s="216" t="s">
        <v>8201</v>
      </c>
      <c r="B2919" s="218">
        <v>1</v>
      </c>
      <c r="C2919" s="220" t="s">
        <v>1877</v>
      </c>
      <c r="D2919" s="220" t="s">
        <v>56</v>
      </c>
      <c r="E2919" s="165">
        <v>464</v>
      </c>
    </row>
    <row r="2920" spans="1:5" x14ac:dyDescent="0.25">
      <c r="A2920" s="216" t="s">
        <v>4480</v>
      </c>
      <c r="B2920" s="218">
        <v>1</v>
      </c>
      <c r="C2920" s="220" t="s">
        <v>274</v>
      </c>
      <c r="D2920" s="220" t="s">
        <v>188</v>
      </c>
      <c r="E2920" s="165">
        <v>464</v>
      </c>
    </row>
    <row r="2921" spans="1:5" x14ac:dyDescent="0.25">
      <c r="A2921" s="216" t="s">
        <v>7809</v>
      </c>
      <c r="B2921" s="218">
        <v>1</v>
      </c>
      <c r="C2921" s="220" t="s">
        <v>86</v>
      </c>
      <c r="D2921" s="220" t="s">
        <v>78</v>
      </c>
      <c r="E2921" s="165">
        <v>463</v>
      </c>
    </row>
    <row r="2922" spans="1:5" x14ac:dyDescent="0.25">
      <c r="A2922" s="216" t="s">
        <v>3568</v>
      </c>
      <c r="B2922" s="218" t="s">
        <v>48</v>
      </c>
      <c r="C2922" s="220" t="s">
        <v>1266</v>
      </c>
      <c r="D2922" s="220" t="s">
        <v>166</v>
      </c>
      <c r="E2922" s="165">
        <v>462</v>
      </c>
    </row>
    <row r="2923" spans="1:5" x14ac:dyDescent="0.25">
      <c r="A2923" s="216" t="s">
        <v>4075</v>
      </c>
      <c r="B2923" s="218" t="s">
        <v>48</v>
      </c>
      <c r="C2923" s="220" t="s">
        <v>1038</v>
      </c>
      <c r="D2923" s="220" t="s">
        <v>87</v>
      </c>
      <c r="E2923" s="165">
        <v>462</v>
      </c>
    </row>
    <row r="2924" spans="1:5" x14ac:dyDescent="0.25">
      <c r="A2924" s="216" t="s">
        <v>4371</v>
      </c>
      <c r="B2924" s="218" t="s">
        <v>48</v>
      </c>
      <c r="C2924" s="220" t="s">
        <v>249</v>
      </c>
      <c r="D2924" s="220" t="s">
        <v>142</v>
      </c>
      <c r="E2924" s="165">
        <v>461</v>
      </c>
    </row>
    <row r="2925" spans="1:5" x14ac:dyDescent="0.25">
      <c r="A2925" s="216" t="s">
        <v>4994</v>
      </c>
      <c r="B2925" s="218" t="s">
        <v>48</v>
      </c>
      <c r="C2925" s="220" t="s">
        <v>4995</v>
      </c>
      <c r="D2925" s="220" t="s">
        <v>78</v>
      </c>
      <c r="E2925" s="165">
        <v>461</v>
      </c>
    </row>
    <row r="2926" spans="1:5" x14ac:dyDescent="0.25">
      <c r="A2926" s="216" t="s">
        <v>6017</v>
      </c>
      <c r="B2926" s="218">
        <v>1</v>
      </c>
      <c r="C2926" s="220" t="s">
        <v>6018</v>
      </c>
      <c r="D2926" s="220" t="s">
        <v>69</v>
      </c>
      <c r="E2926" s="165">
        <v>461</v>
      </c>
    </row>
    <row r="2927" spans="1:5" x14ac:dyDescent="0.25">
      <c r="A2927" s="216" t="s">
        <v>4189</v>
      </c>
      <c r="B2927" s="218" t="s">
        <v>48</v>
      </c>
      <c r="C2927" s="220" t="s">
        <v>144</v>
      </c>
      <c r="D2927" s="220" t="s">
        <v>59</v>
      </c>
      <c r="E2927" s="165">
        <v>461</v>
      </c>
    </row>
    <row r="2928" spans="1:5" x14ac:dyDescent="0.25">
      <c r="A2928" s="216" t="s">
        <v>4430</v>
      </c>
      <c r="B2928" s="218" t="s">
        <v>48</v>
      </c>
      <c r="C2928" s="220" t="s">
        <v>3961</v>
      </c>
      <c r="D2928" s="220" t="s">
        <v>56</v>
      </c>
      <c r="E2928" s="165">
        <v>460</v>
      </c>
    </row>
    <row r="2929" spans="1:5" x14ac:dyDescent="0.25">
      <c r="A2929" s="216" t="s">
        <v>4910</v>
      </c>
      <c r="B2929" s="218">
        <v>1</v>
      </c>
      <c r="C2929" s="220" t="s">
        <v>1757</v>
      </c>
      <c r="D2929" s="220" t="s">
        <v>264</v>
      </c>
      <c r="E2929" s="165">
        <v>460</v>
      </c>
    </row>
    <row r="2930" spans="1:5" x14ac:dyDescent="0.25">
      <c r="A2930" s="216" t="s">
        <v>4176</v>
      </c>
      <c r="B2930" s="218">
        <v>1</v>
      </c>
      <c r="C2930" s="220" t="s">
        <v>4177</v>
      </c>
      <c r="D2930" s="220" t="s">
        <v>50</v>
      </c>
      <c r="E2930" s="165">
        <v>460</v>
      </c>
    </row>
    <row r="2931" spans="1:5" x14ac:dyDescent="0.25">
      <c r="A2931" s="216" t="s">
        <v>9880</v>
      </c>
      <c r="B2931" s="218">
        <v>1</v>
      </c>
      <c r="C2931" s="220" t="s">
        <v>1020</v>
      </c>
      <c r="D2931" s="220" t="s">
        <v>63</v>
      </c>
      <c r="E2931" s="165">
        <v>460</v>
      </c>
    </row>
    <row r="2932" spans="1:5" x14ac:dyDescent="0.25">
      <c r="A2932" s="216" t="s">
        <v>4102</v>
      </c>
      <c r="B2932" s="218" t="s">
        <v>48</v>
      </c>
      <c r="C2932" s="220" t="s">
        <v>289</v>
      </c>
      <c r="D2932" s="220" t="s">
        <v>69</v>
      </c>
      <c r="E2932" s="165">
        <v>460</v>
      </c>
    </row>
    <row r="2933" spans="1:5" x14ac:dyDescent="0.25">
      <c r="A2933" s="216" t="s">
        <v>10554</v>
      </c>
      <c r="B2933" s="218">
        <v>1</v>
      </c>
      <c r="C2933" s="220" t="s">
        <v>5889</v>
      </c>
      <c r="D2933" s="220" t="s">
        <v>172</v>
      </c>
      <c r="E2933" s="165">
        <v>459</v>
      </c>
    </row>
    <row r="2934" spans="1:5" x14ac:dyDescent="0.25">
      <c r="A2934" s="216" t="s">
        <v>4298</v>
      </c>
      <c r="B2934" s="218">
        <v>1</v>
      </c>
      <c r="C2934" s="220" t="s">
        <v>4299</v>
      </c>
      <c r="D2934" s="220" t="s">
        <v>56</v>
      </c>
      <c r="E2934" s="165">
        <v>459</v>
      </c>
    </row>
    <row r="2935" spans="1:5" x14ac:dyDescent="0.25">
      <c r="A2935" s="216" t="s">
        <v>4573</v>
      </c>
      <c r="B2935" s="218" t="s">
        <v>48</v>
      </c>
      <c r="C2935" s="220" t="s">
        <v>4574</v>
      </c>
      <c r="D2935" s="220" t="s">
        <v>130</v>
      </c>
      <c r="E2935" s="165">
        <v>458</v>
      </c>
    </row>
    <row r="2936" spans="1:5" x14ac:dyDescent="0.25">
      <c r="A2936" s="216" t="s">
        <v>4329</v>
      </c>
      <c r="B2936" s="218">
        <v>1</v>
      </c>
      <c r="C2936" s="220" t="s">
        <v>4330</v>
      </c>
      <c r="D2936" s="220" t="s">
        <v>69</v>
      </c>
      <c r="E2936" s="165">
        <v>458</v>
      </c>
    </row>
    <row r="2937" spans="1:5" x14ac:dyDescent="0.25">
      <c r="A2937" s="216" t="s">
        <v>7179</v>
      </c>
      <c r="B2937" s="218">
        <v>1</v>
      </c>
      <c r="C2937" s="220" t="s">
        <v>6456</v>
      </c>
      <c r="D2937" s="220" t="s">
        <v>517</v>
      </c>
      <c r="E2937" s="165">
        <v>458</v>
      </c>
    </row>
    <row r="2938" spans="1:5" x14ac:dyDescent="0.25">
      <c r="A2938" s="216" t="s">
        <v>4197</v>
      </c>
      <c r="B2938" s="218">
        <v>1</v>
      </c>
      <c r="C2938" s="220" t="s">
        <v>1107</v>
      </c>
      <c r="D2938" s="220" t="s">
        <v>50</v>
      </c>
      <c r="E2938" s="165">
        <v>458</v>
      </c>
    </row>
    <row r="2939" spans="1:5" x14ac:dyDescent="0.25">
      <c r="A2939" s="216" t="s">
        <v>4198</v>
      </c>
      <c r="B2939" s="218">
        <v>1</v>
      </c>
      <c r="C2939" s="220" t="s">
        <v>2334</v>
      </c>
      <c r="D2939" s="220" t="s">
        <v>50</v>
      </c>
      <c r="E2939" s="165">
        <v>458</v>
      </c>
    </row>
    <row r="2940" spans="1:5" x14ac:dyDescent="0.25">
      <c r="A2940" s="216" t="s">
        <v>7184</v>
      </c>
      <c r="B2940" s="218" t="s">
        <v>48</v>
      </c>
      <c r="C2940" s="220" t="s">
        <v>3313</v>
      </c>
      <c r="D2940" s="220" t="s">
        <v>166</v>
      </c>
      <c r="E2940" s="165">
        <v>457</v>
      </c>
    </row>
    <row r="2941" spans="1:5" x14ac:dyDescent="0.25">
      <c r="A2941" s="216" t="s">
        <v>4727</v>
      </c>
      <c r="B2941" s="218" t="s">
        <v>48</v>
      </c>
      <c r="C2941" s="220" t="s">
        <v>285</v>
      </c>
      <c r="D2941" s="220" t="s">
        <v>59</v>
      </c>
      <c r="E2941" s="165">
        <v>457</v>
      </c>
    </row>
    <row r="2942" spans="1:5" x14ac:dyDescent="0.25">
      <c r="A2942" s="216" t="s">
        <v>7373</v>
      </c>
      <c r="B2942" s="218" t="s">
        <v>48</v>
      </c>
      <c r="C2942" s="220" t="s">
        <v>213</v>
      </c>
      <c r="D2942" s="220" t="s">
        <v>75</v>
      </c>
      <c r="E2942" s="165">
        <v>457</v>
      </c>
    </row>
    <row r="2943" spans="1:5" x14ac:dyDescent="0.25">
      <c r="A2943" s="216" t="s">
        <v>4180</v>
      </c>
      <c r="B2943" s="218" t="s">
        <v>48</v>
      </c>
      <c r="C2943" s="220" t="s">
        <v>4181</v>
      </c>
      <c r="D2943" s="220" t="s">
        <v>166</v>
      </c>
      <c r="E2943" s="165">
        <v>457</v>
      </c>
    </row>
    <row r="2944" spans="1:5" x14ac:dyDescent="0.25">
      <c r="A2944" s="216" t="s">
        <v>4796</v>
      </c>
      <c r="B2944" s="218" t="s">
        <v>48</v>
      </c>
      <c r="C2944" s="220" t="s">
        <v>4797</v>
      </c>
      <c r="D2944" s="220" t="s">
        <v>78</v>
      </c>
      <c r="E2944" s="165">
        <v>456</v>
      </c>
    </row>
    <row r="2945" spans="1:5" x14ac:dyDescent="0.25">
      <c r="A2945" s="216" t="s">
        <v>3829</v>
      </c>
      <c r="B2945" s="218">
        <v>1</v>
      </c>
      <c r="C2945" s="220" t="s">
        <v>3830</v>
      </c>
      <c r="D2945" s="220" t="s">
        <v>63</v>
      </c>
      <c r="E2945" s="165">
        <v>456</v>
      </c>
    </row>
    <row r="2946" spans="1:5" x14ac:dyDescent="0.25">
      <c r="A2946" s="216" t="s">
        <v>4273</v>
      </c>
      <c r="B2946" s="218">
        <v>1</v>
      </c>
      <c r="C2946" s="220" t="s">
        <v>4274</v>
      </c>
      <c r="D2946" s="220" t="s">
        <v>124</v>
      </c>
      <c r="E2946" s="165">
        <v>455</v>
      </c>
    </row>
    <row r="2947" spans="1:5" x14ac:dyDescent="0.25">
      <c r="A2947" s="216" t="s">
        <v>4331</v>
      </c>
      <c r="B2947" s="218">
        <v>1</v>
      </c>
      <c r="C2947" s="220" t="s">
        <v>4211</v>
      </c>
      <c r="D2947" s="220" t="s">
        <v>56</v>
      </c>
      <c r="E2947" s="165">
        <v>455</v>
      </c>
    </row>
    <row r="2948" spans="1:5" x14ac:dyDescent="0.25">
      <c r="A2948" s="216" t="s">
        <v>4205</v>
      </c>
      <c r="B2948" s="218" t="s">
        <v>48</v>
      </c>
      <c r="C2948" s="220" t="s">
        <v>424</v>
      </c>
      <c r="D2948" s="220" t="s">
        <v>59</v>
      </c>
      <c r="E2948" s="165">
        <v>455</v>
      </c>
    </row>
    <row r="2949" spans="1:5" x14ac:dyDescent="0.25">
      <c r="A2949" s="216" t="s">
        <v>4353</v>
      </c>
      <c r="B2949" s="218" t="s">
        <v>48</v>
      </c>
      <c r="C2949" s="220" t="s">
        <v>1293</v>
      </c>
      <c r="D2949" s="220" t="s">
        <v>166</v>
      </c>
      <c r="E2949" s="165">
        <v>454</v>
      </c>
    </row>
    <row r="2950" spans="1:5" x14ac:dyDescent="0.25">
      <c r="A2950" s="216" t="s">
        <v>4099</v>
      </c>
      <c r="B2950" s="218">
        <v>1</v>
      </c>
      <c r="C2950" s="220" t="s">
        <v>235</v>
      </c>
      <c r="D2950" s="220" t="s">
        <v>394</v>
      </c>
      <c r="E2950" s="165">
        <v>454</v>
      </c>
    </row>
    <row r="2951" spans="1:5" x14ac:dyDescent="0.25">
      <c r="A2951" s="216" t="s">
        <v>4503</v>
      </c>
      <c r="B2951" s="218">
        <v>1</v>
      </c>
      <c r="C2951" s="220" t="s">
        <v>4504</v>
      </c>
      <c r="D2951" s="220" t="s">
        <v>56</v>
      </c>
      <c r="E2951" s="165">
        <v>454</v>
      </c>
    </row>
    <row r="2952" spans="1:5" x14ac:dyDescent="0.25">
      <c r="A2952" s="216" t="s">
        <v>4306</v>
      </c>
      <c r="B2952" s="218" t="s">
        <v>48</v>
      </c>
      <c r="C2952" s="220" t="s">
        <v>1705</v>
      </c>
      <c r="D2952" s="220" t="s">
        <v>166</v>
      </c>
      <c r="E2952" s="165">
        <v>453</v>
      </c>
    </row>
    <row r="2953" spans="1:5" x14ac:dyDescent="0.25">
      <c r="A2953" s="216" t="s">
        <v>4309</v>
      </c>
      <c r="B2953" s="218">
        <v>1</v>
      </c>
      <c r="C2953" s="220" t="s">
        <v>4310</v>
      </c>
      <c r="D2953" s="220" t="s">
        <v>188</v>
      </c>
      <c r="E2953" s="165">
        <v>453</v>
      </c>
    </row>
    <row r="2954" spans="1:5" x14ac:dyDescent="0.25">
      <c r="A2954" s="216" t="s">
        <v>4313</v>
      </c>
      <c r="B2954" s="218">
        <v>1</v>
      </c>
      <c r="C2954" s="220" t="s">
        <v>4314</v>
      </c>
      <c r="D2954" s="220" t="s">
        <v>188</v>
      </c>
      <c r="E2954" s="165">
        <v>453</v>
      </c>
    </row>
    <row r="2955" spans="1:5" x14ac:dyDescent="0.25">
      <c r="A2955" s="216" t="s">
        <v>11135</v>
      </c>
      <c r="B2955" s="218" t="s">
        <v>48</v>
      </c>
      <c r="C2955" s="220" t="s">
        <v>179</v>
      </c>
      <c r="D2955" s="220" t="s">
        <v>66</v>
      </c>
      <c r="E2955" s="165">
        <v>453</v>
      </c>
    </row>
    <row r="2956" spans="1:5" x14ac:dyDescent="0.25">
      <c r="A2956" s="216" t="s">
        <v>5183</v>
      </c>
      <c r="B2956" s="218" t="s">
        <v>48</v>
      </c>
      <c r="C2956" s="220" t="s">
        <v>257</v>
      </c>
      <c r="D2956" s="220" t="s">
        <v>108</v>
      </c>
      <c r="E2956" s="165">
        <v>453</v>
      </c>
    </row>
    <row r="2957" spans="1:5" x14ac:dyDescent="0.25">
      <c r="A2957" s="216" t="s">
        <v>3934</v>
      </c>
      <c r="B2957" s="218">
        <v>1</v>
      </c>
      <c r="C2957" s="220" t="s">
        <v>3935</v>
      </c>
      <c r="D2957" s="220" t="s">
        <v>575</v>
      </c>
      <c r="E2957" s="165">
        <v>452</v>
      </c>
    </row>
    <row r="2958" spans="1:5" x14ac:dyDescent="0.25">
      <c r="A2958" s="216" t="s">
        <v>4627</v>
      </c>
      <c r="B2958" s="218">
        <v>1</v>
      </c>
      <c r="C2958" s="220" t="s">
        <v>4628</v>
      </c>
      <c r="D2958" s="220" t="s">
        <v>139</v>
      </c>
      <c r="E2958" s="165">
        <v>452</v>
      </c>
    </row>
    <row r="2959" spans="1:5" x14ac:dyDescent="0.25">
      <c r="A2959" s="216" t="s">
        <v>3759</v>
      </c>
      <c r="B2959" s="218">
        <v>1</v>
      </c>
      <c r="C2959" s="220" t="s">
        <v>3760</v>
      </c>
      <c r="D2959" s="220" t="s">
        <v>523</v>
      </c>
      <c r="E2959" s="165">
        <v>451</v>
      </c>
    </row>
    <row r="2960" spans="1:5" x14ac:dyDescent="0.25">
      <c r="A2960" s="216" t="s">
        <v>4231</v>
      </c>
      <c r="B2960" s="218">
        <v>1</v>
      </c>
      <c r="C2960" s="220" t="s">
        <v>1864</v>
      </c>
      <c r="D2960" s="220" t="s">
        <v>78</v>
      </c>
      <c r="E2960" s="165">
        <v>451</v>
      </c>
    </row>
    <row r="2961" spans="1:5" x14ac:dyDescent="0.25">
      <c r="A2961" s="216" t="s">
        <v>1637</v>
      </c>
      <c r="B2961" s="218" t="s">
        <v>48</v>
      </c>
      <c r="C2961" s="220" t="s">
        <v>1638</v>
      </c>
      <c r="D2961" s="220" t="s">
        <v>201</v>
      </c>
      <c r="E2961" s="165">
        <v>451</v>
      </c>
    </row>
    <row r="2962" spans="1:5" x14ac:dyDescent="0.25">
      <c r="A2962" s="216" t="s">
        <v>1503</v>
      </c>
      <c r="B2962" s="218" t="s">
        <v>48</v>
      </c>
      <c r="C2962" s="220" t="s">
        <v>1504</v>
      </c>
      <c r="D2962" s="220" t="s">
        <v>523</v>
      </c>
      <c r="E2962" s="165">
        <v>451</v>
      </c>
    </row>
    <row r="2963" spans="1:5" x14ac:dyDescent="0.25">
      <c r="A2963" s="216" t="s">
        <v>5676</v>
      </c>
      <c r="B2963" s="218" t="s">
        <v>48</v>
      </c>
      <c r="C2963" s="220" t="s">
        <v>733</v>
      </c>
      <c r="D2963" s="220" t="s">
        <v>139</v>
      </c>
      <c r="E2963" s="165">
        <v>450</v>
      </c>
    </row>
    <row r="2964" spans="1:5" x14ac:dyDescent="0.25">
      <c r="A2964" s="216" t="s">
        <v>4530</v>
      </c>
      <c r="B2964" s="218">
        <v>1</v>
      </c>
      <c r="C2964" s="220" t="s">
        <v>4304</v>
      </c>
      <c r="D2964" s="220" t="s">
        <v>56</v>
      </c>
      <c r="E2964" s="165">
        <v>450</v>
      </c>
    </row>
    <row r="2965" spans="1:5" x14ac:dyDescent="0.25">
      <c r="A2965" s="216" t="s">
        <v>3254</v>
      </c>
      <c r="B2965" s="218" t="s">
        <v>48</v>
      </c>
      <c r="C2965" s="220" t="s">
        <v>92</v>
      </c>
      <c r="D2965" s="220" t="s">
        <v>93</v>
      </c>
      <c r="E2965" s="165">
        <v>450</v>
      </c>
    </row>
    <row r="2966" spans="1:5" x14ac:dyDescent="0.25">
      <c r="A2966" s="216" t="s">
        <v>5831</v>
      </c>
      <c r="B2966" s="218" t="s">
        <v>48</v>
      </c>
      <c r="C2966" s="220" t="s">
        <v>238</v>
      </c>
      <c r="D2966" s="220" t="s">
        <v>93</v>
      </c>
      <c r="E2966" s="165">
        <v>450</v>
      </c>
    </row>
    <row r="2967" spans="1:5" x14ac:dyDescent="0.25">
      <c r="A2967" s="216" t="s">
        <v>4940</v>
      </c>
      <c r="B2967" s="218" t="s">
        <v>48</v>
      </c>
      <c r="C2967" s="220" t="s">
        <v>640</v>
      </c>
      <c r="D2967" s="220" t="s">
        <v>69</v>
      </c>
      <c r="E2967" s="165">
        <v>450</v>
      </c>
    </row>
    <row r="2968" spans="1:5" x14ac:dyDescent="0.25">
      <c r="A2968" s="216" t="s">
        <v>4970</v>
      </c>
      <c r="B2968" s="218" t="s">
        <v>48</v>
      </c>
      <c r="C2968" s="220" t="s">
        <v>4504</v>
      </c>
      <c r="D2968" s="220" t="s">
        <v>56</v>
      </c>
      <c r="E2968" s="165">
        <v>450</v>
      </c>
    </row>
    <row r="2969" spans="1:5" x14ac:dyDescent="0.25">
      <c r="A2969" s="216" t="s">
        <v>3324</v>
      </c>
      <c r="B2969" s="218" t="s">
        <v>48</v>
      </c>
      <c r="C2969" s="220" t="s">
        <v>92</v>
      </c>
      <c r="D2969" s="220" t="s">
        <v>93</v>
      </c>
      <c r="E2969" s="165">
        <v>450</v>
      </c>
    </row>
    <row r="2970" spans="1:5" x14ac:dyDescent="0.25">
      <c r="A2970" s="216" t="s">
        <v>3828</v>
      </c>
      <c r="B2970" s="218">
        <v>1</v>
      </c>
      <c r="C2970" s="220" t="s">
        <v>121</v>
      </c>
      <c r="D2970" s="220" t="s">
        <v>56</v>
      </c>
      <c r="E2970" s="165">
        <v>450</v>
      </c>
    </row>
    <row r="2971" spans="1:5" x14ac:dyDescent="0.25">
      <c r="A2971" s="216" t="s">
        <v>4482</v>
      </c>
      <c r="B2971" s="218" t="s">
        <v>48</v>
      </c>
      <c r="C2971" s="220" t="s">
        <v>4483</v>
      </c>
      <c r="D2971" s="220" t="s">
        <v>139</v>
      </c>
      <c r="E2971" s="165">
        <v>450</v>
      </c>
    </row>
    <row r="2972" spans="1:5" x14ac:dyDescent="0.25">
      <c r="A2972" s="216" t="s">
        <v>6650</v>
      </c>
      <c r="B2972" s="218" t="s">
        <v>48</v>
      </c>
      <c r="C2972" s="220" t="s">
        <v>966</v>
      </c>
      <c r="D2972" s="220" t="s">
        <v>130</v>
      </c>
      <c r="E2972" s="165">
        <v>450</v>
      </c>
    </row>
    <row r="2973" spans="1:5" x14ac:dyDescent="0.25">
      <c r="A2973" s="216" t="s">
        <v>5836</v>
      </c>
      <c r="B2973" s="218" t="s">
        <v>48</v>
      </c>
      <c r="C2973" s="220" t="s">
        <v>249</v>
      </c>
      <c r="D2973" s="220" t="s">
        <v>142</v>
      </c>
      <c r="E2973" s="165">
        <v>450</v>
      </c>
    </row>
    <row r="2974" spans="1:5" x14ac:dyDescent="0.25">
      <c r="A2974" s="216" t="s">
        <v>8096</v>
      </c>
      <c r="B2974" s="218" t="s">
        <v>48</v>
      </c>
      <c r="C2974" s="220" t="s">
        <v>689</v>
      </c>
      <c r="D2974" s="220" t="s">
        <v>124</v>
      </c>
      <c r="E2974" s="165">
        <v>450</v>
      </c>
    </row>
    <row r="2975" spans="1:5" x14ac:dyDescent="0.25">
      <c r="A2975" s="216" t="s">
        <v>3978</v>
      </c>
      <c r="B2975" s="218" t="s">
        <v>48</v>
      </c>
      <c r="C2975" s="220" t="s">
        <v>768</v>
      </c>
      <c r="D2975" s="220" t="s">
        <v>264</v>
      </c>
      <c r="E2975" s="165">
        <v>450</v>
      </c>
    </row>
    <row r="2976" spans="1:5" x14ac:dyDescent="0.25">
      <c r="A2976" s="216" t="s">
        <v>4359</v>
      </c>
      <c r="B2976" s="218">
        <v>1</v>
      </c>
      <c r="C2976" s="220" t="s">
        <v>3804</v>
      </c>
      <c r="D2976" s="220" t="s">
        <v>56</v>
      </c>
      <c r="E2976" s="165">
        <v>450</v>
      </c>
    </row>
    <row r="2977" spans="1:5" x14ac:dyDescent="0.25">
      <c r="A2977" s="216" t="s">
        <v>3360</v>
      </c>
      <c r="B2977" s="218" t="s">
        <v>48</v>
      </c>
      <c r="C2977" s="220" t="s">
        <v>3361</v>
      </c>
      <c r="D2977" s="220" t="s">
        <v>90</v>
      </c>
      <c r="E2977" s="165">
        <v>450</v>
      </c>
    </row>
    <row r="2978" spans="1:5" x14ac:dyDescent="0.25">
      <c r="A2978" s="216" t="s">
        <v>5233</v>
      </c>
      <c r="B2978" s="218" t="s">
        <v>48</v>
      </c>
      <c r="C2978" s="220" t="s">
        <v>138</v>
      </c>
      <c r="D2978" s="220" t="s">
        <v>139</v>
      </c>
      <c r="E2978" s="165">
        <v>450</v>
      </c>
    </row>
    <row r="2979" spans="1:5" x14ac:dyDescent="0.25">
      <c r="A2979" s="216" t="s">
        <v>4338</v>
      </c>
      <c r="B2979" s="218">
        <v>1</v>
      </c>
      <c r="C2979" s="220" t="s">
        <v>4339</v>
      </c>
      <c r="D2979" s="220" t="s">
        <v>56</v>
      </c>
      <c r="E2979" s="165">
        <v>449</v>
      </c>
    </row>
    <row r="2980" spans="1:5" x14ac:dyDescent="0.25">
      <c r="A2980" s="216" t="s">
        <v>3943</v>
      </c>
      <c r="B2980" s="218">
        <v>1</v>
      </c>
      <c r="C2980" s="220" t="s">
        <v>2295</v>
      </c>
      <c r="D2980" s="220" t="s">
        <v>628</v>
      </c>
      <c r="E2980" s="165">
        <v>449</v>
      </c>
    </row>
    <row r="2981" spans="1:5" x14ac:dyDescent="0.25">
      <c r="A2981" s="216" t="s">
        <v>3789</v>
      </c>
      <c r="B2981" s="218">
        <v>1</v>
      </c>
      <c r="C2981" s="220" t="s">
        <v>3790</v>
      </c>
      <c r="D2981" s="220" t="s">
        <v>523</v>
      </c>
      <c r="E2981" s="165">
        <v>448</v>
      </c>
    </row>
    <row r="2982" spans="1:5" x14ac:dyDescent="0.25">
      <c r="A2982" s="216" t="s">
        <v>4629</v>
      </c>
      <c r="B2982" s="218">
        <v>1</v>
      </c>
      <c r="C2982" s="220" t="s">
        <v>735</v>
      </c>
      <c r="D2982" s="220" t="s">
        <v>63</v>
      </c>
      <c r="E2982" s="165">
        <v>448</v>
      </c>
    </row>
    <row r="2983" spans="1:5" x14ac:dyDescent="0.25">
      <c r="A2983" s="216" t="s">
        <v>4377</v>
      </c>
      <c r="B2983" s="218">
        <v>1</v>
      </c>
      <c r="C2983" s="220" t="s">
        <v>4049</v>
      </c>
      <c r="D2983" s="220" t="s">
        <v>72</v>
      </c>
      <c r="E2983" s="165">
        <v>448</v>
      </c>
    </row>
    <row r="2984" spans="1:5" x14ac:dyDescent="0.25">
      <c r="A2984" s="216" t="s">
        <v>11136</v>
      </c>
      <c r="B2984" s="218">
        <v>1</v>
      </c>
      <c r="C2984" s="220" t="s">
        <v>238</v>
      </c>
      <c r="D2984" s="220" t="s">
        <v>93</v>
      </c>
      <c r="E2984" s="165">
        <v>448</v>
      </c>
    </row>
    <row r="2985" spans="1:5" x14ac:dyDescent="0.25">
      <c r="A2985" s="216" t="s">
        <v>4317</v>
      </c>
      <c r="B2985" s="218">
        <v>1</v>
      </c>
      <c r="C2985" s="220" t="s">
        <v>4318</v>
      </c>
      <c r="D2985" s="220" t="s">
        <v>124</v>
      </c>
      <c r="E2985" s="165">
        <v>448</v>
      </c>
    </row>
    <row r="2986" spans="1:5" x14ac:dyDescent="0.25">
      <c r="A2986" s="216" t="s">
        <v>8275</v>
      </c>
      <c r="B2986" s="218" t="s">
        <v>48</v>
      </c>
      <c r="C2986" s="220" t="s">
        <v>8276</v>
      </c>
      <c r="D2986" s="220" t="s">
        <v>87</v>
      </c>
      <c r="E2986" s="165">
        <v>448</v>
      </c>
    </row>
    <row r="2987" spans="1:5" x14ac:dyDescent="0.25">
      <c r="A2987" s="216" t="s">
        <v>4284</v>
      </c>
      <c r="B2987" s="218">
        <v>1</v>
      </c>
      <c r="C2987" s="220" t="s">
        <v>684</v>
      </c>
      <c r="D2987" s="220" t="s">
        <v>272</v>
      </c>
      <c r="E2987" s="165">
        <v>448</v>
      </c>
    </row>
    <row r="2988" spans="1:5" x14ac:dyDescent="0.25">
      <c r="A2988" s="216" t="s">
        <v>4391</v>
      </c>
      <c r="B2988" s="218">
        <v>1</v>
      </c>
      <c r="C2988" s="220" t="s">
        <v>4392</v>
      </c>
      <c r="D2988" s="220" t="s">
        <v>72</v>
      </c>
      <c r="E2988" s="165">
        <v>448</v>
      </c>
    </row>
    <row r="2989" spans="1:5" x14ac:dyDescent="0.25">
      <c r="A2989" s="216" t="s">
        <v>4277</v>
      </c>
      <c r="B2989" s="218">
        <v>1</v>
      </c>
      <c r="C2989" s="220" t="s">
        <v>4278</v>
      </c>
      <c r="D2989" s="220" t="s">
        <v>78</v>
      </c>
      <c r="E2989" s="165">
        <v>447</v>
      </c>
    </row>
    <row r="2990" spans="1:5" x14ac:dyDescent="0.25">
      <c r="A2990" s="216" t="s">
        <v>4874</v>
      </c>
      <c r="B2990" s="218" t="s">
        <v>48</v>
      </c>
      <c r="C2990" s="220" t="s">
        <v>3508</v>
      </c>
      <c r="D2990" s="220" t="s">
        <v>585</v>
      </c>
      <c r="E2990" s="165">
        <v>447</v>
      </c>
    </row>
    <row r="2991" spans="1:5" x14ac:dyDescent="0.25">
      <c r="A2991" s="216" t="s">
        <v>5148</v>
      </c>
      <c r="B2991" s="218">
        <v>1</v>
      </c>
      <c r="C2991" s="220" t="s">
        <v>5149</v>
      </c>
      <c r="D2991" s="220" t="s">
        <v>139</v>
      </c>
      <c r="E2991" s="165">
        <v>446</v>
      </c>
    </row>
    <row r="2992" spans="1:5" x14ac:dyDescent="0.25">
      <c r="A2992" s="216" t="s">
        <v>3953</v>
      </c>
      <c r="B2992" s="218">
        <v>1</v>
      </c>
      <c r="C2992" s="220" t="s">
        <v>3954</v>
      </c>
      <c r="D2992" s="220" t="s">
        <v>72</v>
      </c>
      <c r="E2992" s="165">
        <v>446</v>
      </c>
    </row>
    <row r="2993" spans="1:5" x14ac:dyDescent="0.25">
      <c r="A2993" s="216" t="s">
        <v>3963</v>
      </c>
      <c r="B2993" s="218">
        <v>1</v>
      </c>
      <c r="C2993" s="220" t="s">
        <v>3964</v>
      </c>
      <c r="D2993" s="220" t="s">
        <v>172</v>
      </c>
      <c r="E2993" s="165">
        <v>445</v>
      </c>
    </row>
    <row r="2994" spans="1:5" x14ac:dyDescent="0.25">
      <c r="A2994" s="216" t="s">
        <v>5942</v>
      </c>
      <c r="B2994" s="218">
        <v>1</v>
      </c>
      <c r="C2994" s="220" t="s">
        <v>5943</v>
      </c>
      <c r="D2994" s="220" t="s">
        <v>139</v>
      </c>
      <c r="E2994" s="165">
        <v>445</v>
      </c>
    </row>
    <row r="2995" spans="1:5" x14ac:dyDescent="0.25">
      <c r="A2995" s="216" t="s">
        <v>4219</v>
      </c>
      <c r="B2995" s="218">
        <v>1</v>
      </c>
      <c r="C2995" s="220" t="s">
        <v>4220</v>
      </c>
      <c r="D2995" s="220" t="s">
        <v>348</v>
      </c>
      <c r="E2995" s="165">
        <v>445</v>
      </c>
    </row>
    <row r="2996" spans="1:5" x14ac:dyDescent="0.25">
      <c r="A2996" s="216" t="s">
        <v>4583</v>
      </c>
      <c r="B2996" s="218">
        <v>1</v>
      </c>
      <c r="C2996" s="220" t="s">
        <v>4584</v>
      </c>
      <c r="D2996" s="220" t="s">
        <v>56</v>
      </c>
      <c r="E2996" s="165">
        <v>445</v>
      </c>
    </row>
    <row r="2997" spans="1:5" x14ac:dyDescent="0.25">
      <c r="A2997" s="216" t="s">
        <v>4495</v>
      </c>
      <c r="B2997" s="218">
        <v>1</v>
      </c>
      <c r="C2997" s="220" t="s">
        <v>4496</v>
      </c>
      <c r="D2997" s="220" t="s">
        <v>50</v>
      </c>
      <c r="E2997" s="165">
        <v>445</v>
      </c>
    </row>
    <row r="2998" spans="1:5" x14ac:dyDescent="0.25">
      <c r="A2998" s="216" t="s">
        <v>4385</v>
      </c>
      <c r="B2998" s="218">
        <v>1</v>
      </c>
      <c r="C2998" s="220" t="s">
        <v>4386</v>
      </c>
      <c r="D2998" s="220" t="s">
        <v>78</v>
      </c>
      <c r="E2998" s="165">
        <v>445</v>
      </c>
    </row>
    <row r="2999" spans="1:5" x14ac:dyDescent="0.25">
      <c r="A2999" s="216" t="s">
        <v>4498</v>
      </c>
      <c r="B2999" s="218">
        <v>1</v>
      </c>
      <c r="C2999" s="220" t="s">
        <v>4499</v>
      </c>
      <c r="D2999" s="220" t="s">
        <v>50</v>
      </c>
      <c r="E2999" s="165">
        <v>445</v>
      </c>
    </row>
    <row r="3000" spans="1:5" x14ac:dyDescent="0.25">
      <c r="A3000" s="216" t="s">
        <v>4594</v>
      </c>
      <c r="B3000" s="218" t="s">
        <v>48</v>
      </c>
      <c r="C3000" s="220" t="s">
        <v>4595</v>
      </c>
      <c r="D3000" s="220" t="s">
        <v>127</v>
      </c>
      <c r="E3000" s="165">
        <v>445</v>
      </c>
    </row>
    <row r="3001" spans="1:5" x14ac:dyDescent="0.25">
      <c r="A3001" s="216" t="s">
        <v>4598</v>
      </c>
      <c r="B3001" s="218">
        <v>1</v>
      </c>
      <c r="C3001" s="220" t="s">
        <v>477</v>
      </c>
      <c r="D3001" s="220" t="s">
        <v>56</v>
      </c>
      <c r="E3001" s="165">
        <v>444</v>
      </c>
    </row>
    <row r="3002" spans="1:5" x14ac:dyDescent="0.25">
      <c r="A3002" s="216" t="s">
        <v>4599</v>
      </c>
      <c r="B3002" s="218">
        <v>1</v>
      </c>
      <c r="C3002" s="220" t="s">
        <v>1823</v>
      </c>
      <c r="D3002" s="220" t="s">
        <v>56</v>
      </c>
      <c r="E3002" s="165">
        <v>444</v>
      </c>
    </row>
    <row r="3003" spans="1:5" x14ac:dyDescent="0.25">
      <c r="A3003" s="216" t="s">
        <v>10652</v>
      </c>
      <c r="B3003" s="218" t="s">
        <v>48</v>
      </c>
      <c r="C3003" s="220" t="s">
        <v>9128</v>
      </c>
      <c r="D3003" s="220" t="s">
        <v>378</v>
      </c>
      <c r="E3003" s="165">
        <v>444</v>
      </c>
    </row>
    <row r="3004" spans="1:5" x14ac:dyDescent="0.25">
      <c r="A3004" s="216" t="s">
        <v>4407</v>
      </c>
      <c r="B3004" s="218">
        <v>1</v>
      </c>
      <c r="C3004" s="220" t="s">
        <v>289</v>
      </c>
      <c r="D3004" s="220" t="s">
        <v>69</v>
      </c>
      <c r="E3004" s="165">
        <v>444</v>
      </c>
    </row>
    <row r="3005" spans="1:5" x14ac:dyDescent="0.25">
      <c r="A3005" s="216" t="s">
        <v>5764</v>
      </c>
      <c r="B3005" s="218" t="s">
        <v>48</v>
      </c>
      <c r="C3005" s="220" t="s">
        <v>1963</v>
      </c>
      <c r="D3005" s="220" t="s">
        <v>90</v>
      </c>
      <c r="E3005" s="165">
        <v>444</v>
      </c>
    </row>
    <row r="3006" spans="1:5" x14ac:dyDescent="0.25">
      <c r="A3006" s="216" t="s">
        <v>5425</v>
      </c>
      <c r="B3006" s="218" t="s">
        <v>48</v>
      </c>
      <c r="C3006" s="220" t="s">
        <v>5426</v>
      </c>
      <c r="D3006" s="220" t="s">
        <v>93</v>
      </c>
      <c r="E3006" s="165">
        <v>443</v>
      </c>
    </row>
    <row r="3007" spans="1:5" x14ac:dyDescent="0.25">
      <c r="A3007" s="216" t="s">
        <v>3781</v>
      </c>
      <c r="B3007" s="218" t="s">
        <v>48</v>
      </c>
      <c r="C3007" s="220" t="s">
        <v>3782</v>
      </c>
      <c r="D3007" s="220" t="s">
        <v>90</v>
      </c>
      <c r="E3007" s="165">
        <v>443</v>
      </c>
    </row>
    <row r="3008" spans="1:5" x14ac:dyDescent="0.25">
      <c r="A3008" s="216" t="s">
        <v>938</v>
      </c>
      <c r="B3008" s="218" t="s">
        <v>48</v>
      </c>
      <c r="C3008" s="220" t="s">
        <v>939</v>
      </c>
      <c r="D3008" s="220" t="s">
        <v>82</v>
      </c>
      <c r="E3008" s="165">
        <v>443</v>
      </c>
    </row>
    <row r="3009" spans="1:5" x14ac:dyDescent="0.25">
      <c r="A3009" s="216" t="s">
        <v>4684</v>
      </c>
      <c r="B3009" s="218">
        <v>1</v>
      </c>
      <c r="C3009" s="220" t="s">
        <v>913</v>
      </c>
      <c r="D3009" s="220" t="s">
        <v>139</v>
      </c>
      <c r="E3009" s="165">
        <v>443</v>
      </c>
    </row>
    <row r="3010" spans="1:5" x14ac:dyDescent="0.25">
      <c r="A3010" s="216" t="s">
        <v>4368</v>
      </c>
      <c r="B3010" s="218">
        <v>1</v>
      </c>
      <c r="C3010" s="220" t="s">
        <v>4369</v>
      </c>
      <c r="D3010" s="220" t="s">
        <v>98</v>
      </c>
      <c r="E3010" s="165">
        <v>442</v>
      </c>
    </row>
    <row r="3011" spans="1:5" x14ac:dyDescent="0.25">
      <c r="A3011" s="216" t="s">
        <v>2677</v>
      </c>
      <c r="B3011" s="218" t="s">
        <v>48</v>
      </c>
      <c r="C3011" s="220" t="s">
        <v>2678</v>
      </c>
      <c r="D3011" s="220" t="s">
        <v>90</v>
      </c>
      <c r="E3011" s="165">
        <v>442</v>
      </c>
    </row>
    <row r="3012" spans="1:5" x14ac:dyDescent="0.25">
      <c r="A3012" s="216" t="s">
        <v>11137</v>
      </c>
      <c r="B3012" s="218">
        <v>1</v>
      </c>
      <c r="C3012" s="220" t="s">
        <v>1203</v>
      </c>
      <c r="D3012" s="220" t="s">
        <v>50</v>
      </c>
      <c r="E3012" s="165">
        <v>442</v>
      </c>
    </row>
    <row r="3013" spans="1:5" x14ac:dyDescent="0.25">
      <c r="A3013" s="216" t="s">
        <v>4088</v>
      </c>
      <c r="B3013" s="218" t="s">
        <v>48</v>
      </c>
      <c r="C3013" s="220" t="s">
        <v>4089</v>
      </c>
      <c r="D3013" s="220" t="s">
        <v>90</v>
      </c>
      <c r="E3013" s="165">
        <v>442</v>
      </c>
    </row>
    <row r="3014" spans="1:5" x14ac:dyDescent="0.25">
      <c r="A3014" s="216" t="s">
        <v>4440</v>
      </c>
      <c r="B3014" s="218">
        <v>1</v>
      </c>
      <c r="C3014" s="220" t="s">
        <v>3491</v>
      </c>
      <c r="D3014" s="220" t="s">
        <v>66</v>
      </c>
      <c r="E3014" s="165">
        <v>442</v>
      </c>
    </row>
    <row r="3015" spans="1:5" x14ac:dyDescent="0.25">
      <c r="A3015" s="216" t="s">
        <v>4387</v>
      </c>
      <c r="B3015" s="218">
        <v>1</v>
      </c>
      <c r="C3015" s="220" t="s">
        <v>1994</v>
      </c>
      <c r="D3015" s="220" t="s">
        <v>56</v>
      </c>
      <c r="E3015" s="165">
        <v>442</v>
      </c>
    </row>
    <row r="3016" spans="1:5" x14ac:dyDescent="0.25">
      <c r="A3016" s="216" t="s">
        <v>4588</v>
      </c>
      <c r="B3016" s="218">
        <v>1</v>
      </c>
      <c r="C3016" s="220" t="s">
        <v>3423</v>
      </c>
      <c r="D3016" s="220" t="s">
        <v>69</v>
      </c>
      <c r="E3016" s="165">
        <v>442</v>
      </c>
    </row>
    <row r="3017" spans="1:5" x14ac:dyDescent="0.25">
      <c r="A3017" s="216" t="s">
        <v>4240</v>
      </c>
      <c r="B3017" s="218" t="s">
        <v>48</v>
      </c>
      <c r="C3017" s="220" t="s">
        <v>135</v>
      </c>
      <c r="D3017" s="220" t="s">
        <v>108</v>
      </c>
      <c r="E3017" s="165">
        <v>442</v>
      </c>
    </row>
    <row r="3018" spans="1:5" x14ac:dyDescent="0.25">
      <c r="A3018" s="216" t="s">
        <v>5859</v>
      </c>
      <c r="B3018" s="218">
        <v>1</v>
      </c>
      <c r="C3018" s="220" t="s">
        <v>5860</v>
      </c>
      <c r="D3018" s="220" t="s">
        <v>66</v>
      </c>
      <c r="E3018" s="165">
        <v>441</v>
      </c>
    </row>
    <row r="3019" spans="1:5" x14ac:dyDescent="0.25">
      <c r="A3019" s="216" t="s">
        <v>4534</v>
      </c>
      <c r="B3019" s="218">
        <v>1</v>
      </c>
      <c r="C3019" s="220" t="s">
        <v>4535</v>
      </c>
      <c r="D3019" s="220" t="s">
        <v>50</v>
      </c>
      <c r="E3019" s="165">
        <v>441</v>
      </c>
    </row>
    <row r="3020" spans="1:5" x14ac:dyDescent="0.25">
      <c r="A3020" s="216" t="s">
        <v>4644</v>
      </c>
      <c r="B3020" s="218">
        <v>1</v>
      </c>
      <c r="C3020" s="220" t="s">
        <v>3728</v>
      </c>
      <c r="D3020" s="220" t="s">
        <v>188</v>
      </c>
      <c r="E3020" s="165">
        <v>441</v>
      </c>
    </row>
    <row r="3021" spans="1:5" x14ac:dyDescent="0.25">
      <c r="A3021" s="216" t="s">
        <v>5874</v>
      </c>
      <c r="B3021" s="218" t="s">
        <v>48</v>
      </c>
      <c r="C3021" s="220" t="s">
        <v>129</v>
      </c>
      <c r="D3021" s="220" t="s">
        <v>130</v>
      </c>
      <c r="E3021" s="165">
        <v>440</v>
      </c>
    </row>
    <row r="3022" spans="1:5" x14ac:dyDescent="0.25">
      <c r="A3022" s="216" t="s">
        <v>4250</v>
      </c>
      <c r="B3022" s="218">
        <v>1</v>
      </c>
      <c r="C3022" s="220" t="s">
        <v>102</v>
      </c>
      <c r="D3022" s="220" t="s">
        <v>93</v>
      </c>
      <c r="E3022" s="165">
        <v>440</v>
      </c>
    </row>
    <row r="3023" spans="1:5" x14ac:dyDescent="0.25">
      <c r="A3023" s="216" t="s">
        <v>4649</v>
      </c>
      <c r="B3023" s="218">
        <v>1</v>
      </c>
      <c r="C3023" s="220" t="s">
        <v>4650</v>
      </c>
      <c r="D3023" s="220" t="s">
        <v>188</v>
      </c>
      <c r="E3023" s="165">
        <v>440</v>
      </c>
    </row>
    <row r="3024" spans="1:5" x14ac:dyDescent="0.25">
      <c r="A3024" s="216" t="s">
        <v>4261</v>
      </c>
      <c r="B3024" s="218">
        <v>1</v>
      </c>
      <c r="C3024" s="220" t="s">
        <v>496</v>
      </c>
      <c r="D3024" s="220" t="s">
        <v>93</v>
      </c>
      <c r="E3024" s="165">
        <v>440</v>
      </c>
    </row>
    <row r="3025" spans="1:5" x14ac:dyDescent="0.25">
      <c r="A3025" s="216" t="s">
        <v>4401</v>
      </c>
      <c r="B3025" s="218" t="s">
        <v>48</v>
      </c>
      <c r="C3025" s="220" t="s">
        <v>4402</v>
      </c>
      <c r="D3025" s="220" t="s">
        <v>108</v>
      </c>
      <c r="E3025" s="165">
        <v>440</v>
      </c>
    </row>
    <row r="3026" spans="1:5" x14ac:dyDescent="0.25">
      <c r="A3026" s="216" t="s">
        <v>4551</v>
      </c>
      <c r="B3026" s="218" t="s">
        <v>48</v>
      </c>
      <c r="C3026" s="220" t="s">
        <v>4552</v>
      </c>
      <c r="D3026" s="220" t="s">
        <v>59</v>
      </c>
      <c r="E3026" s="165">
        <v>440</v>
      </c>
    </row>
    <row r="3027" spans="1:5" x14ac:dyDescent="0.25">
      <c r="A3027" s="216" t="s">
        <v>4323</v>
      </c>
      <c r="B3027" s="218">
        <v>1</v>
      </c>
      <c r="C3027" s="220" t="s">
        <v>3201</v>
      </c>
      <c r="D3027" s="220" t="s">
        <v>78</v>
      </c>
      <c r="E3027" s="165">
        <v>440</v>
      </c>
    </row>
    <row r="3028" spans="1:5" x14ac:dyDescent="0.25">
      <c r="A3028" s="216" t="s">
        <v>4632</v>
      </c>
      <c r="B3028" s="218">
        <v>1</v>
      </c>
      <c r="C3028" s="220" t="s">
        <v>4633</v>
      </c>
      <c r="D3028" s="220" t="s">
        <v>56</v>
      </c>
      <c r="E3028" s="165">
        <v>439</v>
      </c>
    </row>
    <row r="3029" spans="1:5" x14ac:dyDescent="0.25">
      <c r="A3029" s="216" t="s">
        <v>3052</v>
      </c>
      <c r="B3029" s="218">
        <v>1</v>
      </c>
      <c r="C3029" s="220" t="s">
        <v>2102</v>
      </c>
      <c r="D3029" s="220" t="s">
        <v>69</v>
      </c>
      <c r="E3029" s="165">
        <v>439</v>
      </c>
    </row>
    <row r="3030" spans="1:5" x14ac:dyDescent="0.25">
      <c r="A3030" s="216" t="s">
        <v>4316</v>
      </c>
      <c r="B3030" s="218" t="s">
        <v>48</v>
      </c>
      <c r="C3030" s="220" t="s">
        <v>727</v>
      </c>
      <c r="D3030" s="220" t="s">
        <v>66</v>
      </c>
      <c r="E3030" s="165">
        <v>439</v>
      </c>
    </row>
    <row r="3031" spans="1:5" x14ac:dyDescent="0.25">
      <c r="A3031" s="216" t="s">
        <v>4795</v>
      </c>
      <c r="B3031" s="218" t="s">
        <v>48</v>
      </c>
      <c r="C3031" s="220" t="s">
        <v>4483</v>
      </c>
      <c r="D3031" s="220" t="s">
        <v>139</v>
      </c>
      <c r="E3031" s="165">
        <v>439</v>
      </c>
    </row>
    <row r="3032" spans="1:5" x14ac:dyDescent="0.25">
      <c r="A3032" s="216" t="s">
        <v>4024</v>
      </c>
      <c r="B3032" s="218">
        <v>1</v>
      </c>
      <c r="C3032" s="220" t="s">
        <v>4025</v>
      </c>
      <c r="D3032" s="220" t="s">
        <v>118</v>
      </c>
      <c r="E3032" s="165">
        <v>439</v>
      </c>
    </row>
    <row r="3033" spans="1:5" x14ac:dyDescent="0.25">
      <c r="A3033" s="216" t="s">
        <v>4637</v>
      </c>
      <c r="B3033" s="218">
        <v>1</v>
      </c>
      <c r="C3033" s="220" t="s">
        <v>1856</v>
      </c>
      <c r="D3033" s="220" t="s">
        <v>56</v>
      </c>
      <c r="E3033" s="165">
        <v>439</v>
      </c>
    </row>
    <row r="3034" spans="1:5" x14ac:dyDescent="0.25">
      <c r="A3034" s="216" t="s">
        <v>9255</v>
      </c>
      <c r="B3034" s="218">
        <v>1</v>
      </c>
      <c r="C3034" s="220" t="s">
        <v>86</v>
      </c>
      <c r="D3034" s="220" t="s">
        <v>78</v>
      </c>
      <c r="E3034" s="165">
        <v>439</v>
      </c>
    </row>
    <row r="3035" spans="1:5" x14ac:dyDescent="0.25">
      <c r="A3035" s="216" t="s">
        <v>11138</v>
      </c>
      <c r="B3035" s="218">
        <v>1</v>
      </c>
      <c r="C3035" s="220" t="s">
        <v>11139</v>
      </c>
      <c r="D3035" s="220" t="s">
        <v>72</v>
      </c>
      <c r="E3035" s="165">
        <v>438</v>
      </c>
    </row>
    <row r="3036" spans="1:5" x14ac:dyDescent="0.25">
      <c r="A3036" s="216" t="s">
        <v>4462</v>
      </c>
      <c r="B3036" s="218">
        <v>1</v>
      </c>
      <c r="C3036" s="220" t="s">
        <v>845</v>
      </c>
      <c r="D3036" s="220" t="s">
        <v>66</v>
      </c>
      <c r="E3036" s="165">
        <v>438</v>
      </c>
    </row>
    <row r="3037" spans="1:5" x14ac:dyDescent="0.25">
      <c r="A3037" s="216" t="s">
        <v>4002</v>
      </c>
      <c r="B3037" s="218" t="s">
        <v>48</v>
      </c>
      <c r="C3037" s="220" t="s">
        <v>473</v>
      </c>
      <c r="D3037" s="220" t="s">
        <v>82</v>
      </c>
      <c r="E3037" s="165">
        <v>438</v>
      </c>
    </row>
    <row r="3038" spans="1:5" x14ac:dyDescent="0.25">
      <c r="A3038" s="216" t="s">
        <v>6694</v>
      </c>
      <c r="B3038" s="218" t="s">
        <v>48</v>
      </c>
      <c r="C3038" s="220" t="s">
        <v>238</v>
      </c>
      <c r="D3038" s="220" t="s">
        <v>98</v>
      </c>
      <c r="E3038" s="165">
        <v>437</v>
      </c>
    </row>
    <row r="3039" spans="1:5" x14ac:dyDescent="0.25">
      <c r="A3039" s="216" t="s">
        <v>11140</v>
      </c>
      <c r="B3039" s="218">
        <v>1</v>
      </c>
      <c r="C3039" s="220" t="s">
        <v>179</v>
      </c>
      <c r="D3039" s="220" t="s">
        <v>66</v>
      </c>
      <c r="E3039" s="165">
        <v>437</v>
      </c>
    </row>
    <row r="3040" spans="1:5" x14ac:dyDescent="0.25">
      <c r="A3040" s="216" t="s">
        <v>4547</v>
      </c>
      <c r="B3040" s="218">
        <v>1</v>
      </c>
      <c r="C3040" s="220" t="s">
        <v>4548</v>
      </c>
      <c r="D3040" s="220" t="s">
        <v>63</v>
      </c>
      <c r="E3040" s="165">
        <v>437</v>
      </c>
    </row>
    <row r="3041" spans="1:5" x14ac:dyDescent="0.25">
      <c r="A3041" s="216" t="s">
        <v>4817</v>
      </c>
      <c r="B3041" s="218" t="s">
        <v>48</v>
      </c>
      <c r="C3041" s="220" t="s">
        <v>841</v>
      </c>
      <c r="D3041" s="220" t="s">
        <v>130</v>
      </c>
      <c r="E3041" s="165">
        <v>437</v>
      </c>
    </row>
    <row r="3042" spans="1:5" x14ac:dyDescent="0.25">
      <c r="A3042" s="216" t="s">
        <v>5194</v>
      </c>
      <c r="B3042" s="218" t="s">
        <v>48</v>
      </c>
      <c r="C3042" s="220" t="s">
        <v>1427</v>
      </c>
      <c r="D3042" s="220" t="s">
        <v>206</v>
      </c>
      <c r="E3042" s="165">
        <v>437</v>
      </c>
    </row>
    <row r="3043" spans="1:5" x14ac:dyDescent="0.25">
      <c r="A3043" s="216" t="s">
        <v>4352</v>
      </c>
      <c r="B3043" s="218">
        <v>1</v>
      </c>
      <c r="C3043" s="220" t="s">
        <v>627</v>
      </c>
      <c r="D3043" s="220" t="s">
        <v>272</v>
      </c>
      <c r="E3043" s="165">
        <v>436</v>
      </c>
    </row>
    <row r="3044" spans="1:5" x14ac:dyDescent="0.25">
      <c r="A3044" s="216" t="s">
        <v>4011</v>
      </c>
      <c r="B3044" s="218">
        <v>1</v>
      </c>
      <c r="C3044" s="220" t="s">
        <v>4012</v>
      </c>
      <c r="D3044" s="220" t="s">
        <v>142</v>
      </c>
      <c r="E3044" s="165">
        <v>436</v>
      </c>
    </row>
    <row r="3045" spans="1:5" x14ac:dyDescent="0.25">
      <c r="A3045" s="216" t="s">
        <v>4819</v>
      </c>
      <c r="B3045" s="218">
        <v>1</v>
      </c>
      <c r="C3045" s="220" t="s">
        <v>4820</v>
      </c>
      <c r="D3045" s="220" t="s">
        <v>575</v>
      </c>
      <c r="E3045" s="165">
        <v>436</v>
      </c>
    </row>
    <row r="3046" spans="1:5" x14ac:dyDescent="0.25">
      <c r="A3046" s="216" t="s">
        <v>5059</v>
      </c>
      <c r="B3046" s="218" t="s">
        <v>48</v>
      </c>
      <c r="C3046" s="220" t="s">
        <v>2234</v>
      </c>
      <c r="D3046" s="220" t="s">
        <v>90</v>
      </c>
      <c r="E3046" s="165">
        <v>435</v>
      </c>
    </row>
    <row r="3047" spans="1:5" x14ac:dyDescent="0.25">
      <c r="A3047" s="216" t="s">
        <v>4758</v>
      </c>
      <c r="B3047" s="218">
        <v>1</v>
      </c>
      <c r="C3047" s="220" t="s">
        <v>404</v>
      </c>
      <c r="D3047" s="220" t="s">
        <v>277</v>
      </c>
      <c r="E3047" s="165">
        <v>435</v>
      </c>
    </row>
    <row r="3048" spans="1:5" x14ac:dyDescent="0.25">
      <c r="A3048" s="216" t="s">
        <v>4452</v>
      </c>
      <c r="B3048" s="218">
        <v>1</v>
      </c>
      <c r="C3048" s="220" t="s">
        <v>4453</v>
      </c>
      <c r="D3048" s="220" t="s">
        <v>69</v>
      </c>
      <c r="E3048" s="165">
        <v>435</v>
      </c>
    </row>
    <row r="3049" spans="1:5" x14ac:dyDescent="0.25">
      <c r="A3049" s="216" t="s">
        <v>4436</v>
      </c>
      <c r="B3049" s="218" t="s">
        <v>48</v>
      </c>
      <c r="C3049" s="220" t="s">
        <v>4437</v>
      </c>
      <c r="D3049" s="220" t="s">
        <v>166</v>
      </c>
      <c r="E3049" s="165">
        <v>435</v>
      </c>
    </row>
    <row r="3050" spans="1:5" x14ac:dyDescent="0.25">
      <c r="A3050" s="216" t="s">
        <v>4327</v>
      </c>
      <c r="B3050" s="218">
        <v>1</v>
      </c>
      <c r="C3050" s="220" t="s">
        <v>4328</v>
      </c>
      <c r="D3050" s="220" t="s">
        <v>774</v>
      </c>
      <c r="E3050" s="165">
        <v>434</v>
      </c>
    </row>
    <row r="3051" spans="1:5" x14ac:dyDescent="0.25">
      <c r="A3051" s="216" t="s">
        <v>3932</v>
      </c>
      <c r="B3051" s="218" t="s">
        <v>48</v>
      </c>
      <c r="C3051" s="220" t="s">
        <v>3933</v>
      </c>
      <c r="D3051" s="220" t="s">
        <v>201</v>
      </c>
      <c r="E3051" s="165">
        <v>434</v>
      </c>
    </row>
    <row r="3052" spans="1:5" x14ac:dyDescent="0.25">
      <c r="A3052" s="216" t="s">
        <v>4379</v>
      </c>
      <c r="B3052" s="218">
        <v>1</v>
      </c>
      <c r="C3052" s="220" t="s">
        <v>1551</v>
      </c>
      <c r="D3052" s="220" t="s">
        <v>50</v>
      </c>
      <c r="E3052" s="165">
        <v>434</v>
      </c>
    </row>
    <row r="3053" spans="1:5" x14ac:dyDescent="0.25">
      <c r="A3053" s="216" t="s">
        <v>5082</v>
      </c>
      <c r="B3053" s="218">
        <v>1</v>
      </c>
      <c r="C3053" s="220" t="s">
        <v>5083</v>
      </c>
      <c r="D3053" s="220" t="s">
        <v>264</v>
      </c>
      <c r="E3053" s="165">
        <v>434</v>
      </c>
    </row>
    <row r="3054" spans="1:5" x14ac:dyDescent="0.25">
      <c r="A3054" s="216" t="s">
        <v>6334</v>
      </c>
      <c r="B3054" s="218" t="s">
        <v>48</v>
      </c>
      <c r="C3054" s="220" t="s">
        <v>144</v>
      </c>
      <c r="D3054" s="220" t="s">
        <v>59</v>
      </c>
      <c r="E3054" s="165">
        <v>434</v>
      </c>
    </row>
    <row r="3055" spans="1:5" x14ac:dyDescent="0.25">
      <c r="A3055" s="216" t="s">
        <v>4658</v>
      </c>
      <c r="B3055" s="218" t="s">
        <v>48</v>
      </c>
      <c r="C3055" s="220" t="s">
        <v>831</v>
      </c>
      <c r="D3055" s="220" t="s">
        <v>378</v>
      </c>
      <c r="E3055" s="165">
        <v>434</v>
      </c>
    </row>
    <row r="3056" spans="1:5" x14ac:dyDescent="0.25">
      <c r="A3056" s="216" t="s">
        <v>4918</v>
      </c>
      <c r="B3056" s="218" t="s">
        <v>48</v>
      </c>
      <c r="C3056" s="220" t="s">
        <v>213</v>
      </c>
      <c r="D3056" s="220" t="s">
        <v>75</v>
      </c>
      <c r="E3056" s="165">
        <v>433</v>
      </c>
    </row>
    <row r="3057" spans="1:5" x14ac:dyDescent="0.25">
      <c r="A3057" s="216" t="s">
        <v>4620</v>
      </c>
      <c r="B3057" s="218" t="s">
        <v>48</v>
      </c>
      <c r="C3057" s="220" t="s">
        <v>4621</v>
      </c>
      <c r="D3057" s="220" t="s">
        <v>108</v>
      </c>
      <c r="E3057" s="165">
        <v>433</v>
      </c>
    </row>
    <row r="3058" spans="1:5" x14ac:dyDescent="0.25">
      <c r="A3058" s="216" t="s">
        <v>4269</v>
      </c>
      <c r="B3058" s="218">
        <v>1</v>
      </c>
      <c r="C3058" s="220" t="s">
        <v>810</v>
      </c>
      <c r="D3058" s="220" t="s">
        <v>394</v>
      </c>
      <c r="E3058" s="165">
        <v>432</v>
      </c>
    </row>
    <row r="3059" spans="1:5" x14ac:dyDescent="0.25">
      <c r="A3059" s="216" t="s">
        <v>3343</v>
      </c>
      <c r="B3059" s="218">
        <v>1</v>
      </c>
      <c r="C3059" s="220" t="s">
        <v>3344</v>
      </c>
      <c r="D3059" s="220" t="s">
        <v>222</v>
      </c>
      <c r="E3059" s="165">
        <v>432</v>
      </c>
    </row>
    <row r="3060" spans="1:5" x14ac:dyDescent="0.25">
      <c r="A3060" s="216" t="s">
        <v>4048</v>
      </c>
      <c r="B3060" s="218">
        <v>1</v>
      </c>
      <c r="C3060" s="220" t="s">
        <v>4049</v>
      </c>
      <c r="D3060" s="220" t="s">
        <v>72</v>
      </c>
      <c r="E3060" s="165">
        <v>432</v>
      </c>
    </row>
    <row r="3061" spans="1:5" x14ac:dyDescent="0.25">
      <c r="A3061" s="216" t="s">
        <v>5172</v>
      </c>
      <c r="B3061" s="218">
        <v>1</v>
      </c>
      <c r="C3061" s="220" t="s">
        <v>1017</v>
      </c>
      <c r="D3061" s="220" t="s">
        <v>337</v>
      </c>
      <c r="E3061" s="165">
        <v>432</v>
      </c>
    </row>
    <row r="3062" spans="1:5" x14ac:dyDescent="0.25">
      <c r="A3062" s="216" t="s">
        <v>4432</v>
      </c>
      <c r="B3062" s="218">
        <v>1</v>
      </c>
      <c r="C3062" s="220" t="s">
        <v>1513</v>
      </c>
      <c r="D3062" s="220" t="s">
        <v>188</v>
      </c>
      <c r="E3062" s="165">
        <v>432</v>
      </c>
    </row>
    <row r="3063" spans="1:5" x14ac:dyDescent="0.25">
      <c r="A3063" s="216" t="s">
        <v>4060</v>
      </c>
      <c r="B3063" s="218" t="s">
        <v>48</v>
      </c>
      <c r="C3063" s="220" t="s">
        <v>135</v>
      </c>
      <c r="D3063" s="220" t="s">
        <v>108</v>
      </c>
      <c r="E3063" s="165">
        <v>432</v>
      </c>
    </row>
    <row r="3064" spans="1:5" x14ac:dyDescent="0.25">
      <c r="A3064" s="216" t="s">
        <v>4451</v>
      </c>
      <c r="B3064" s="218">
        <v>1</v>
      </c>
      <c r="C3064" s="220" t="s">
        <v>3201</v>
      </c>
      <c r="D3064" s="220" t="s">
        <v>78</v>
      </c>
      <c r="E3064" s="165">
        <v>431</v>
      </c>
    </row>
    <row r="3065" spans="1:5" x14ac:dyDescent="0.25">
      <c r="A3065" s="216" t="s">
        <v>4695</v>
      </c>
      <c r="B3065" s="218" t="s">
        <v>48</v>
      </c>
      <c r="C3065" s="220" t="s">
        <v>4696</v>
      </c>
      <c r="D3065" s="220" t="s">
        <v>108</v>
      </c>
      <c r="E3065" s="165">
        <v>431</v>
      </c>
    </row>
    <row r="3066" spans="1:5" x14ac:dyDescent="0.25">
      <c r="A3066" s="216" t="s">
        <v>3891</v>
      </c>
      <c r="B3066" s="218">
        <v>1</v>
      </c>
      <c r="C3066" s="220" t="s">
        <v>496</v>
      </c>
      <c r="D3066" s="220" t="s">
        <v>277</v>
      </c>
      <c r="E3066" s="165">
        <v>431</v>
      </c>
    </row>
    <row r="3067" spans="1:5" x14ac:dyDescent="0.25">
      <c r="A3067" s="216" t="s">
        <v>3917</v>
      </c>
      <c r="B3067" s="218" t="s">
        <v>48</v>
      </c>
      <c r="C3067" s="220" t="s">
        <v>1047</v>
      </c>
      <c r="D3067" s="220" t="s">
        <v>53</v>
      </c>
      <c r="E3067" s="165">
        <v>431</v>
      </c>
    </row>
    <row r="3068" spans="1:5" x14ac:dyDescent="0.25">
      <c r="A3068" s="216" t="s">
        <v>4146</v>
      </c>
      <c r="B3068" s="218">
        <v>1</v>
      </c>
      <c r="C3068" s="220" t="s">
        <v>2223</v>
      </c>
      <c r="D3068" s="220" t="s">
        <v>277</v>
      </c>
      <c r="E3068" s="165">
        <v>430</v>
      </c>
    </row>
    <row r="3069" spans="1:5" x14ac:dyDescent="0.25">
      <c r="A3069" s="216" t="s">
        <v>4470</v>
      </c>
      <c r="B3069" s="218">
        <v>1</v>
      </c>
      <c r="C3069" s="220" t="s">
        <v>3716</v>
      </c>
      <c r="D3069" s="220" t="s">
        <v>69</v>
      </c>
      <c r="E3069" s="165">
        <v>430</v>
      </c>
    </row>
    <row r="3070" spans="1:5" x14ac:dyDescent="0.25">
      <c r="A3070" s="216" t="s">
        <v>8709</v>
      </c>
      <c r="B3070" s="218" t="s">
        <v>48</v>
      </c>
      <c r="C3070" s="220" t="s">
        <v>121</v>
      </c>
      <c r="D3070" s="220" t="s">
        <v>56</v>
      </c>
      <c r="E3070" s="165">
        <v>430</v>
      </c>
    </row>
    <row r="3071" spans="1:5" x14ac:dyDescent="0.25">
      <c r="A3071" s="216" t="s">
        <v>4472</v>
      </c>
      <c r="B3071" s="218">
        <v>1</v>
      </c>
      <c r="C3071" s="220" t="s">
        <v>245</v>
      </c>
      <c r="D3071" s="220" t="s">
        <v>69</v>
      </c>
      <c r="E3071" s="165">
        <v>430</v>
      </c>
    </row>
    <row r="3072" spans="1:5" x14ac:dyDescent="0.25">
      <c r="A3072" s="216" t="s">
        <v>4686</v>
      </c>
      <c r="B3072" s="218">
        <v>1</v>
      </c>
      <c r="C3072" s="220" t="s">
        <v>2218</v>
      </c>
      <c r="D3072" s="220" t="s">
        <v>56</v>
      </c>
      <c r="E3072" s="165">
        <v>430</v>
      </c>
    </row>
    <row r="3073" spans="1:5" x14ac:dyDescent="0.25">
      <c r="A3073" s="216" t="s">
        <v>6480</v>
      </c>
      <c r="B3073" s="218">
        <v>1</v>
      </c>
      <c r="C3073" s="220" t="s">
        <v>505</v>
      </c>
      <c r="D3073" s="220" t="s">
        <v>130</v>
      </c>
      <c r="E3073" s="165">
        <v>430</v>
      </c>
    </row>
    <row r="3074" spans="1:5" x14ac:dyDescent="0.25">
      <c r="A3074" s="216" t="s">
        <v>4611</v>
      </c>
      <c r="B3074" s="218">
        <v>1</v>
      </c>
      <c r="C3074" s="220" t="s">
        <v>990</v>
      </c>
      <c r="D3074" s="220" t="s">
        <v>63</v>
      </c>
      <c r="E3074" s="165">
        <v>430</v>
      </c>
    </row>
    <row r="3075" spans="1:5" x14ac:dyDescent="0.25">
      <c r="A3075" s="216" t="s">
        <v>5379</v>
      </c>
      <c r="B3075" s="218" t="s">
        <v>48</v>
      </c>
      <c r="C3075" s="220" t="s">
        <v>605</v>
      </c>
      <c r="D3075" s="220" t="s">
        <v>585</v>
      </c>
      <c r="E3075" s="165">
        <v>429</v>
      </c>
    </row>
    <row r="3076" spans="1:5" x14ac:dyDescent="0.25">
      <c r="A3076" s="216" t="s">
        <v>4510</v>
      </c>
      <c r="B3076" s="218">
        <v>1</v>
      </c>
      <c r="C3076" s="220" t="s">
        <v>2487</v>
      </c>
      <c r="D3076" s="220" t="s">
        <v>66</v>
      </c>
      <c r="E3076" s="165">
        <v>429</v>
      </c>
    </row>
    <row r="3077" spans="1:5" x14ac:dyDescent="0.25">
      <c r="A3077" s="216" t="s">
        <v>4536</v>
      </c>
      <c r="B3077" s="218">
        <v>1</v>
      </c>
      <c r="C3077" s="220" t="s">
        <v>4537</v>
      </c>
      <c r="D3077" s="220" t="s">
        <v>192</v>
      </c>
      <c r="E3077" s="165">
        <v>429</v>
      </c>
    </row>
    <row r="3078" spans="1:5" x14ac:dyDescent="0.25">
      <c r="A3078" s="216" t="s">
        <v>10645</v>
      </c>
      <c r="B3078" s="218">
        <v>1</v>
      </c>
      <c r="C3078" s="220" t="s">
        <v>11141</v>
      </c>
      <c r="D3078" s="220" t="s">
        <v>50</v>
      </c>
      <c r="E3078" s="165">
        <v>429</v>
      </c>
    </row>
    <row r="3079" spans="1:5" x14ac:dyDescent="0.25">
      <c r="A3079" s="216" t="s">
        <v>4553</v>
      </c>
      <c r="B3079" s="218">
        <v>1</v>
      </c>
      <c r="C3079" s="220" t="s">
        <v>1168</v>
      </c>
      <c r="D3079" s="220" t="s">
        <v>192</v>
      </c>
      <c r="E3079" s="165">
        <v>428</v>
      </c>
    </row>
    <row r="3080" spans="1:5" x14ac:dyDescent="0.25">
      <c r="A3080" s="216" t="s">
        <v>4490</v>
      </c>
      <c r="B3080" s="218" t="s">
        <v>48</v>
      </c>
      <c r="C3080" s="220" t="s">
        <v>3514</v>
      </c>
      <c r="D3080" s="220" t="s">
        <v>108</v>
      </c>
      <c r="E3080" s="165">
        <v>428</v>
      </c>
    </row>
    <row r="3081" spans="1:5" x14ac:dyDescent="0.25">
      <c r="A3081" s="216" t="s">
        <v>5050</v>
      </c>
      <c r="B3081" s="218" t="s">
        <v>48</v>
      </c>
      <c r="C3081" s="220" t="s">
        <v>238</v>
      </c>
      <c r="D3081" s="220" t="s">
        <v>59</v>
      </c>
      <c r="E3081" s="165">
        <v>428</v>
      </c>
    </row>
    <row r="3082" spans="1:5" x14ac:dyDescent="0.25">
      <c r="A3082" s="216" t="s">
        <v>4609</v>
      </c>
      <c r="B3082" s="218">
        <v>1</v>
      </c>
      <c r="C3082" s="220" t="s">
        <v>1268</v>
      </c>
      <c r="D3082" s="220" t="s">
        <v>63</v>
      </c>
      <c r="E3082" s="165">
        <v>428</v>
      </c>
    </row>
    <row r="3083" spans="1:5" x14ac:dyDescent="0.25">
      <c r="A3083" s="216" t="s">
        <v>4457</v>
      </c>
      <c r="B3083" s="218">
        <v>1</v>
      </c>
      <c r="C3083" s="220" t="s">
        <v>665</v>
      </c>
      <c r="D3083" s="220" t="s">
        <v>188</v>
      </c>
      <c r="E3083" s="165">
        <v>428</v>
      </c>
    </row>
    <row r="3084" spans="1:5" x14ac:dyDescent="0.25">
      <c r="A3084" s="216" t="s">
        <v>4343</v>
      </c>
      <c r="B3084" s="218" t="s">
        <v>48</v>
      </c>
      <c r="C3084" s="220" t="s">
        <v>1538</v>
      </c>
      <c r="D3084" s="220" t="s">
        <v>87</v>
      </c>
      <c r="E3084" s="165">
        <v>427</v>
      </c>
    </row>
    <row r="3085" spans="1:5" x14ac:dyDescent="0.25">
      <c r="A3085" s="216" t="s">
        <v>4987</v>
      </c>
      <c r="B3085" s="218" t="s">
        <v>48</v>
      </c>
      <c r="C3085" s="220" t="s">
        <v>443</v>
      </c>
      <c r="D3085" s="220" t="s">
        <v>166</v>
      </c>
      <c r="E3085" s="165">
        <v>427</v>
      </c>
    </row>
    <row r="3086" spans="1:5" x14ac:dyDescent="0.25">
      <c r="A3086" s="216" t="s">
        <v>11142</v>
      </c>
      <c r="B3086" s="218">
        <v>1</v>
      </c>
      <c r="C3086" s="220" t="s">
        <v>2811</v>
      </c>
      <c r="D3086" s="220" t="s">
        <v>177</v>
      </c>
      <c r="E3086" s="165">
        <v>427</v>
      </c>
    </row>
    <row r="3087" spans="1:5" x14ac:dyDescent="0.25">
      <c r="A3087" s="216" t="s">
        <v>4623</v>
      </c>
      <c r="B3087" s="218">
        <v>1</v>
      </c>
      <c r="C3087" s="220" t="s">
        <v>4624</v>
      </c>
      <c r="D3087" s="220" t="s">
        <v>63</v>
      </c>
      <c r="E3087" s="165">
        <v>427</v>
      </c>
    </row>
    <row r="3088" spans="1:5" x14ac:dyDescent="0.25">
      <c r="A3088" s="216" t="s">
        <v>4625</v>
      </c>
      <c r="B3088" s="218">
        <v>1</v>
      </c>
      <c r="C3088" s="220" t="s">
        <v>4626</v>
      </c>
      <c r="D3088" s="220" t="s">
        <v>63</v>
      </c>
      <c r="E3088" s="165">
        <v>427</v>
      </c>
    </row>
    <row r="3089" spans="1:5" x14ac:dyDescent="0.25">
      <c r="A3089" s="216" t="s">
        <v>11143</v>
      </c>
      <c r="B3089" s="218">
        <v>1</v>
      </c>
      <c r="C3089" s="220" t="s">
        <v>2655</v>
      </c>
      <c r="D3089" s="220" t="s">
        <v>394</v>
      </c>
      <c r="E3089" s="165">
        <v>427</v>
      </c>
    </row>
    <row r="3090" spans="1:5" x14ac:dyDescent="0.25">
      <c r="A3090" s="216" t="s">
        <v>4690</v>
      </c>
      <c r="B3090" s="218">
        <v>1</v>
      </c>
      <c r="C3090" s="220" t="s">
        <v>607</v>
      </c>
      <c r="D3090" s="220" t="s">
        <v>69</v>
      </c>
      <c r="E3090" s="165">
        <v>427</v>
      </c>
    </row>
    <row r="3091" spans="1:5" x14ac:dyDescent="0.25">
      <c r="A3091" s="216" t="s">
        <v>4589</v>
      </c>
      <c r="B3091" s="218">
        <v>1</v>
      </c>
      <c r="C3091" s="220" t="s">
        <v>4590</v>
      </c>
      <c r="D3091" s="220" t="s">
        <v>222</v>
      </c>
      <c r="E3091" s="165">
        <v>427</v>
      </c>
    </row>
    <row r="3092" spans="1:5" x14ac:dyDescent="0.25">
      <c r="A3092" s="216" t="s">
        <v>4807</v>
      </c>
      <c r="B3092" s="218" t="s">
        <v>48</v>
      </c>
      <c r="C3092" s="220" t="s">
        <v>4786</v>
      </c>
      <c r="D3092" s="220" t="s">
        <v>59</v>
      </c>
      <c r="E3092" s="165">
        <v>426</v>
      </c>
    </row>
    <row r="3093" spans="1:5" x14ac:dyDescent="0.25">
      <c r="A3093" s="216" t="s">
        <v>11144</v>
      </c>
      <c r="B3093" s="218" t="s">
        <v>48</v>
      </c>
      <c r="C3093" s="220" t="s">
        <v>121</v>
      </c>
      <c r="D3093" s="220" t="s">
        <v>56</v>
      </c>
      <c r="E3093" s="165">
        <v>426</v>
      </c>
    </row>
    <row r="3094" spans="1:5" x14ac:dyDescent="0.25">
      <c r="A3094" s="216" t="s">
        <v>4326</v>
      </c>
      <c r="B3094" s="218">
        <v>1</v>
      </c>
      <c r="C3094" s="220" t="s">
        <v>2015</v>
      </c>
      <c r="D3094" s="220" t="s">
        <v>142</v>
      </c>
      <c r="E3094" s="165">
        <v>426</v>
      </c>
    </row>
    <row r="3095" spans="1:5" x14ac:dyDescent="0.25">
      <c r="A3095" s="216" t="s">
        <v>5028</v>
      </c>
      <c r="B3095" s="218">
        <v>1</v>
      </c>
      <c r="C3095" s="220" t="s">
        <v>2432</v>
      </c>
      <c r="D3095" s="220" t="s">
        <v>66</v>
      </c>
      <c r="E3095" s="165">
        <v>426</v>
      </c>
    </row>
    <row r="3096" spans="1:5" x14ac:dyDescent="0.25">
      <c r="A3096" s="216" t="s">
        <v>4679</v>
      </c>
      <c r="B3096" s="218" t="s">
        <v>48</v>
      </c>
      <c r="C3096" s="220" t="s">
        <v>283</v>
      </c>
      <c r="D3096" s="220" t="s">
        <v>59</v>
      </c>
      <c r="E3096" s="165">
        <v>426</v>
      </c>
    </row>
    <row r="3097" spans="1:5" x14ac:dyDescent="0.25">
      <c r="A3097" s="216" t="s">
        <v>4770</v>
      </c>
      <c r="B3097" s="218">
        <v>1</v>
      </c>
      <c r="C3097" s="220" t="s">
        <v>570</v>
      </c>
      <c r="D3097" s="220" t="s">
        <v>87</v>
      </c>
      <c r="E3097" s="165">
        <v>425</v>
      </c>
    </row>
    <row r="3098" spans="1:5" x14ac:dyDescent="0.25">
      <c r="A3098" s="216" t="s">
        <v>4107</v>
      </c>
      <c r="B3098" s="218">
        <v>1</v>
      </c>
      <c r="C3098" s="220" t="s">
        <v>4108</v>
      </c>
      <c r="D3098" s="220" t="s">
        <v>113</v>
      </c>
      <c r="E3098" s="165">
        <v>425</v>
      </c>
    </row>
    <row r="3099" spans="1:5" x14ac:dyDescent="0.25">
      <c r="A3099" s="216" t="s">
        <v>4488</v>
      </c>
      <c r="B3099" s="218">
        <v>1</v>
      </c>
      <c r="C3099" s="220" t="s">
        <v>4489</v>
      </c>
      <c r="D3099" s="220" t="s">
        <v>72</v>
      </c>
      <c r="E3099" s="165">
        <v>425</v>
      </c>
    </row>
    <row r="3100" spans="1:5" x14ac:dyDescent="0.25">
      <c r="A3100" s="216" t="s">
        <v>4555</v>
      </c>
      <c r="B3100" s="218">
        <v>1</v>
      </c>
      <c r="C3100" s="220" t="s">
        <v>2021</v>
      </c>
      <c r="D3100" s="220" t="s">
        <v>66</v>
      </c>
      <c r="E3100" s="165">
        <v>425</v>
      </c>
    </row>
    <row r="3101" spans="1:5" x14ac:dyDescent="0.25">
      <c r="A3101" s="216" t="s">
        <v>8354</v>
      </c>
      <c r="B3101" s="218">
        <v>1</v>
      </c>
      <c r="C3101" s="220" t="s">
        <v>8355</v>
      </c>
      <c r="D3101" s="220" t="s">
        <v>378</v>
      </c>
      <c r="E3101" s="165">
        <v>425</v>
      </c>
    </row>
    <row r="3102" spans="1:5" x14ac:dyDescent="0.25">
      <c r="A3102" s="216" t="s">
        <v>4802</v>
      </c>
      <c r="B3102" s="218" t="s">
        <v>48</v>
      </c>
      <c r="C3102" s="220" t="s">
        <v>4803</v>
      </c>
      <c r="D3102" s="220" t="s">
        <v>75</v>
      </c>
      <c r="E3102" s="165">
        <v>424</v>
      </c>
    </row>
    <row r="3103" spans="1:5" x14ac:dyDescent="0.25">
      <c r="A3103" s="216" t="s">
        <v>4337</v>
      </c>
      <c r="B3103" s="218" t="s">
        <v>48</v>
      </c>
      <c r="C3103" s="220" t="s">
        <v>323</v>
      </c>
      <c r="D3103" s="220" t="s">
        <v>236</v>
      </c>
      <c r="E3103" s="165">
        <v>424</v>
      </c>
    </row>
    <row r="3104" spans="1:5" x14ac:dyDescent="0.25">
      <c r="A3104" s="216" t="s">
        <v>5640</v>
      </c>
      <c r="B3104" s="218" t="s">
        <v>48</v>
      </c>
      <c r="C3104" s="220" t="s">
        <v>5641</v>
      </c>
      <c r="D3104" s="220" t="s">
        <v>108</v>
      </c>
      <c r="E3104" s="165">
        <v>423</v>
      </c>
    </row>
    <row r="3105" spans="1:5" x14ac:dyDescent="0.25">
      <c r="A3105" s="216" t="s">
        <v>4375</v>
      </c>
      <c r="B3105" s="218">
        <v>1</v>
      </c>
      <c r="C3105" s="220" t="s">
        <v>4376</v>
      </c>
      <c r="D3105" s="220" t="s">
        <v>93</v>
      </c>
      <c r="E3105" s="165">
        <v>423</v>
      </c>
    </row>
    <row r="3106" spans="1:5" x14ac:dyDescent="0.25">
      <c r="A3106" s="216" t="s">
        <v>4129</v>
      </c>
      <c r="B3106" s="218" t="s">
        <v>48</v>
      </c>
      <c r="C3106" s="220" t="s">
        <v>283</v>
      </c>
      <c r="D3106" s="220" t="s">
        <v>59</v>
      </c>
      <c r="E3106" s="165">
        <v>423</v>
      </c>
    </row>
    <row r="3107" spans="1:5" x14ac:dyDescent="0.25">
      <c r="A3107" s="216" t="s">
        <v>4438</v>
      </c>
      <c r="B3107" s="218">
        <v>1</v>
      </c>
      <c r="C3107" s="220" t="s">
        <v>4439</v>
      </c>
      <c r="D3107" s="220" t="s">
        <v>50</v>
      </c>
      <c r="E3107" s="165">
        <v>422</v>
      </c>
    </row>
    <row r="3108" spans="1:5" x14ac:dyDescent="0.25">
      <c r="A3108" s="216" t="s">
        <v>4473</v>
      </c>
      <c r="B3108" s="218">
        <v>1</v>
      </c>
      <c r="C3108" s="220" t="s">
        <v>1647</v>
      </c>
      <c r="D3108" s="220" t="s">
        <v>98</v>
      </c>
      <c r="E3108" s="165">
        <v>421</v>
      </c>
    </row>
    <row r="3109" spans="1:5" x14ac:dyDescent="0.25">
      <c r="A3109" s="216" t="s">
        <v>4187</v>
      </c>
      <c r="B3109" s="218">
        <v>1</v>
      </c>
      <c r="C3109" s="220" t="s">
        <v>4188</v>
      </c>
      <c r="D3109" s="220" t="s">
        <v>98</v>
      </c>
      <c r="E3109" s="165">
        <v>421</v>
      </c>
    </row>
    <row r="3110" spans="1:5" x14ac:dyDescent="0.25">
      <c r="A3110" s="216" t="s">
        <v>4773</v>
      </c>
      <c r="B3110" s="218" t="s">
        <v>48</v>
      </c>
      <c r="C3110" s="220" t="s">
        <v>1047</v>
      </c>
      <c r="D3110" s="220" t="s">
        <v>75</v>
      </c>
      <c r="E3110" s="165">
        <v>421</v>
      </c>
    </row>
    <row r="3111" spans="1:5" x14ac:dyDescent="0.25">
      <c r="A3111" s="216" t="s">
        <v>10812</v>
      </c>
      <c r="B3111" s="218">
        <v>1</v>
      </c>
      <c r="C3111" s="220" t="s">
        <v>735</v>
      </c>
      <c r="D3111" s="220" t="s">
        <v>105</v>
      </c>
      <c r="E3111" s="165">
        <v>421</v>
      </c>
    </row>
    <row r="3112" spans="1:5" x14ac:dyDescent="0.25">
      <c r="A3112" s="216" t="s">
        <v>5102</v>
      </c>
      <c r="B3112" s="218" t="s">
        <v>48</v>
      </c>
      <c r="C3112" s="220" t="s">
        <v>5103</v>
      </c>
      <c r="D3112" s="220" t="s">
        <v>206</v>
      </c>
      <c r="E3112" s="165">
        <v>421</v>
      </c>
    </row>
    <row r="3113" spans="1:5" x14ac:dyDescent="0.25">
      <c r="A3113" s="216" t="s">
        <v>4619</v>
      </c>
      <c r="B3113" s="218">
        <v>1</v>
      </c>
      <c r="C3113" s="220" t="s">
        <v>1732</v>
      </c>
      <c r="D3113" s="220" t="s">
        <v>192</v>
      </c>
      <c r="E3113" s="165">
        <v>420</v>
      </c>
    </row>
    <row r="3114" spans="1:5" x14ac:dyDescent="0.25">
      <c r="A3114" s="216" t="s">
        <v>3282</v>
      </c>
      <c r="B3114" s="218" t="s">
        <v>48</v>
      </c>
      <c r="C3114" s="220" t="s">
        <v>1455</v>
      </c>
      <c r="D3114" s="220" t="s">
        <v>50</v>
      </c>
      <c r="E3114" s="165">
        <v>420</v>
      </c>
    </row>
    <row r="3115" spans="1:5" x14ac:dyDescent="0.25">
      <c r="A3115" s="216" t="s">
        <v>6350</v>
      </c>
      <c r="B3115" s="218" t="s">
        <v>48</v>
      </c>
      <c r="C3115" s="220" t="s">
        <v>1810</v>
      </c>
      <c r="D3115" s="220" t="s">
        <v>75</v>
      </c>
      <c r="E3115" s="165">
        <v>420</v>
      </c>
    </row>
    <row r="3116" spans="1:5" x14ac:dyDescent="0.25">
      <c r="A3116" s="216" t="s">
        <v>4414</v>
      </c>
      <c r="B3116" s="218">
        <v>1</v>
      </c>
      <c r="C3116" s="220" t="s">
        <v>141</v>
      </c>
      <c r="D3116" s="220" t="s">
        <v>142</v>
      </c>
      <c r="E3116" s="165">
        <v>420</v>
      </c>
    </row>
    <row r="3117" spans="1:5" x14ac:dyDescent="0.25">
      <c r="A3117" s="216" t="s">
        <v>4793</v>
      </c>
      <c r="B3117" s="218" t="s">
        <v>48</v>
      </c>
      <c r="C3117" s="220" t="s">
        <v>1604</v>
      </c>
      <c r="D3117" s="220" t="s">
        <v>66</v>
      </c>
      <c r="E3117" s="165">
        <v>420</v>
      </c>
    </row>
    <row r="3118" spans="1:5" x14ac:dyDescent="0.25">
      <c r="A3118" s="216" t="s">
        <v>11145</v>
      </c>
      <c r="B3118" s="218" t="s">
        <v>48</v>
      </c>
      <c r="C3118" s="220" t="s">
        <v>4194</v>
      </c>
      <c r="D3118" s="220" t="s">
        <v>66</v>
      </c>
      <c r="E3118" s="165">
        <v>420</v>
      </c>
    </row>
    <row r="3119" spans="1:5" x14ac:dyDescent="0.25">
      <c r="A3119" s="216" t="s">
        <v>4966</v>
      </c>
      <c r="B3119" s="218" t="s">
        <v>48</v>
      </c>
      <c r="C3119" s="220" t="s">
        <v>4967</v>
      </c>
      <c r="D3119" s="220" t="s">
        <v>63</v>
      </c>
      <c r="E3119" s="165">
        <v>420</v>
      </c>
    </row>
    <row r="3120" spans="1:5" x14ac:dyDescent="0.25">
      <c r="A3120" s="216" t="s">
        <v>4416</v>
      </c>
      <c r="B3120" s="218" t="s">
        <v>48</v>
      </c>
      <c r="C3120" s="220" t="s">
        <v>4417</v>
      </c>
      <c r="D3120" s="220" t="s">
        <v>87</v>
      </c>
      <c r="E3120" s="165">
        <v>420</v>
      </c>
    </row>
    <row r="3121" spans="1:5" x14ac:dyDescent="0.25">
      <c r="A3121" s="216" t="s">
        <v>4300</v>
      </c>
      <c r="B3121" s="218" t="s">
        <v>48</v>
      </c>
      <c r="C3121" s="220" t="s">
        <v>86</v>
      </c>
      <c r="D3121" s="220" t="s">
        <v>78</v>
      </c>
      <c r="E3121" s="165">
        <v>420</v>
      </c>
    </row>
    <row r="3122" spans="1:5" x14ac:dyDescent="0.25">
      <c r="A3122" s="216" t="s">
        <v>4762</v>
      </c>
      <c r="B3122" s="218" t="s">
        <v>48</v>
      </c>
      <c r="C3122" s="220" t="s">
        <v>1877</v>
      </c>
      <c r="D3122" s="220" t="s">
        <v>56</v>
      </c>
      <c r="E3122" s="165">
        <v>420</v>
      </c>
    </row>
    <row r="3123" spans="1:5" x14ac:dyDescent="0.25">
      <c r="A3123" s="216" t="s">
        <v>11146</v>
      </c>
      <c r="B3123" s="218" t="s">
        <v>48</v>
      </c>
      <c r="C3123" s="220" t="s">
        <v>68</v>
      </c>
      <c r="D3123" s="220" t="s">
        <v>63</v>
      </c>
      <c r="E3123" s="165">
        <v>420</v>
      </c>
    </row>
    <row r="3124" spans="1:5" x14ac:dyDescent="0.25">
      <c r="A3124" s="216" t="s">
        <v>4699</v>
      </c>
      <c r="B3124" s="218">
        <v>1</v>
      </c>
      <c r="C3124" s="220" t="s">
        <v>1105</v>
      </c>
      <c r="D3124" s="220" t="s">
        <v>50</v>
      </c>
      <c r="E3124" s="165">
        <v>420</v>
      </c>
    </row>
    <row r="3125" spans="1:5" x14ac:dyDescent="0.25">
      <c r="A3125" s="216" t="s">
        <v>5814</v>
      </c>
      <c r="B3125" s="218" t="s">
        <v>48</v>
      </c>
      <c r="C3125" s="220" t="s">
        <v>5815</v>
      </c>
      <c r="D3125" s="220" t="s">
        <v>192</v>
      </c>
      <c r="E3125" s="165">
        <v>420</v>
      </c>
    </row>
    <row r="3126" spans="1:5" x14ac:dyDescent="0.25">
      <c r="A3126" s="216" t="s">
        <v>5460</v>
      </c>
      <c r="B3126" s="218" t="s">
        <v>48</v>
      </c>
      <c r="C3126" s="220" t="s">
        <v>3046</v>
      </c>
      <c r="D3126" s="220" t="s">
        <v>222</v>
      </c>
      <c r="E3126" s="165">
        <v>419</v>
      </c>
    </row>
    <row r="3127" spans="1:5" x14ac:dyDescent="0.25">
      <c r="A3127" s="216" t="s">
        <v>4688</v>
      </c>
      <c r="B3127" s="218">
        <v>1</v>
      </c>
      <c r="C3127" s="220" t="s">
        <v>4689</v>
      </c>
      <c r="D3127" s="220" t="s">
        <v>63</v>
      </c>
      <c r="E3127" s="165">
        <v>419</v>
      </c>
    </row>
    <row r="3128" spans="1:5" x14ac:dyDescent="0.25">
      <c r="A3128" s="216" t="s">
        <v>5200</v>
      </c>
      <c r="B3128" s="218">
        <v>1</v>
      </c>
      <c r="C3128" s="220" t="s">
        <v>634</v>
      </c>
      <c r="D3128" s="220" t="s">
        <v>264</v>
      </c>
      <c r="E3128" s="165">
        <v>419</v>
      </c>
    </row>
    <row r="3129" spans="1:5" x14ac:dyDescent="0.25">
      <c r="A3129" s="216" t="s">
        <v>6201</v>
      </c>
      <c r="B3129" s="218" t="s">
        <v>48</v>
      </c>
      <c r="C3129" s="220" t="s">
        <v>477</v>
      </c>
      <c r="D3129" s="220" t="s">
        <v>56</v>
      </c>
      <c r="E3129" s="165">
        <v>419</v>
      </c>
    </row>
    <row r="3130" spans="1:5" x14ac:dyDescent="0.25">
      <c r="A3130" s="216" t="s">
        <v>3643</v>
      </c>
      <c r="B3130" s="218" t="s">
        <v>48</v>
      </c>
      <c r="C3130" s="220" t="s">
        <v>89</v>
      </c>
      <c r="D3130" s="220" t="s">
        <v>90</v>
      </c>
      <c r="E3130" s="165">
        <v>418</v>
      </c>
    </row>
    <row r="3131" spans="1:5" x14ac:dyDescent="0.25">
      <c r="A3131" s="216" t="s">
        <v>5088</v>
      </c>
      <c r="B3131" s="218" t="s">
        <v>48</v>
      </c>
      <c r="C3131" s="220" t="s">
        <v>5089</v>
      </c>
      <c r="D3131" s="220" t="s">
        <v>108</v>
      </c>
      <c r="E3131" s="165">
        <v>418</v>
      </c>
    </row>
    <row r="3132" spans="1:5" x14ac:dyDescent="0.25">
      <c r="A3132" s="216" t="s">
        <v>4577</v>
      </c>
      <c r="B3132" s="218">
        <v>1</v>
      </c>
      <c r="C3132" s="220" t="s">
        <v>1391</v>
      </c>
      <c r="D3132" s="220" t="s">
        <v>66</v>
      </c>
      <c r="E3132" s="165">
        <v>418</v>
      </c>
    </row>
    <row r="3133" spans="1:5" x14ac:dyDescent="0.25">
      <c r="A3133" s="216" t="s">
        <v>4808</v>
      </c>
      <c r="B3133" s="218">
        <v>1</v>
      </c>
      <c r="C3133" s="220" t="s">
        <v>475</v>
      </c>
      <c r="D3133" s="220" t="s">
        <v>188</v>
      </c>
      <c r="E3133" s="165">
        <v>418</v>
      </c>
    </row>
    <row r="3134" spans="1:5" x14ac:dyDescent="0.25">
      <c r="A3134" s="216" t="s">
        <v>5399</v>
      </c>
      <c r="B3134" s="218">
        <v>1</v>
      </c>
      <c r="C3134" s="220" t="s">
        <v>2774</v>
      </c>
      <c r="D3134" s="220" t="s">
        <v>523</v>
      </c>
      <c r="E3134" s="165">
        <v>418</v>
      </c>
    </row>
    <row r="3135" spans="1:5" x14ac:dyDescent="0.25">
      <c r="A3135" s="216" t="s">
        <v>4789</v>
      </c>
      <c r="B3135" s="218">
        <v>1</v>
      </c>
      <c r="C3135" s="220" t="s">
        <v>984</v>
      </c>
      <c r="D3135" s="220" t="s">
        <v>56</v>
      </c>
      <c r="E3135" s="165">
        <v>418</v>
      </c>
    </row>
    <row r="3136" spans="1:5" x14ac:dyDescent="0.25">
      <c r="A3136" s="216" t="s">
        <v>8570</v>
      </c>
      <c r="B3136" s="218">
        <v>1</v>
      </c>
      <c r="C3136" s="220" t="s">
        <v>8571</v>
      </c>
      <c r="D3136" s="220" t="s">
        <v>56</v>
      </c>
      <c r="E3136" s="165">
        <v>418</v>
      </c>
    </row>
    <row r="3137" spans="1:5" x14ac:dyDescent="0.25">
      <c r="A3137" s="216" t="s">
        <v>3955</v>
      </c>
      <c r="B3137" s="218">
        <v>1</v>
      </c>
      <c r="C3137" s="220" t="s">
        <v>2078</v>
      </c>
      <c r="D3137" s="220" t="s">
        <v>277</v>
      </c>
      <c r="E3137" s="165">
        <v>418</v>
      </c>
    </row>
    <row r="3138" spans="1:5" x14ac:dyDescent="0.25">
      <c r="A3138" s="216" t="s">
        <v>4153</v>
      </c>
      <c r="B3138" s="218">
        <v>1</v>
      </c>
      <c r="C3138" s="220" t="s">
        <v>4154</v>
      </c>
      <c r="D3138" s="220" t="s">
        <v>575</v>
      </c>
      <c r="E3138" s="165">
        <v>418</v>
      </c>
    </row>
    <row r="3139" spans="1:5" x14ac:dyDescent="0.25">
      <c r="A3139" s="216" t="s">
        <v>4816</v>
      </c>
      <c r="B3139" s="218" t="s">
        <v>48</v>
      </c>
      <c r="C3139" s="220" t="s">
        <v>479</v>
      </c>
      <c r="D3139" s="220" t="s">
        <v>90</v>
      </c>
      <c r="E3139" s="165">
        <v>417</v>
      </c>
    </row>
    <row r="3140" spans="1:5" x14ac:dyDescent="0.25">
      <c r="A3140" s="216" t="s">
        <v>5370</v>
      </c>
      <c r="B3140" s="218">
        <v>1</v>
      </c>
      <c r="C3140" s="220" t="s">
        <v>3114</v>
      </c>
      <c r="D3140" s="220" t="s">
        <v>56</v>
      </c>
      <c r="E3140" s="165">
        <v>417</v>
      </c>
    </row>
    <row r="3141" spans="1:5" x14ac:dyDescent="0.25">
      <c r="A3141" s="216" t="s">
        <v>5100</v>
      </c>
      <c r="B3141" s="218">
        <v>1</v>
      </c>
      <c r="C3141" s="220" t="s">
        <v>2456</v>
      </c>
      <c r="D3141" s="220" t="s">
        <v>98</v>
      </c>
      <c r="E3141" s="165">
        <v>416</v>
      </c>
    </row>
    <row r="3142" spans="1:5" x14ac:dyDescent="0.25">
      <c r="A3142" s="216" t="s">
        <v>4893</v>
      </c>
      <c r="B3142" s="218" t="s">
        <v>48</v>
      </c>
      <c r="C3142" s="220" t="s">
        <v>4894</v>
      </c>
      <c r="D3142" s="220" t="s">
        <v>93</v>
      </c>
      <c r="E3142" s="165">
        <v>416</v>
      </c>
    </row>
    <row r="3143" spans="1:5" x14ac:dyDescent="0.25">
      <c r="A3143" s="216" t="s">
        <v>4561</v>
      </c>
      <c r="B3143" s="218">
        <v>1</v>
      </c>
      <c r="C3143" s="220" t="s">
        <v>735</v>
      </c>
      <c r="D3143" s="220" t="s">
        <v>72</v>
      </c>
      <c r="E3143" s="165">
        <v>416</v>
      </c>
    </row>
    <row r="3144" spans="1:5" x14ac:dyDescent="0.25">
      <c r="A3144" s="216" t="s">
        <v>4798</v>
      </c>
      <c r="B3144" s="218" t="s">
        <v>48</v>
      </c>
      <c r="C3144" s="220" t="s">
        <v>4799</v>
      </c>
      <c r="D3144" s="220" t="s">
        <v>710</v>
      </c>
      <c r="E3144" s="165">
        <v>416</v>
      </c>
    </row>
    <row r="3145" spans="1:5" x14ac:dyDescent="0.25">
      <c r="A3145" s="216" t="s">
        <v>4973</v>
      </c>
      <c r="B3145" s="218" t="s">
        <v>48</v>
      </c>
      <c r="C3145" s="220" t="s">
        <v>4974</v>
      </c>
      <c r="D3145" s="220" t="s">
        <v>394</v>
      </c>
      <c r="E3145" s="165">
        <v>416</v>
      </c>
    </row>
    <row r="3146" spans="1:5" x14ac:dyDescent="0.25">
      <c r="A3146" s="216" t="s">
        <v>4778</v>
      </c>
      <c r="B3146" s="218">
        <v>1</v>
      </c>
      <c r="C3146" s="220" t="s">
        <v>331</v>
      </c>
      <c r="D3146" s="220" t="s">
        <v>69</v>
      </c>
      <c r="E3146" s="165">
        <v>415</v>
      </c>
    </row>
    <row r="3147" spans="1:5" x14ac:dyDescent="0.25">
      <c r="A3147" s="216" t="s">
        <v>2871</v>
      </c>
      <c r="B3147" s="218">
        <v>1</v>
      </c>
      <c r="C3147" s="220" t="s">
        <v>891</v>
      </c>
      <c r="D3147" s="220" t="s">
        <v>56</v>
      </c>
      <c r="E3147" s="165">
        <v>415</v>
      </c>
    </row>
    <row r="3148" spans="1:5" x14ac:dyDescent="0.25">
      <c r="A3148" s="216" t="s">
        <v>4192</v>
      </c>
      <c r="B3148" s="218">
        <v>1</v>
      </c>
      <c r="C3148" s="220" t="s">
        <v>4193</v>
      </c>
      <c r="D3148" s="220" t="s">
        <v>139</v>
      </c>
      <c r="E3148" s="165">
        <v>415</v>
      </c>
    </row>
    <row r="3149" spans="1:5" x14ac:dyDescent="0.25">
      <c r="A3149" s="216" t="s">
        <v>4785</v>
      </c>
      <c r="B3149" s="218">
        <v>1</v>
      </c>
      <c r="C3149" s="220" t="s">
        <v>4786</v>
      </c>
      <c r="D3149" s="220" t="s">
        <v>69</v>
      </c>
      <c r="E3149" s="165">
        <v>415</v>
      </c>
    </row>
    <row r="3150" spans="1:5" x14ac:dyDescent="0.25">
      <c r="A3150" s="216" t="s">
        <v>4732</v>
      </c>
      <c r="B3150" s="218">
        <v>1</v>
      </c>
      <c r="C3150" s="220" t="s">
        <v>2994</v>
      </c>
      <c r="D3150" s="220" t="s">
        <v>50</v>
      </c>
      <c r="E3150" s="165">
        <v>415</v>
      </c>
    </row>
    <row r="3151" spans="1:5" x14ac:dyDescent="0.25">
      <c r="A3151" s="216" t="s">
        <v>4484</v>
      </c>
      <c r="B3151" s="218" t="s">
        <v>48</v>
      </c>
      <c r="C3151" s="220" t="s">
        <v>1759</v>
      </c>
      <c r="D3151" s="220" t="s">
        <v>166</v>
      </c>
      <c r="E3151" s="165">
        <v>415</v>
      </c>
    </row>
    <row r="3152" spans="1:5" x14ac:dyDescent="0.25">
      <c r="A3152" s="216" t="s">
        <v>3994</v>
      </c>
      <c r="B3152" s="218">
        <v>1</v>
      </c>
      <c r="C3152" s="220" t="s">
        <v>3995</v>
      </c>
      <c r="D3152" s="220" t="s">
        <v>50</v>
      </c>
      <c r="E3152" s="165">
        <v>415</v>
      </c>
    </row>
    <row r="3153" spans="1:5" x14ac:dyDescent="0.25">
      <c r="A3153" s="216" t="s">
        <v>4662</v>
      </c>
      <c r="B3153" s="218">
        <v>1</v>
      </c>
      <c r="C3153" s="220" t="s">
        <v>3046</v>
      </c>
      <c r="D3153" s="220" t="s">
        <v>222</v>
      </c>
      <c r="E3153" s="165">
        <v>414</v>
      </c>
    </row>
    <row r="3154" spans="1:5" x14ac:dyDescent="0.25">
      <c r="A3154" s="216" t="s">
        <v>4980</v>
      </c>
      <c r="B3154" s="218">
        <v>1</v>
      </c>
      <c r="C3154" s="220" t="s">
        <v>421</v>
      </c>
      <c r="D3154" s="220" t="s">
        <v>201</v>
      </c>
      <c r="E3154" s="165">
        <v>414</v>
      </c>
    </row>
    <row r="3155" spans="1:5" x14ac:dyDescent="0.25">
      <c r="A3155" s="216" t="s">
        <v>11147</v>
      </c>
      <c r="B3155" s="218">
        <v>1</v>
      </c>
      <c r="C3155" s="220" t="s">
        <v>4612</v>
      </c>
      <c r="D3155" s="220" t="s">
        <v>66</v>
      </c>
      <c r="E3155" s="165">
        <v>414</v>
      </c>
    </row>
    <row r="3156" spans="1:5" x14ac:dyDescent="0.25">
      <c r="A3156" s="216" t="s">
        <v>3664</v>
      </c>
      <c r="B3156" s="218" t="s">
        <v>48</v>
      </c>
      <c r="C3156" s="220" t="s">
        <v>58</v>
      </c>
      <c r="D3156" s="220" t="s">
        <v>59</v>
      </c>
      <c r="E3156" s="165">
        <v>414</v>
      </c>
    </row>
    <row r="3157" spans="1:5" x14ac:dyDescent="0.25">
      <c r="A3157" s="216" t="s">
        <v>5915</v>
      </c>
      <c r="B3157" s="218" t="s">
        <v>48</v>
      </c>
      <c r="C3157" s="220" t="s">
        <v>11148</v>
      </c>
      <c r="D3157" s="220" t="s">
        <v>69</v>
      </c>
      <c r="E3157" s="165">
        <v>414</v>
      </c>
    </row>
    <row r="3158" spans="1:5" x14ac:dyDescent="0.25">
      <c r="A3158" s="216" t="s">
        <v>4868</v>
      </c>
      <c r="B3158" s="218" t="s">
        <v>48</v>
      </c>
      <c r="C3158" s="220" t="s">
        <v>257</v>
      </c>
      <c r="D3158" s="220" t="s">
        <v>108</v>
      </c>
      <c r="E3158" s="165">
        <v>413</v>
      </c>
    </row>
    <row r="3159" spans="1:5" x14ac:dyDescent="0.25">
      <c r="A3159" s="216" t="s">
        <v>4736</v>
      </c>
      <c r="B3159" s="218">
        <v>1</v>
      </c>
      <c r="C3159" s="220" t="s">
        <v>80</v>
      </c>
      <c r="D3159" s="220" t="s">
        <v>63</v>
      </c>
      <c r="E3159" s="165">
        <v>413</v>
      </c>
    </row>
    <row r="3160" spans="1:5" x14ac:dyDescent="0.25">
      <c r="A3160" s="216" t="s">
        <v>2730</v>
      </c>
      <c r="B3160" s="218" t="s">
        <v>48</v>
      </c>
      <c r="C3160" s="220" t="s">
        <v>213</v>
      </c>
      <c r="D3160" s="220" t="s">
        <v>75</v>
      </c>
      <c r="E3160" s="165">
        <v>413</v>
      </c>
    </row>
    <row r="3161" spans="1:5" x14ac:dyDescent="0.25">
      <c r="A3161" s="216" t="s">
        <v>4578</v>
      </c>
      <c r="B3161" s="218">
        <v>1</v>
      </c>
      <c r="C3161" s="220" t="s">
        <v>4579</v>
      </c>
      <c r="D3161" s="220" t="s">
        <v>78</v>
      </c>
      <c r="E3161" s="165">
        <v>413</v>
      </c>
    </row>
    <row r="3162" spans="1:5" x14ac:dyDescent="0.25">
      <c r="A3162" s="216" t="s">
        <v>4811</v>
      </c>
      <c r="B3162" s="218">
        <v>1</v>
      </c>
      <c r="C3162" s="220" t="s">
        <v>4812</v>
      </c>
      <c r="D3162" s="220" t="s">
        <v>56</v>
      </c>
      <c r="E3162" s="165">
        <v>413</v>
      </c>
    </row>
    <row r="3163" spans="1:5" x14ac:dyDescent="0.25">
      <c r="A3163" s="216" t="s">
        <v>4638</v>
      </c>
      <c r="B3163" s="218">
        <v>1</v>
      </c>
      <c r="C3163" s="220" t="s">
        <v>4639</v>
      </c>
      <c r="D3163" s="220" t="s">
        <v>66</v>
      </c>
      <c r="E3163" s="165">
        <v>413</v>
      </c>
    </row>
    <row r="3164" spans="1:5" x14ac:dyDescent="0.25">
      <c r="A3164" s="216" t="s">
        <v>5074</v>
      </c>
      <c r="B3164" s="218" t="s">
        <v>48</v>
      </c>
      <c r="C3164" s="220" t="s">
        <v>1416</v>
      </c>
      <c r="D3164" s="220" t="s">
        <v>69</v>
      </c>
      <c r="E3164" s="165">
        <v>413</v>
      </c>
    </row>
    <row r="3165" spans="1:5" x14ac:dyDescent="0.25">
      <c r="A3165" s="216" t="s">
        <v>4158</v>
      </c>
      <c r="B3165" s="218">
        <v>1</v>
      </c>
      <c r="C3165" s="220" t="s">
        <v>4159</v>
      </c>
      <c r="D3165" s="220" t="s">
        <v>142</v>
      </c>
      <c r="E3165" s="165">
        <v>412</v>
      </c>
    </row>
    <row r="3166" spans="1:5" x14ac:dyDescent="0.25">
      <c r="A3166" s="216" t="s">
        <v>10548</v>
      </c>
      <c r="B3166" s="218" t="s">
        <v>48</v>
      </c>
      <c r="C3166" s="220" t="s">
        <v>77</v>
      </c>
      <c r="D3166" s="220" t="s">
        <v>78</v>
      </c>
      <c r="E3166" s="165">
        <v>412</v>
      </c>
    </row>
    <row r="3167" spans="1:5" x14ac:dyDescent="0.25">
      <c r="A3167" s="216" t="s">
        <v>4538</v>
      </c>
      <c r="B3167" s="218">
        <v>1</v>
      </c>
      <c r="C3167" s="220" t="s">
        <v>2668</v>
      </c>
      <c r="D3167" s="220" t="s">
        <v>98</v>
      </c>
      <c r="E3167" s="165">
        <v>412</v>
      </c>
    </row>
    <row r="3168" spans="1:5" x14ac:dyDescent="0.25">
      <c r="A3168" s="216" t="s">
        <v>5610</v>
      </c>
      <c r="B3168" s="218" t="s">
        <v>48</v>
      </c>
      <c r="C3168" s="220" t="s">
        <v>1610</v>
      </c>
      <c r="D3168" s="220" t="s">
        <v>166</v>
      </c>
      <c r="E3168" s="165">
        <v>412</v>
      </c>
    </row>
    <row r="3169" spans="1:5" x14ac:dyDescent="0.25">
      <c r="A3169" s="216" t="s">
        <v>4563</v>
      </c>
      <c r="B3169" s="218">
        <v>1</v>
      </c>
      <c r="C3169" s="220" t="s">
        <v>270</v>
      </c>
      <c r="D3169" s="220" t="s">
        <v>177</v>
      </c>
      <c r="E3169" s="165">
        <v>412</v>
      </c>
    </row>
    <row r="3170" spans="1:5" x14ac:dyDescent="0.25">
      <c r="A3170" s="216" t="s">
        <v>4566</v>
      </c>
      <c r="B3170" s="218">
        <v>1</v>
      </c>
      <c r="C3170" s="220" t="s">
        <v>270</v>
      </c>
      <c r="D3170" s="220" t="s">
        <v>177</v>
      </c>
      <c r="E3170" s="165">
        <v>412</v>
      </c>
    </row>
    <row r="3171" spans="1:5" x14ac:dyDescent="0.25">
      <c r="A3171" s="216" t="s">
        <v>5733</v>
      </c>
      <c r="B3171" s="218">
        <v>1</v>
      </c>
      <c r="C3171" s="220" t="s">
        <v>5734</v>
      </c>
      <c r="D3171" s="220" t="s">
        <v>575</v>
      </c>
      <c r="E3171" s="165">
        <v>412</v>
      </c>
    </row>
    <row r="3172" spans="1:5" x14ac:dyDescent="0.25">
      <c r="A3172" s="216" t="s">
        <v>4724</v>
      </c>
      <c r="B3172" s="218">
        <v>1</v>
      </c>
      <c r="C3172" s="220" t="s">
        <v>4725</v>
      </c>
      <c r="D3172" s="220" t="s">
        <v>63</v>
      </c>
      <c r="E3172" s="165">
        <v>412</v>
      </c>
    </row>
    <row r="3173" spans="1:5" x14ac:dyDescent="0.25">
      <c r="A3173" s="216" t="s">
        <v>4726</v>
      </c>
      <c r="B3173" s="218">
        <v>1</v>
      </c>
      <c r="C3173" s="220" t="s">
        <v>1431</v>
      </c>
      <c r="D3173" s="220" t="s">
        <v>63</v>
      </c>
      <c r="E3173" s="165">
        <v>412</v>
      </c>
    </row>
    <row r="3174" spans="1:5" x14ac:dyDescent="0.25">
      <c r="A3174" s="216" t="s">
        <v>5418</v>
      </c>
      <c r="B3174" s="218" t="s">
        <v>48</v>
      </c>
      <c r="C3174" s="220" t="s">
        <v>2562</v>
      </c>
      <c r="D3174" s="220" t="s">
        <v>201</v>
      </c>
      <c r="E3174" s="165">
        <v>412</v>
      </c>
    </row>
    <row r="3175" spans="1:5" x14ac:dyDescent="0.25">
      <c r="A3175" s="216" t="s">
        <v>4529</v>
      </c>
      <c r="B3175" s="218" t="s">
        <v>48</v>
      </c>
      <c r="C3175" s="220" t="s">
        <v>135</v>
      </c>
      <c r="D3175" s="220" t="s">
        <v>108</v>
      </c>
      <c r="E3175" s="165">
        <v>411</v>
      </c>
    </row>
    <row r="3176" spans="1:5" x14ac:dyDescent="0.25">
      <c r="A3176" s="216" t="s">
        <v>4397</v>
      </c>
      <c r="B3176" s="218">
        <v>1</v>
      </c>
      <c r="C3176" s="220" t="s">
        <v>2216</v>
      </c>
      <c r="D3176" s="220" t="s">
        <v>130</v>
      </c>
      <c r="E3176" s="165">
        <v>411</v>
      </c>
    </row>
    <row r="3177" spans="1:5" x14ac:dyDescent="0.25">
      <c r="A3177" s="216" t="s">
        <v>4630</v>
      </c>
      <c r="B3177" s="218">
        <v>1</v>
      </c>
      <c r="C3177" s="220" t="s">
        <v>289</v>
      </c>
      <c r="D3177" s="220" t="s">
        <v>69</v>
      </c>
      <c r="E3177" s="165">
        <v>411</v>
      </c>
    </row>
    <row r="3178" spans="1:5" x14ac:dyDescent="0.25">
      <c r="A3178" s="216" t="s">
        <v>4226</v>
      </c>
      <c r="B3178" s="218">
        <v>1</v>
      </c>
      <c r="C3178" s="220" t="s">
        <v>4227</v>
      </c>
      <c r="D3178" s="220" t="s">
        <v>139</v>
      </c>
      <c r="E3178" s="165">
        <v>411</v>
      </c>
    </row>
    <row r="3179" spans="1:5" x14ac:dyDescent="0.25">
      <c r="A3179" s="216" t="s">
        <v>5276</v>
      </c>
      <c r="B3179" s="218" t="s">
        <v>48</v>
      </c>
      <c r="C3179" s="220" t="s">
        <v>1157</v>
      </c>
      <c r="D3179" s="220" t="s">
        <v>206</v>
      </c>
      <c r="E3179" s="165">
        <v>411</v>
      </c>
    </row>
    <row r="3180" spans="1:5" x14ac:dyDescent="0.25">
      <c r="A3180" s="216" t="s">
        <v>4682</v>
      </c>
      <c r="B3180" s="218">
        <v>1</v>
      </c>
      <c r="C3180" s="220" t="s">
        <v>1237</v>
      </c>
      <c r="D3180" s="220" t="s">
        <v>192</v>
      </c>
      <c r="E3180" s="165">
        <v>411</v>
      </c>
    </row>
    <row r="3181" spans="1:5" x14ac:dyDescent="0.25">
      <c r="A3181" s="216" t="s">
        <v>4358</v>
      </c>
      <c r="B3181" s="218" t="s">
        <v>48</v>
      </c>
      <c r="C3181" s="220" t="s">
        <v>2010</v>
      </c>
      <c r="D3181" s="220" t="s">
        <v>93</v>
      </c>
      <c r="E3181" s="165">
        <v>411</v>
      </c>
    </row>
    <row r="3182" spans="1:5" x14ac:dyDescent="0.25">
      <c r="A3182" s="216" t="s">
        <v>11149</v>
      </c>
      <c r="B3182" s="218">
        <v>1</v>
      </c>
      <c r="C3182" s="220" t="s">
        <v>11150</v>
      </c>
      <c r="D3182" s="220" t="s">
        <v>108</v>
      </c>
      <c r="E3182" s="165">
        <v>410</v>
      </c>
    </row>
    <row r="3183" spans="1:5" x14ac:dyDescent="0.25">
      <c r="A3183" s="216" t="s">
        <v>4581</v>
      </c>
      <c r="B3183" s="218" t="s">
        <v>48</v>
      </c>
      <c r="C3183" s="220" t="s">
        <v>4582</v>
      </c>
      <c r="D3183" s="220" t="s">
        <v>59</v>
      </c>
      <c r="E3183" s="165">
        <v>410</v>
      </c>
    </row>
    <row r="3184" spans="1:5" x14ac:dyDescent="0.25">
      <c r="A3184" s="216" t="s">
        <v>11151</v>
      </c>
      <c r="B3184" s="218">
        <v>1</v>
      </c>
      <c r="C3184" s="220" t="s">
        <v>2216</v>
      </c>
      <c r="D3184" s="220" t="s">
        <v>130</v>
      </c>
      <c r="E3184" s="165">
        <v>410</v>
      </c>
    </row>
    <row r="3185" spans="1:5" x14ac:dyDescent="0.25">
      <c r="A3185" s="216" t="s">
        <v>4733</v>
      </c>
      <c r="B3185" s="218" t="s">
        <v>48</v>
      </c>
      <c r="C3185" s="220" t="s">
        <v>4734</v>
      </c>
      <c r="D3185" s="220" t="s">
        <v>166</v>
      </c>
      <c r="E3185" s="165">
        <v>410</v>
      </c>
    </row>
    <row r="3186" spans="1:5" x14ac:dyDescent="0.25">
      <c r="A3186" s="216" t="s">
        <v>4190</v>
      </c>
      <c r="B3186" s="218">
        <v>1</v>
      </c>
      <c r="C3186" s="220" t="s">
        <v>466</v>
      </c>
      <c r="D3186" s="220" t="s">
        <v>206</v>
      </c>
      <c r="E3186" s="165">
        <v>409</v>
      </c>
    </row>
    <row r="3187" spans="1:5" x14ac:dyDescent="0.25">
      <c r="A3187" s="216" t="s">
        <v>4461</v>
      </c>
      <c r="B3187" s="218">
        <v>1</v>
      </c>
      <c r="C3187" s="220" t="s">
        <v>2195</v>
      </c>
      <c r="D3187" s="220" t="s">
        <v>166</v>
      </c>
      <c r="E3187" s="165">
        <v>409</v>
      </c>
    </row>
    <row r="3188" spans="1:5" x14ac:dyDescent="0.25">
      <c r="A3188" s="216" t="s">
        <v>9118</v>
      </c>
      <c r="B3188" s="218" t="s">
        <v>48</v>
      </c>
      <c r="C3188" s="220" t="s">
        <v>3299</v>
      </c>
      <c r="D3188" s="220" t="s">
        <v>82</v>
      </c>
      <c r="E3188" s="165">
        <v>409</v>
      </c>
    </row>
    <row r="3189" spans="1:5" x14ac:dyDescent="0.25">
      <c r="A3189" s="216" t="s">
        <v>11152</v>
      </c>
      <c r="B3189" s="218" t="s">
        <v>48</v>
      </c>
      <c r="C3189" s="220" t="s">
        <v>11153</v>
      </c>
      <c r="D3189" s="220" t="s">
        <v>108</v>
      </c>
      <c r="E3189" s="165">
        <v>409</v>
      </c>
    </row>
    <row r="3190" spans="1:5" x14ac:dyDescent="0.25">
      <c r="A3190" s="216" t="s">
        <v>1600</v>
      </c>
      <c r="B3190" s="218" t="s">
        <v>48</v>
      </c>
      <c r="C3190" s="220" t="s">
        <v>144</v>
      </c>
      <c r="D3190" s="220" t="s">
        <v>59</v>
      </c>
      <c r="E3190" s="165">
        <v>408</v>
      </c>
    </row>
    <row r="3191" spans="1:5" x14ac:dyDescent="0.25">
      <c r="A3191" s="216" t="s">
        <v>3409</v>
      </c>
      <c r="B3191" s="218" t="s">
        <v>48</v>
      </c>
      <c r="C3191" s="220" t="s">
        <v>3410</v>
      </c>
      <c r="D3191" s="220" t="s">
        <v>53</v>
      </c>
      <c r="E3191" s="165">
        <v>408</v>
      </c>
    </row>
    <row r="3192" spans="1:5" x14ac:dyDescent="0.25">
      <c r="A3192" s="216" t="s">
        <v>4901</v>
      </c>
      <c r="B3192" s="218">
        <v>1</v>
      </c>
      <c r="C3192" s="220" t="s">
        <v>3808</v>
      </c>
      <c r="D3192" s="220" t="s">
        <v>63</v>
      </c>
      <c r="E3192" s="165">
        <v>408</v>
      </c>
    </row>
    <row r="3193" spans="1:5" x14ac:dyDescent="0.25">
      <c r="A3193" s="216" t="s">
        <v>4993</v>
      </c>
      <c r="B3193" s="218">
        <v>1</v>
      </c>
      <c r="C3193" s="220" t="s">
        <v>1339</v>
      </c>
      <c r="D3193" s="220" t="s">
        <v>575</v>
      </c>
      <c r="E3193" s="165">
        <v>408</v>
      </c>
    </row>
    <row r="3194" spans="1:5" x14ac:dyDescent="0.25">
      <c r="A3194" s="216" t="s">
        <v>4792</v>
      </c>
      <c r="B3194" s="218" t="s">
        <v>48</v>
      </c>
      <c r="C3194" s="220" t="s">
        <v>1416</v>
      </c>
      <c r="D3194" s="220" t="s">
        <v>523</v>
      </c>
      <c r="E3194" s="165">
        <v>408</v>
      </c>
    </row>
    <row r="3195" spans="1:5" x14ac:dyDescent="0.25">
      <c r="A3195" s="216" t="s">
        <v>11154</v>
      </c>
      <c r="B3195" s="218" t="s">
        <v>48</v>
      </c>
      <c r="C3195" s="220" t="s">
        <v>5723</v>
      </c>
      <c r="D3195" s="220" t="s">
        <v>93</v>
      </c>
      <c r="E3195" s="165">
        <v>407</v>
      </c>
    </row>
    <row r="3196" spans="1:5" x14ac:dyDescent="0.25">
      <c r="A3196" s="216" t="s">
        <v>5294</v>
      </c>
      <c r="B3196" s="218" t="s">
        <v>48</v>
      </c>
      <c r="C3196" s="220" t="s">
        <v>5295</v>
      </c>
      <c r="D3196" s="220" t="s">
        <v>585</v>
      </c>
      <c r="E3196" s="165">
        <v>407</v>
      </c>
    </row>
    <row r="3197" spans="1:5" x14ac:dyDescent="0.25">
      <c r="A3197" s="216" t="s">
        <v>4526</v>
      </c>
      <c r="B3197" s="218" t="s">
        <v>48</v>
      </c>
      <c r="C3197" s="220" t="s">
        <v>1293</v>
      </c>
      <c r="D3197" s="220" t="s">
        <v>108</v>
      </c>
      <c r="E3197" s="165">
        <v>407</v>
      </c>
    </row>
    <row r="3198" spans="1:5" x14ac:dyDescent="0.25">
      <c r="A3198" s="216" t="s">
        <v>5722</v>
      </c>
      <c r="B3198" s="218" t="s">
        <v>48</v>
      </c>
      <c r="C3198" s="220" t="s">
        <v>5723</v>
      </c>
      <c r="D3198" s="220" t="s">
        <v>93</v>
      </c>
      <c r="E3198" s="165">
        <v>407</v>
      </c>
    </row>
    <row r="3199" spans="1:5" x14ac:dyDescent="0.25">
      <c r="A3199" s="216" t="s">
        <v>4372</v>
      </c>
      <c r="B3199" s="218">
        <v>1</v>
      </c>
      <c r="C3199" s="220" t="s">
        <v>3551</v>
      </c>
      <c r="D3199" s="220" t="s">
        <v>272</v>
      </c>
      <c r="E3199" s="165">
        <v>407</v>
      </c>
    </row>
    <row r="3200" spans="1:5" x14ac:dyDescent="0.25">
      <c r="A3200" s="216" t="s">
        <v>4668</v>
      </c>
      <c r="B3200" s="218">
        <v>1</v>
      </c>
      <c r="C3200" s="220" t="s">
        <v>1669</v>
      </c>
      <c r="D3200" s="220" t="s">
        <v>66</v>
      </c>
      <c r="E3200" s="165">
        <v>406</v>
      </c>
    </row>
    <row r="3201" spans="1:5" x14ac:dyDescent="0.25">
      <c r="A3201" s="216" t="s">
        <v>4836</v>
      </c>
      <c r="B3201" s="218">
        <v>1</v>
      </c>
      <c r="C3201" s="220" t="s">
        <v>289</v>
      </c>
      <c r="D3201" s="220" t="s">
        <v>69</v>
      </c>
      <c r="E3201" s="165">
        <v>405</v>
      </c>
    </row>
    <row r="3202" spans="1:5" x14ac:dyDescent="0.25">
      <c r="A3202" s="216" t="s">
        <v>4840</v>
      </c>
      <c r="B3202" s="218">
        <v>1</v>
      </c>
      <c r="C3202" s="220" t="s">
        <v>4841</v>
      </c>
      <c r="D3202" s="220" t="s">
        <v>69</v>
      </c>
      <c r="E3202" s="165">
        <v>405</v>
      </c>
    </row>
    <row r="3203" spans="1:5" x14ac:dyDescent="0.25">
      <c r="A3203" s="216" t="s">
        <v>4844</v>
      </c>
      <c r="B3203" s="218">
        <v>1</v>
      </c>
      <c r="C3203" s="220" t="s">
        <v>110</v>
      </c>
      <c r="D3203" s="220" t="s">
        <v>69</v>
      </c>
      <c r="E3203" s="165">
        <v>405</v>
      </c>
    </row>
    <row r="3204" spans="1:5" x14ac:dyDescent="0.25">
      <c r="A3204" s="216" t="s">
        <v>3959</v>
      </c>
      <c r="B3204" s="218">
        <v>1</v>
      </c>
      <c r="C3204" s="220" t="s">
        <v>2578</v>
      </c>
      <c r="D3204" s="220" t="s">
        <v>56</v>
      </c>
      <c r="E3204" s="165">
        <v>405</v>
      </c>
    </row>
    <row r="3205" spans="1:5" x14ac:dyDescent="0.25">
      <c r="A3205" s="216" t="s">
        <v>4324</v>
      </c>
      <c r="B3205" s="218">
        <v>1</v>
      </c>
      <c r="C3205" s="220" t="s">
        <v>4325</v>
      </c>
      <c r="D3205" s="220" t="s">
        <v>93</v>
      </c>
      <c r="E3205" s="165">
        <v>405</v>
      </c>
    </row>
    <row r="3206" spans="1:5" x14ac:dyDescent="0.25">
      <c r="A3206" s="216" t="s">
        <v>4248</v>
      </c>
      <c r="B3206" s="218">
        <v>1</v>
      </c>
      <c r="C3206" s="220" t="s">
        <v>289</v>
      </c>
      <c r="D3206" s="220" t="s">
        <v>69</v>
      </c>
      <c r="E3206" s="165">
        <v>404</v>
      </c>
    </row>
    <row r="3207" spans="1:5" x14ac:dyDescent="0.25">
      <c r="A3207" s="216" t="s">
        <v>4898</v>
      </c>
      <c r="B3207" s="218">
        <v>1</v>
      </c>
      <c r="C3207" s="220" t="s">
        <v>2049</v>
      </c>
      <c r="D3207" s="220" t="s">
        <v>188</v>
      </c>
      <c r="E3207" s="165">
        <v>404</v>
      </c>
    </row>
    <row r="3208" spans="1:5" x14ac:dyDescent="0.25">
      <c r="A3208" s="216" t="s">
        <v>4426</v>
      </c>
      <c r="B3208" s="218" t="s">
        <v>48</v>
      </c>
      <c r="C3208" s="220" t="s">
        <v>65</v>
      </c>
      <c r="D3208" s="220" t="s">
        <v>66</v>
      </c>
      <c r="E3208" s="165">
        <v>404</v>
      </c>
    </row>
    <row r="3209" spans="1:5" x14ac:dyDescent="0.25">
      <c r="A3209" s="216" t="s">
        <v>4542</v>
      </c>
      <c r="B3209" s="218" t="s">
        <v>48</v>
      </c>
      <c r="C3209" s="220" t="s">
        <v>4543</v>
      </c>
      <c r="D3209" s="220" t="s">
        <v>166</v>
      </c>
      <c r="E3209" s="165">
        <v>404</v>
      </c>
    </row>
    <row r="3210" spans="1:5" x14ac:dyDescent="0.25">
      <c r="A3210" s="216" t="s">
        <v>11155</v>
      </c>
      <c r="B3210" s="218" t="s">
        <v>48</v>
      </c>
      <c r="C3210" s="220" t="s">
        <v>962</v>
      </c>
      <c r="D3210" s="220" t="s">
        <v>93</v>
      </c>
      <c r="E3210" s="165">
        <v>403</v>
      </c>
    </row>
    <row r="3211" spans="1:5" x14ac:dyDescent="0.25">
      <c r="A3211" s="216" t="s">
        <v>4647</v>
      </c>
      <c r="B3211" s="218">
        <v>1</v>
      </c>
      <c r="C3211" s="220" t="s">
        <v>77</v>
      </c>
      <c r="D3211" s="220" t="s">
        <v>78</v>
      </c>
      <c r="E3211" s="165">
        <v>403</v>
      </c>
    </row>
    <row r="3212" spans="1:5" x14ac:dyDescent="0.25">
      <c r="A3212" s="216" t="s">
        <v>4917</v>
      </c>
      <c r="B3212" s="218">
        <v>1</v>
      </c>
      <c r="C3212" s="220" t="s">
        <v>1513</v>
      </c>
      <c r="D3212" s="220" t="s">
        <v>188</v>
      </c>
      <c r="E3212" s="165">
        <v>402</v>
      </c>
    </row>
    <row r="3213" spans="1:5" x14ac:dyDescent="0.25">
      <c r="A3213" s="216" t="s">
        <v>5219</v>
      </c>
      <c r="B3213" s="218" t="s">
        <v>48</v>
      </c>
      <c r="C3213" s="220" t="s">
        <v>213</v>
      </c>
      <c r="D3213" s="220" t="s">
        <v>75</v>
      </c>
      <c r="E3213" s="165">
        <v>401</v>
      </c>
    </row>
    <row r="3214" spans="1:5" x14ac:dyDescent="0.25">
      <c r="A3214" s="216" t="s">
        <v>4645</v>
      </c>
      <c r="B3214" s="218">
        <v>1</v>
      </c>
      <c r="C3214" s="220" t="s">
        <v>4646</v>
      </c>
      <c r="D3214" s="220" t="s">
        <v>56</v>
      </c>
      <c r="E3214" s="165">
        <v>401</v>
      </c>
    </row>
    <row r="3215" spans="1:5" x14ac:dyDescent="0.25">
      <c r="A3215" s="216" t="s">
        <v>11156</v>
      </c>
      <c r="B3215" s="218" t="s">
        <v>48</v>
      </c>
      <c r="C3215" s="220" t="s">
        <v>2010</v>
      </c>
      <c r="D3215" s="220" t="s">
        <v>93</v>
      </c>
      <c r="E3215" s="165">
        <v>401</v>
      </c>
    </row>
    <row r="3216" spans="1:5" x14ac:dyDescent="0.25">
      <c r="A3216" s="216" t="s">
        <v>4469</v>
      </c>
      <c r="B3216" s="218">
        <v>1</v>
      </c>
      <c r="C3216" s="220" t="s">
        <v>1478</v>
      </c>
      <c r="D3216" s="220" t="s">
        <v>142</v>
      </c>
      <c r="E3216" s="165">
        <v>401</v>
      </c>
    </row>
    <row r="3217" spans="1:5" x14ac:dyDescent="0.25">
      <c r="A3217" s="216" t="s">
        <v>4517</v>
      </c>
      <c r="B3217" s="218" t="s">
        <v>48</v>
      </c>
      <c r="C3217" s="220" t="s">
        <v>4518</v>
      </c>
      <c r="D3217" s="220" t="s">
        <v>53</v>
      </c>
      <c r="E3217" s="165">
        <v>401</v>
      </c>
    </row>
    <row r="3218" spans="1:5" x14ac:dyDescent="0.25">
      <c r="A3218" s="216" t="s">
        <v>4116</v>
      </c>
      <c r="B3218" s="218" t="s">
        <v>48</v>
      </c>
      <c r="C3218" s="220" t="s">
        <v>956</v>
      </c>
      <c r="D3218" s="220" t="s">
        <v>69</v>
      </c>
      <c r="E3218" s="165">
        <v>401</v>
      </c>
    </row>
    <row r="3219" spans="1:5" x14ac:dyDescent="0.25">
      <c r="A3219" s="216" t="s">
        <v>4697</v>
      </c>
      <c r="B3219" s="218">
        <v>1</v>
      </c>
      <c r="C3219" s="220" t="s">
        <v>110</v>
      </c>
      <c r="D3219" s="220" t="s">
        <v>69</v>
      </c>
      <c r="E3219" s="165">
        <v>401</v>
      </c>
    </row>
    <row r="3220" spans="1:5" x14ac:dyDescent="0.25">
      <c r="A3220" s="216" t="s">
        <v>5784</v>
      </c>
      <c r="B3220" s="218" t="s">
        <v>48</v>
      </c>
      <c r="C3220" s="220" t="s">
        <v>5785</v>
      </c>
      <c r="D3220" s="220" t="s">
        <v>50</v>
      </c>
      <c r="E3220" s="165">
        <v>400</v>
      </c>
    </row>
    <row r="3221" spans="1:5" x14ac:dyDescent="0.25">
      <c r="A3221" s="216" t="s">
        <v>9554</v>
      </c>
      <c r="B3221" s="218" t="s">
        <v>48</v>
      </c>
      <c r="C3221" s="220" t="s">
        <v>9555</v>
      </c>
      <c r="D3221" s="220" t="s">
        <v>50</v>
      </c>
      <c r="E3221" s="165">
        <v>400</v>
      </c>
    </row>
    <row r="3222" spans="1:5" x14ac:dyDescent="0.25">
      <c r="A3222" s="216" t="s">
        <v>5049</v>
      </c>
      <c r="B3222" s="218" t="s">
        <v>48</v>
      </c>
      <c r="C3222" s="220" t="s">
        <v>473</v>
      </c>
      <c r="D3222" s="220" t="s">
        <v>82</v>
      </c>
      <c r="E3222" s="165">
        <v>400</v>
      </c>
    </row>
    <row r="3223" spans="1:5" x14ac:dyDescent="0.25">
      <c r="A3223" s="216" t="s">
        <v>4895</v>
      </c>
      <c r="B3223" s="218" t="s">
        <v>48</v>
      </c>
      <c r="C3223" s="220" t="s">
        <v>1500</v>
      </c>
      <c r="D3223" s="220" t="s">
        <v>69</v>
      </c>
      <c r="E3223" s="165">
        <v>400</v>
      </c>
    </row>
    <row r="3224" spans="1:5" x14ac:dyDescent="0.25">
      <c r="A3224" s="216" t="s">
        <v>5368</v>
      </c>
      <c r="B3224" s="218" t="s">
        <v>48</v>
      </c>
      <c r="C3224" s="220" t="s">
        <v>5210</v>
      </c>
      <c r="D3224" s="220" t="s">
        <v>69</v>
      </c>
      <c r="E3224" s="165">
        <v>400</v>
      </c>
    </row>
    <row r="3225" spans="1:5" x14ac:dyDescent="0.25">
      <c r="A3225" s="216" t="s">
        <v>7262</v>
      </c>
      <c r="B3225" s="218" t="s">
        <v>48</v>
      </c>
      <c r="C3225" s="220" t="s">
        <v>7263</v>
      </c>
      <c r="D3225" s="220" t="s">
        <v>93</v>
      </c>
      <c r="E3225" s="165">
        <v>400</v>
      </c>
    </row>
    <row r="3226" spans="1:5" x14ac:dyDescent="0.25">
      <c r="A3226" s="216" t="s">
        <v>4558</v>
      </c>
      <c r="B3226" s="218" t="s">
        <v>48</v>
      </c>
      <c r="C3226" s="220" t="s">
        <v>289</v>
      </c>
      <c r="D3226" s="220" t="s">
        <v>69</v>
      </c>
      <c r="E3226" s="165">
        <v>400</v>
      </c>
    </row>
    <row r="3227" spans="1:5" x14ac:dyDescent="0.25">
      <c r="A3227" s="216" t="s">
        <v>4992</v>
      </c>
      <c r="B3227" s="218" t="s">
        <v>48</v>
      </c>
      <c r="C3227" s="220" t="s">
        <v>636</v>
      </c>
      <c r="D3227" s="220" t="s">
        <v>53</v>
      </c>
      <c r="E3227" s="165">
        <v>400</v>
      </c>
    </row>
    <row r="3228" spans="1:5" x14ac:dyDescent="0.25">
      <c r="A3228" s="216" t="s">
        <v>4664</v>
      </c>
      <c r="B3228" s="218">
        <v>1</v>
      </c>
      <c r="C3228" s="220" t="s">
        <v>4665</v>
      </c>
      <c r="D3228" s="220" t="s">
        <v>78</v>
      </c>
      <c r="E3228" s="165">
        <v>400</v>
      </c>
    </row>
    <row r="3229" spans="1:5" x14ac:dyDescent="0.25">
      <c r="A3229" s="216" t="s">
        <v>5080</v>
      </c>
      <c r="B3229" s="218" t="s">
        <v>48</v>
      </c>
      <c r="C3229" s="220" t="s">
        <v>65</v>
      </c>
      <c r="D3229" s="220" t="s">
        <v>66</v>
      </c>
      <c r="E3229" s="165">
        <v>400</v>
      </c>
    </row>
    <row r="3230" spans="1:5" x14ac:dyDescent="0.25">
      <c r="A3230" s="216" t="s">
        <v>4931</v>
      </c>
      <c r="B3230" s="218" t="s">
        <v>48</v>
      </c>
      <c r="C3230" s="220" t="s">
        <v>1391</v>
      </c>
      <c r="D3230" s="220" t="s">
        <v>272</v>
      </c>
      <c r="E3230" s="165">
        <v>400</v>
      </c>
    </row>
    <row r="3231" spans="1:5" x14ac:dyDescent="0.25">
      <c r="A3231" s="216" t="s">
        <v>5264</v>
      </c>
      <c r="B3231" s="218" t="s">
        <v>48</v>
      </c>
      <c r="C3231" s="220" t="s">
        <v>4172</v>
      </c>
      <c r="D3231" s="220" t="s">
        <v>98</v>
      </c>
      <c r="E3231" s="165">
        <v>400</v>
      </c>
    </row>
    <row r="3232" spans="1:5" x14ac:dyDescent="0.25">
      <c r="A3232" s="216" t="s">
        <v>4929</v>
      </c>
      <c r="B3232" s="218">
        <v>1</v>
      </c>
      <c r="C3232" s="220" t="s">
        <v>665</v>
      </c>
      <c r="D3232" s="220" t="s">
        <v>188</v>
      </c>
      <c r="E3232" s="165">
        <v>400</v>
      </c>
    </row>
    <row r="3233" spans="1:5" x14ac:dyDescent="0.25">
      <c r="A3233" s="216" t="s">
        <v>4427</v>
      </c>
      <c r="B3233" s="218" t="s">
        <v>48</v>
      </c>
      <c r="C3233" s="220" t="s">
        <v>235</v>
      </c>
      <c r="D3233" s="220" t="s">
        <v>66</v>
      </c>
      <c r="E3233" s="165">
        <v>400</v>
      </c>
    </row>
    <row r="3234" spans="1:5" x14ac:dyDescent="0.25">
      <c r="A3234" s="216" t="s">
        <v>4902</v>
      </c>
      <c r="B3234" s="218" t="s">
        <v>48</v>
      </c>
      <c r="C3234" s="220" t="s">
        <v>4903</v>
      </c>
      <c r="D3234" s="220" t="s">
        <v>118</v>
      </c>
      <c r="E3234" s="165">
        <v>400</v>
      </c>
    </row>
    <row r="3235" spans="1:5" x14ac:dyDescent="0.25">
      <c r="A3235" s="216" t="s">
        <v>5193</v>
      </c>
      <c r="B3235" s="218" t="s">
        <v>48</v>
      </c>
      <c r="C3235" s="220" t="s">
        <v>2772</v>
      </c>
      <c r="D3235" s="220" t="s">
        <v>177</v>
      </c>
      <c r="E3235" s="165">
        <v>400</v>
      </c>
    </row>
    <row r="3236" spans="1:5" x14ac:dyDescent="0.25">
      <c r="A3236" s="216" t="s">
        <v>3630</v>
      </c>
      <c r="B3236" s="218" t="s">
        <v>48</v>
      </c>
      <c r="C3236" s="220" t="s">
        <v>3631</v>
      </c>
      <c r="D3236" s="220" t="s">
        <v>93</v>
      </c>
      <c r="E3236" s="165">
        <v>400</v>
      </c>
    </row>
    <row r="3237" spans="1:5" x14ac:dyDescent="0.25">
      <c r="A3237" s="216" t="s">
        <v>4311</v>
      </c>
      <c r="B3237" s="218" t="s">
        <v>48</v>
      </c>
      <c r="C3237" s="220" t="s">
        <v>4312</v>
      </c>
      <c r="D3237" s="220" t="s">
        <v>188</v>
      </c>
      <c r="E3237" s="165">
        <v>400</v>
      </c>
    </row>
    <row r="3238" spans="1:5" x14ac:dyDescent="0.25">
      <c r="A3238" s="216" t="s">
        <v>3972</v>
      </c>
      <c r="B3238" s="218" t="s">
        <v>48</v>
      </c>
      <c r="C3238" s="220" t="s">
        <v>3973</v>
      </c>
      <c r="D3238" s="220" t="s">
        <v>192</v>
      </c>
      <c r="E3238" s="165">
        <v>400</v>
      </c>
    </row>
    <row r="3239" spans="1:5" x14ac:dyDescent="0.25">
      <c r="A3239" s="216" t="s">
        <v>4761</v>
      </c>
      <c r="B3239" s="218" t="s">
        <v>48</v>
      </c>
      <c r="C3239" s="220" t="s">
        <v>257</v>
      </c>
      <c r="D3239" s="220" t="s">
        <v>108</v>
      </c>
      <c r="E3239" s="165">
        <v>400</v>
      </c>
    </row>
    <row r="3240" spans="1:5" x14ac:dyDescent="0.25">
      <c r="A3240" s="216" t="s">
        <v>2554</v>
      </c>
      <c r="B3240" s="218" t="s">
        <v>48</v>
      </c>
      <c r="C3240" s="220" t="s">
        <v>261</v>
      </c>
      <c r="D3240" s="220" t="s">
        <v>56</v>
      </c>
      <c r="E3240" s="165">
        <v>400</v>
      </c>
    </row>
    <row r="3241" spans="1:5" x14ac:dyDescent="0.25">
      <c r="A3241" s="216" t="s">
        <v>3976</v>
      </c>
      <c r="B3241" s="218" t="s">
        <v>48</v>
      </c>
      <c r="C3241" s="220" t="s">
        <v>3977</v>
      </c>
      <c r="D3241" s="220" t="s">
        <v>69</v>
      </c>
      <c r="E3241" s="165">
        <v>400</v>
      </c>
    </row>
    <row r="3242" spans="1:5" x14ac:dyDescent="0.25">
      <c r="A3242" s="216" t="s">
        <v>4907</v>
      </c>
      <c r="B3242" s="218" t="s">
        <v>48</v>
      </c>
      <c r="C3242" s="220" t="s">
        <v>3581</v>
      </c>
      <c r="D3242" s="220" t="s">
        <v>69</v>
      </c>
      <c r="E3242" s="165">
        <v>400</v>
      </c>
    </row>
    <row r="3243" spans="1:5" x14ac:dyDescent="0.25">
      <c r="A3243" s="216" t="s">
        <v>3364</v>
      </c>
      <c r="B3243" s="218" t="s">
        <v>48</v>
      </c>
      <c r="C3243" s="220" t="s">
        <v>89</v>
      </c>
      <c r="D3243" s="220" t="s">
        <v>90</v>
      </c>
      <c r="E3243" s="165">
        <v>400</v>
      </c>
    </row>
    <row r="3244" spans="1:5" x14ac:dyDescent="0.25">
      <c r="A3244" s="216" t="s">
        <v>3397</v>
      </c>
      <c r="B3244" s="218" t="s">
        <v>48</v>
      </c>
      <c r="C3244" s="220" t="s">
        <v>289</v>
      </c>
      <c r="D3244" s="220" t="s">
        <v>69</v>
      </c>
      <c r="E3244" s="165">
        <v>400</v>
      </c>
    </row>
    <row r="3245" spans="1:5" x14ac:dyDescent="0.25">
      <c r="A3245" s="216" t="s">
        <v>3898</v>
      </c>
      <c r="B3245" s="218" t="s">
        <v>48</v>
      </c>
      <c r="C3245" s="220" t="s">
        <v>3899</v>
      </c>
      <c r="D3245" s="220" t="s">
        <v>575</v>
      </c>
      <c r="E3245" s="165">
        <v>400</v>
      </c>
    </row>
    <row r="3246" spans="1:5" x14ac:dyDescent="0.25">
      <c r="A3246" s="216" t="s">
        <v>11157</v>
      </c>
      <c r="B3246" s="218" t="s">
        <v>48</v>
      </c>
      <c r="C3246" s="220" t="s">
        <v>11158</v>
      </c>
      <c r="D3246" s="220" t="s">
        <v>63</v>
      </c>
      <c r="E3246" s="165">
        <v>400</v>
      </c>
    </row>
    <row r="3247" spans="1:5" x14ac:dyDescent="0.25">
      <c r="A3247" s="216" t="s">
        <v>6309</v>
      </c>
      <c r="B3247" s="218" t="s">
        <v>48</v>
      </c>
      <c r="C3247" s="220" t="s">
        <v>2237</v>
      </c>
      <c r="D3247" s="220" t="s">
        <v>63</v>
      </c>
      <c r="E3247" s="165">
        <v>400</v>
      </c>
    </row>
    <row r="3248" spans="1:5" x14ac:dyDescent="0.25">
      <c r="A3248" s="216" t="s">
        <v>5208</v>
      </c>
      <c r="B3248" s="218" t="s">
        <v>48</v>
      </c>
      <c r="C3248" s="220" t="s">
        <v>1849</v>
      </c>
      <c r="D3248" s="220" t="s">
        <v>93</v>
      </c>
      <c r="E3248" s="165">
        <v>400</v>
      </c>
    </row>
    <row r="3249" spans="1:5" x14ac:dyDescent="0.25">
      <c r="A3249" s="216" t="s">
        <v>7757</v>
      </c>
      <c r="B3249" s="218" t="s">
        <v>48</v>
      </c>
      <c r="C3249" s="220" t="s">
        <v>7758</v>
      </c>
      <c r="D3249" s="220" t="s">
        <v>98</v>
      </c>
      <c r="E3249" s="165">
        <v>400</v>
      </c>
    </row>
    <row r="3250" spans="1:5" x14ac:dyDescent="0.25">
      <c r="A3250" s="216" t="s">
        <v>4591</v>
      </c>
      <c r="B3250" s="218" t="s">
        <v>48</v>
      </c>
      <c r="C3250" s="220" t="s">
        <v>221</v>
      </c>
      <c r="D3250" s="220" t="s">
        <v>222</v>
      </c>
      <c r="E3250" s="165">
        <v>400</v>
      </c>
    </row>
    <row r="3251" spans="1:5" x14ac:dyDescent="0.25">
      <c r="A3251" s="216" t="s">
        <v>11159</v>
      </c>
      <c r="B3251" s="218" t="s">
        <v>48</v>
      </c>
      <c r="C3251" s="220" t="s">
        <v>238</v>
      </c>
      <c r="D3251" s="220" t="s">
        <v>93</v>
      </c>
      <c r="E3251" s="165">
        <v>400</v>
      </c>
    </row>
    <row r="3252" spans="1:5" x14ac:dyDescent="0.25">
      <c r="A3252" s="216" t="s">
        <v>11160</v>
      </c>
      <c r="B3252" s="218" t="s">
        <v>48</v>
      </c>
      <c r="C3252" s="220" t="s">
        <v>1534</v>
      </c>
      <c r="D3252" s="220" t="s">
        <v>139</v>
      </c>
      <c r="E3252" s="165">
        <v>400</v>
      </c>
    </row>
    <row r="3253" spans="1:5" x14ac:dyDescent="0.25">
      <c r="A3253" s="216" t="s">
        <v>7425</v>
      </c>
      <c r="B3253" s="218" t="s">
        <v>48</v>
      </c>
      <c r="C3253" s="220" t="s">
        <v>7426</v>
      </c>
      <c r="D3253" s="220" t="s">
        <v>93</v>
      </c>
      <c r="E3253" s="165">
        <v>400</v>
      </c>
    </row>
    <row r="3254" spans="1:5" x14ac:dyDescent="0.25">
      <c r="A3254" s="216" t="s">
        <v>11161</v>
      </c>
      <c r="B3254" s="218" t="s">
        <v>48</v>
      </c>
      <c r="C3254" s="220" t="s">
        <v>845</v>
      </c>
      <c r="D3254" s="220" t="s">
        <v>66</v>
      </c>
      <c r="E3254" s="165">
        <v>400</v>
      </c>
    </row>
    <row r="3255" spans="1:5" x14ac:dyDescent="0.25">
      <c r="A3255" s="216" t="s">
        <v>4512</v>
      </c>
      <c r="B3255" s="218">
        <v>1</v>
      </c>
      <c r="C3255" s="220" t="s">
        <v>4513</v>
      </c>
      <c r="D3255" s="220" t="s">
        <v>348</v>
      </c>
      <c r="E3255" s="165">
        <v>399</v>
      </c>
    </row>
    <row r="3256" spans="1:5" x14ac:dyDescent="0.25">
      <c r="A3256" s="216" t="s">
        <v>11162</v>
      </c>
      <c r="B3256" s="218">
        <v>1</v>
      </c>
      <c r="C3256" s="220" t="s">
        <v>1001</v>
      </c>
      <c r="D3256" s="220" t="s">
        <v>188</v>
      </c>
      <c r="E3256" s="165">
        <v>399</v>
      </c>
    </row>
    <row r="3257" spans="1:5" x14ac:dyDescent="0.25">
      <c r="A3257" s="216" t="s">
        <v>4546</v>
      </c>
      <c r="B3257" s="218">
        <v>1</v>
      </c>
      <c r="C3257" s="220" t="s">
        <v>279</v>
      </c>
      <c r="D3257" s="220" t="s">
        <v>127</v>
      </c>
      <c r="E3257" s="165">
        <v>399</v>
      </c>
    </row>
    <row r="3258" spans="1:5" x14ac:dyDescent="0.25">
      <c r="A3258" s="216" t="s">
        <v>6192</v>
      </c>
      <c r="B3258" s="218" t="s">
        <v>48</v>
      </c>
      <c r="C3258" s="220" t="s">
        <v>65</v>
      </c>
      <c r="D3258" s="220" t="s">
        <v>66</v>
      </c>
      <c r="E3258" s="165">
        <v>399</v>
      </c>
    </row>
    <row r="3259" spans="1:5" x14ac:dyDescent="0.25">
      <c r="A3259" s="216" t="s">
        <v>10767</v>
      </c>
      <c r="B3259" s="218" t="s">
        <v>48</v>
      </c>
      <c r="C3259" s="220" t="s">
        <v>11163</v>
      </c>
      <c r="D3259" s="220" t="s">
        <v>59</v>
      </c>
      <c r="E3259" s="165">
        <v>399</v>
      </c>
    </row>
    <row r="3260" spans="1:5" x14ac:dyDescent="0.25">
      <c r="A3260" s="216" t="s">
        <v>4864</v>
      </c>
      <c r="B3260" s="218">
        <v>1</v>
      </c>
      <c r="C3260" s="220" t="s">
        <v>4865</v>
      </c>
      <c r="D3260" s="220" t="s">
        <v>394</v>
      </c>
      <c r="E3260" s="165">
        <v>399</v>
      </c>
    </row>
    <row r="3261" spans="1:5" x14ac:dyDescent="0.25">
      <c r="A3261" s="216" t="s">
        <v>4523</v>
      </c>
      <c r="B3261" s="218" t="s">
        <v>48</v>
      </c>
      <c r="C3261" s="220" t="s">
        <v>615</v>
      </c>
      <c r="D3261" s="220" t="s">
        <v>108</v>
      </c>
      <c r="E3261" s="165">
        <v>399</v>
      </c>
    </row>
    <row r="3262" spans="1:5" x14ac:dyDescent="0.25">
      <c r="A3262" s="216" t="s">
        <v>5266</v>
      </c>
      <c r="B3262" s="218" t="s">
        <v>48</v>
      </c>
      <c r="C3262" s="220" t="s">
        <v>605</v>
      </c>
      <c r="D3262" s="220" t="s">
        <v>585</v>
      </c>
      <c r="E3262" s="165">
        <v>398</v>
      </c>
    </row>
    <row r="3263" spans="1:5" x14ac:dyDescent="0.25">
      <c r="A3263" s="216" t="s">
        <v>3405</v>
      </c>
      <c r="B3263" s="218" t="s">
        <v>48</v>
      </c>
      <c r="C3263" s="220" t="s">
        <v>413</v>
      </c>
      <c r="D3263" s="220" t="s">
        <v>108</v>
      </c>
      <c r="E3263" s="165">
        <v>398</v>
      </c>
    </row>
    <row r="3264" spans="1:5" x14ac:dyDescent="0.25">
      <c r="A3264" s="216" t="s">
        <v>3719</v>
      </c>
      <c r="B3264" s="218">
        <v>1</v>
      </c>
      <c r="C3264" s="220" t="s">
        <v>3720</v>
      </c>
      <c r="D3264" s="220" t="s">
        <v>177</v>
      </c>
      <c r="E3264" s="165">
        <v>398</v>
      </c>
    </row>
    <row r="3265" spans="1:5" x14ac:dyDescent="0.25">
      <c r="A3265" s="216" t="s">
        <v>4741</v>
      </c>
      <c r="B3265" s="218">
        <v>1</v>
      </c>
      <c r="C3265" s="220" t="s">
        <v>4742</v>
      </c>
      <c r="D3265" s="220" t="s">
        <v>192</v>
      </c>
      <c r="E3265" s="165">
        <v>398</v>
      </c>
    </row>
    <row r="3266" spans="1:5" x14ac:dyDescent="0.25">
      <c r="A3266" s="216" t="s">
        <v>4919</v>
      </c>
      <c r="B3266" s="218">
        <v>1</v>
      </c>
      <c r="C3266" s="220" t="s">
        <v>626</v>
      </c>
      <c r="D3266" s="220" t="s">
        <v>56</v>
      </c>
      <c r="E3266" s="165">
        <v>398</v>
      </c>
    </row>
    <row r="3267" spans="1:5" x14ac:dyDescent="0.25">
      <c r="A3267" s="216" t="s">
        <v>4669</v>
      </c>
      <c r="B3267" s="218" t="s">
        <v>48</v>
      </c>
      <c r="C3267" s="220" t="s">
        <v>4670</v>
      </c>
      <c r="D3267" s="220" t="s">
        <v>108</v>
      </c>
      <c r="E3267" s="165">
        <v>398</v>
      </c>
    </row>
    <row r="3268" spans="1:5" x14ac:dyDescent="0.25">
      <c r="A3268" s="216" t="s">
        <v>3480</v>
      </c>
      <c r="B3268" s="218">
        <v>1</v>
      </c>
      <c r="C3268" s="220" t="s">
        <v>3481</v>
      </c>
      <c r="D3268" s="220" t="s">
        <v>277</v>
      </c>
      <c r="E3268" s="165">
        <v>398</v>
      </c>
    </row>
    <row r="3269" spans="1:5" x14ac:dyDescent="0.25">
      <c r="A3269" s="216" t="s">
        <v>3240</v>
      </c>
      <c r="B3269" s="218" t="s">
        <v>48</v>
      </c>
      <c r="C3269" s="220" t="s">
        <v>3241</v>
      </c>
      <c r="D3269" s="220" t="s">
        <v>166</v>
      </c>
      <c r="E3269" s="165">
        <v>398</v>
      </c>
    </row>
    <row r="3270" spans="1:5" x14ac:dyDescent="0.25">
      <c r="A3270" s="216" t="s">
        <v>11164</v>
      </c>
      <c r="B3270" s="218" t="s">
        <v>48</v>
      </c>
      <c r="C3270" s="220" t="s">
        <v>443</v>
      </c>
      <c r="D3270" s="220" t="s">
        <v>166</v>
      </c>
      <c r="E3270" s="165">
        <v>397</v>
      </c>
    </row>
    <row r="3271" spans="1:5" x14ac:dyDescent="0.25">
      <c r="A3271" s="216" t="s">
        <v>4694</v>
      </c>
      <c r="B3271" s="218" t="s">
        <v>48</v>
      </c>
      <c r="C3271" s="220" t="s">
        <v>89</v>
      </c>
      <c r="D3271" s="220" t="s">
        <v>90</v>
      </c>
      <c r="E3271" s="165">
        <v>397</v>
      </c>
    </row>
    <row r="3272" spans="1:5" x14ac:dyDescent="0.25">
      <c r="A3272" s="216" t="s">
        <v>5965</v>
      </c>
      <c r="B3272" s="218" t="s">
        <v>48</v>
      </c>
      <c r="C3272" s="220" t="s">
        <v>727</v>
      </c>
      <c r="D3272" s="220" t="s">
        <v>66</v>
      </c>
      <c r="E3272" s="165">
        <v>397</v>
      </c>
    </row>
    <row r="3273" spans="1:5" x14ac:dyDescent="0.25">
      <c r="A3273" s="216" t="s">
        <v>3146</v>
      </c>
      <c r="B3273" s="218" t="s">
        <v>48</v>
      </c>
      <c r="C3273" s="220" t="s">
        <v>3147</v>
      </c>
      <c r="D3273" s="220" t="s">
        <v>66</v>
      </c>
      <c r="E3273" s="165">
        <v>397</v>
      </c>
    </row>
    <row r="3274" spans="1:5" x14ac:dyDescent="0.25">
      <c r="A3274" s="216" t="s">
        <v>3897</v>
      </c>
      <c r="B3274" s="218" t="s">
        <v>48</v>
      </c>
      <c r="C3274" s="220" t="s">
        <v>1810</v>
      </c>
      <c r="D3274" s="220" t="s">
        <v>75</v>
      </c>
      <c r="E3274" s="165">
        <v>396</v>
      </c>
    </row>
    <row r="3275" spans="1:5" x14ac:dyDescent="0.25">
      <c r="A3275" s="216" t="s">
        <v>4106</v>
      </c>
      <c r="B3275" s="218">
        <v>1</v>
      </c>
      <c r="C3275" s="220" t="s">
        <v>2706</v>
      </c>
      <c r="D3275" s="220" t="s">
        <v>50</v>
      </c>
      <c r="E3275" s="165">
        <v>396</v>
      </c>
    </row>
    <row r="3276" spans="1:5" x14ac:dyDescent="0.25">
      <c r="A3276" s="216" t="s">
        <v>4735</v>
      </c>
      <c r="B3276" s="218">
        <v>1</v>
      </c>
      <c r="C3276" s="220" t="s">
        <v>2912</v>
      </c>
      <c r="D3276" s="220" t="s">
        <v>69</v>
      </c>
      <c r="E3276" s="165">
        <v>396</v>
      </c>
    </row>
    <row r="3277" spans="1:5" x14ac:dyDescent="0.25">
      <c r="A3277" s="216" t="s">
        <v>4615</v>
      </c>
      <c r="B3277" s="218">
        <v>1</v>
      </c>
      <c r="C3277" s="220" t="s">
        <v>4616</v>
      </c>
      <c r="D3277" s="220" t="s">
        <v>78</v>
      </c>
      <c r="E3277" s="165">
        <v>395</v>
      </c>
    </row>
    <row r="3278" spans="1:5" x14ac:dyDescent="0.25">
      <c r="A3278" s="216" t="s">
        <v>4622</v>
      </c>
      <c r="B3278" s="218">
        <v>1</v>
      </c>
      <c r="C3278" s="220" t="s">
        <v>1889</v>
      </c>
      <c r="D3278" s="220" t="s">
        <v>78</v>
      </c>
      <c r="E3278" s="165">
        <v>395</v>
      </c>
    </row>
    <row r="3279" spans="1:5" x14ac:dyDescent="0.25">
      <c r="A3279" s="216" t="s">
        <v>5572</v>
      </c>
      <c r="B3279" s="218">
        <v>1</v>
      </c>
      <c r="C3279" s="220" t="s">
        <v>540</v>
      </c>
      <c r="D3279" s="220" t="s">
        <v>523</v>
      </c>
      <c r="E3279" s="165">
        <v>394</v>
      </c>
    </row>
    <row r="3280" spans="1:5" x14ac:dyDescent="0.25">
      <c r="A3280" s="216" t="s">
        <v>4117</v>
      </c>
      <c r="B3280" s="218">
        <v>1</v>
      </c>
      <c r="C3280" s="220" t="s">
        <v>2829</v>
      </c>
      <c r="D3280" s="220" t="s">
        <v>50</v>
      </c>
      <c r="E3280" s="165">
        <v>394</v>
      </c>
    </row>
    <row r="3281" spans="1:5" x14ac:dyDescent="0.25">
      <c r="A3281" s="216" t="s">
        <v>4984</v>
      </c>
      <c r="B3281" s="218" t="s">
        <v>48</v>
      </c>
      <c r="C3281" s="220" t="s">
        <v>4985</v>
      </c>
      <c r="D3281" s="220" t="s">
        <v>90</v>
      </c>
      <c r="E3281" s="165">
        <v>393</v>
      </c>
    </row>
    <row r="3282" spans="1:5" x14ac:dyDescent="0.25">
      <c r="A3282" s="216" t="s">
        <v>4400</v>
      </c>
      <c r="B3282" s="218">
        <v>1</v>
      </c>
      <c r="C3282" s="220" t="s">
        <v>102</v>
      </c>
      <c r="D3282" s="220" t="s">
        <v>93</v>
      </c>
      <c r="E3282" s="165">
        <v>393</v>
      </c>
    </row>
    <row r="3283" spans="1:5" x14ac:dyDescent="0.25">
      <c r="A3283" s="216" t="s">
        <v>4707</v>
      </c>
      <c r="B3283" s="218">
        <v>1</v>
      </c>
      <c r="C3283" s="220" t="s">
        <v>4708</v>
      </c>
      <c r="D3283" s="220" t="s">
        <v>56</v>
      </c>
      <c r="E3283" s="165">
        <v>393</v>
      </c>
    </row>
    <row r="3284" spans="1:5" x14ac:dyDescent="0.25">
      <c r="A3284" s="216" t="s">
        <v>4857</v>
      </c>
      <c r="B3284" s="218" t="s">
        <v>48</v>
      </c>
      <c r="C3284" s="220" t="s">
        <v>1599</v>
      </c>
      <c r="D3284" s="220" t="s">
        <v>69</v>
      </c>
      <c r="E3284" s="165">
        <v>393</v>
      </c>
    </row>
    <row r="3285" spans="1:5" x14ac:dyDescent="0.25">
      <c r="A3285" s="216" t="s">
        <v>5299</v>
      </c>
      <c r="B3285" s="218" t="s">
        <v>48</v>
      </c>
      <c r="C3285" s="220" t="s">
        <v>1500</v>
      </c>
      <c r="D3285" s="220" t="s">
        <v>127</v>
      </c>
      <c r="E3285" s="165">
        <v>392</v>
      </c>
    </row>
    <row r="3286" spans="1:5" x14ac:dyDescent="0.25">
      <c r="A3286" s="216" t="s">
        <v>11165</v>
      </c>
      <c r="B3286" s="218">
        <v>1</v>
      </c>
      <c r="C3286" s="220" t="s">
        <v>756</v>
      </c>
      <c r="D3286" s="220" t="s">
        <v>66</v>
      </c>
      <c r="E3286" s="165">
        <v>392</v>
      </c>
    </row>
    <row r="3287" spans="1:5" x14ac:dyDescent="0.25">
      <c r="A3287" s="216" t="s">
        <v>4502</v>
      </c>
      <c r="B3287" s="218">
        <v>1</v>
      </c>
      <c r="C3287" s="220" t="s">
        <v>841</v>
      </c>
      <c r="D3287" s="220" t="s">
        <v>130</v>
      </c>
      <c r="E3287" s="165">
        <v>392</v>
      </c>
    </row>
    <row r="3288" spans="1:5" x14ac:dyDescent="0.25">
      <c r="A3288" s="216" t="s">
        <v>5032</v>
      </c>
      <c r="B3288" s="218">
        <v>1</v>
      </c>
      <c r="C3288" s="220" t="s">
        <v>5033</v>
      </c>
      <c r="D3288" s="220" t="s">
        <v>139</v>
      </c>
      <c r="E3288" s="165">
        <v>392</v>
      </c>
    </row>
    <row r="3289" spans="1:5" x14ac:dyDescent="0.25">
      <c r="A3289" s="216" t="s">
        <v>4982</v>
      </c>
      <c r="B3289" s="218">
        <v>1</v>
      </c>
      <c r="C3289" s="220" t="s">
        <v>4983</v>
      </c>
      <c r="D3289" s="220" t="s">
        <v>188</v>
      </c>
      <c r="E3289" s="165">
        <v>392</v>
      </c>
    </row>
    <row r="3290" spans="1:5" x14ac:dyDescent="0.25">
      <c r="A3290" s="216" t="s">
        <v>5665</v>
      </c>
      <c r="B3290" s="218">
        <v>1</v>
      </c>
      <c r="C3290" s="220" t="s">
        <v>71</v>
      </c>
      <c r="D3290" s="220" t="s">
        <v>72</v>
      </c>
      <c r="E3290" s="165">
        <v>392</v>
      </c>
    </row>
    <row r="3291" spans="1:5" x14ac:dyDescent="0.25">
      <c r="A3291" s="216" t="s">
        <v>4848</v>
      </c>
      <c r="B3291" s="218">
        <v>1</v>
      </c>
      <c r="C3291" s="220" t="s">
        <v>77</v>
      </c>
      <c r="D3291" s="220" t="s">
        <v>78</v>
      </c>
      <c r="E3291" s="165">
        <v>392</v>
      </c>
    </row>
    <row r="3292" spans="1:5" x14ac:dyDescent="0.25">
      <c r="A3292" s="216" t="s">
        <v>5672</v>
      </c>
      <c r="B3292" s="218">
        <v>1</v>
      </c>
      <c r="C3292" s="220" t="s">
        <v>5528</v>
      </c>
      <c r="D3292" s="220" t="s">
        <v>72</v>
      </c>
      <c r="E3292" s="165">
        <v>392</v>
      </c>
    </row>
    <row r="3293" spans="1:5" x14ac:dyDescent="0.25">
      <c r="A3293" s="216" t="s">
        <v>4779</v>
      </c>
      <c r="B3293" s="218">
        <v>1</v>
      </c>
      <c r="C3293" s="220" t="s">
        <v>300</v>
      </c>
      <c r="D3293" s="220" t="s">
        <v>69</v>
      </c>
      <c r="E3293" s="165">
        <v>391</v>
      </c>
    </row>
    <row r="3294" spans="1:5" x14ac:dyDescent="0.25">
      <c r="A3294" s="216" t="s">
        <v>4909</v>
      </c>
      <c r="B3294" s="218">
        <v>1</v>
      </c>
      <c r="C3294" s="220" t="s">
        <v>259</v>
      </c>
      <c r="D3294" s="220" t="s">
        <v>50</v>
      </c>
      <c r="E3294" s="165">
        <v>391</v>
      </c>
    </row>
    <row r="3295" spans="1:5" x14ac:dyDescent="0.25">
      <c r="A3295" s="216" t="s">
        <v>4511</v>
      </c>
      <c r="B3295" s="218">
        <v>1</v>
      </c>
      <c r="C3295" s="220" t="s">
        <v>285</v>
      </c>
      <c r="D3295" s="220" t="s">
        <v>130</v>
      </c>
      <c r="E3295" s="165">
        <v>391</v>
      </c>
    </row>
    <row r="3296" spans="1:5" x14ac:dyDescent="0.25">
      <c r="A3296" s="216" t="s">
        <v>4783</v>
      </c>
      <c r="B3296" s="218">
        <v>1</v>
      </c>
      <c r="C3296" s="220" t="s">
        <v>289</v>
      </c>
      <c r="D3296" s="220" t="s">
        <v>69</v>
      </c>
      <c r="E3296" s="165">
        <v>391</v>
      </c>
    </row>
    <row r="3297" spans="1:5" x14ac:dyDescent="0.25">
      <c r="A3297" s="216" t="s">
        <v>4879</v>
      </c>
      <c r="B3297" s="218" t="s">
        <v>48</v>
      </c>
      <c r="C3297" s="220" t="s">
        <v>3508</v>
      </c>
      <c r="D3297" s="220" t="s">
        <v>585</v>
      </c>
      <c r="E3297" s="165">
        <v>391</v>
      </c>
    </row>
    <row r="3298" spans="1:5" x14ac:dyDescent="0.25">
      <c r="A3298" s="216" t="s">
        <v>4729</v>
      </c>
      <c r="B3298" s="218">
        <v>1</v>
      </c>
      <c r="C3298" s="220" t="s">
        <v>2374</v>
      </c>
      <c r="D3298" s="220" t="s">
        <v>188</v>
      </c>
      <c r="E3298" s="165">
        <v>391</v>
      </c>
    </row>
    <row r="3299" spans="1:5" x14ac:dyDescent="0.25">
      <c r="A3299" s="216" t="s">
        <v>11166</v>
      </c>
      <c r="B3299" s="218">
        <v>1</v>
      </c>
      <c r="C3299" s="220" t="s">
        <v>144</v>
      </c>
      <c r="D3299" s="220" t="s">
        <v>59</v>
      </c>
      <c r="E3299" s="165">
        <v>391</v>
      </c>
    </row>
    <row r="3300" spans="1:5" x14ac:dyDescent="0.25">
      <c r="A3300" s="216" t="s">
        <v>4516</v>
      </c>
      <c r="B3300" s="218">
        <v>1</v>
      </c>
      <c r="C3300" s="220" t="s">
        <v>505</v>
      </c>
      <c r="D3300" s="220" t="s">
        <v>130</v>
      </c>
      <c r="E3300" s="165">
        <v>391</v>
      </c>
    </row>
    <row r="3301" spans="1:5" x14ac:dyDescent="0.25">
      <c r="A3301" s="216" t="s">
        <v>4788</v>
      </c>
      <c r="B3301" s="218">
        <v>1</v>
      </c>
      <c r="C3301" s="220" t="s">
        <v>110</v>
      </c>
      <c r="D3301" s="220" t="s">
        <v>69</v>
      </c>
      <c r="E3301" s="165">
        <v>391</v>
      </c>
    </row>
    <row r="3302" spans="1:5" x14ac:dyDescent="0.25">
      <c r="A3302" s="216" t="s">
        <v>4743</v>
      </c>
      <c r="B3302" s="218" t="s">
        <v>48</v>
      </c>
      <c r="C3302" s="220" t="s">
        <v>230</v>
      </c>
      <c r="D3302" s="220" t="s">
        <v>90</v>
      </c>
      <c r="E3302" s="165">
        <v>391</v>
      </c>
    </row>
    <row r="3303" spans="1:5" x14ac:dyDescent="0.25">
      <c r="A3303" s="216" t="s">
        <v>4886</v>
      </c>
      <c r="B3303" s="218">
        <v>1</v>
      </c>
      <c r="C3303" s="220" t="s">
        <v>4157</v>
      </c>
      <c r="D3303" s="220" t="s">
        <v>63</v>
      </c>
      <c r="E3303" s="165">
        <v>391</v>
      </c>
    </row>
    <row r="3304" spans="1:5" x14ac:dyDescent="0.25">
      <c r="A3304" s="216" t="s">
        <v>4710</v>
      </c>
      <c r="B3304" s="218">
        <v>1</v>
      </c>
      <c r="C3304" s="220" t="s">
        <v>238</v>
      </c>
      <c r="D3304" s="220" t="s">
        <v>98</v>
      </c>
      <c r="E3304" s="165">
        <v>391</v>
      </c>
    </row>
    <row r="3305" spans="1:5" x14ac:dyDescent="0.25">
      <c r="A3305" s="216" t="s">
        <v>5008</v>
      </c>
      <c r="B3305" s="218">
        <v>1</v>
      </c>
      <c r="C3305" s="220" t="s">
        <v>2596</v>
      </c>
      <c r="D3305" s="220" t="s">
        <v>188</v>
      </c>
      <c r="E3305" s="165">
        <v>390</v>
      </c>
    </row>
    <row r="3306" spans="1:5" x14ac:dyDescent="0.25">
      <c r="A3306" s="216" t="s">
        <v>11167</v>
      </c>
      <c r="B3306" s="218">
        <v>1</v>
      </c>
      <c r="C3306" s="220" t="s">
        <v>4172</v>
      </c>
      <c r="D3306" s="220" t="s">
        <v>63</v>
      </c>
      <c r="E3306" s="165">
        <v>390</v>
      </c>
    </row>
    <row r="3307" spans="1:5" x14ac:dyDescent="0.25">
      <c r="A3307" s="216" t="s">
        <v>5126</v>
      </c>
      <c r="B3307" s="218" t="s">
        <v>48</v>
      </c>
      <c r="C3307" s="220" t="s">
        <v>89</v>
      </c>
      <c r="D3307" s="220" t="s">
        <v>90</v>
      </c>
      <c r="E3307" s="165">
        <v>390</v>
      </c>
    </row>
    <row r="3308" spans="1:5" x14ac:dyDescent="0.25">
      <c r="A3308" s="216" t="s">
        <v>6151</v>
      </c>
      <c r="B3308" s="218" t="s">
        <v>48</v>
      </c>
      <c r="C3308" s="220" t="s">
        <v>263</v>
      </c>
      <c r="D3308" s="220" t="s">
        <v>264</v>
      </c>
      <c r="E3308" s="165">
        <v>390</v>
      </c>
    </row>
    <row r="3309" spans="1:5" x14ac:dyDescent="0.25">
      <c r="A3309" s="216" t="s">
        <v>5301</v>
      </c>
      <c r="B3309" s="218" t="s">
        <v>48</v>
      </c>
      <c r="C3309" s="220" t="s">
        <v>2415</v>
      </c>
      <c r="D3309" s="220" t="s">
        <v>130</v>
      </c>
      <c r="E3309" s="165">
        <v>390</v>
      </c>
    </row>
    <row r="3310" spans="1:5" x14ac:dyDescent="0.25">
      <c r="A3310" s="216" t="s">
        <v>4764</v>
      </c>
      <c r="B3310" s="218">
        <v>1</v>
      </c>
      <c r="C3310" s="220" t="s">
        <v>545</v>
      </c>
      <c r="D3310" s="220" t="s">
        <v>56</v>
      </c>
      <c r="E3310" s="165">
        <v>390</v>
      </c>
    </row>
    <row r="3311" spans="1:5" x14ac:dyDescent="0.25">
      <c r="A3311" s="216" t="s">
        <v>4749</v>
      </c>
      <c r="B3311" s="218">
        <v>1</v>
      </c>
      <c r="C3311" s="220" t="s">
        <v>121</v>
      </c>
      <c r="D3311" s="220" t="s">
        <v>56</v>
      </c>
      <c r="E3311" s="165">
        <v>390</v>
      </c>
    </row>
    <row r="3312" spans="1:5" x14ac:dyDescent="0.25">
      <c r="A3312" s="216" t="s">
        <v>7267</v>
      </c>
      <c r="B3312" s="218">
        <v>1</v>
      </c>
      <c r="C3312" s="220" t="s">
        <v>6862</v>
      </c>
      <c r="D3312" s="220" t="s">
        <v>82</v>
      </c>
      <c r="E3312" s="165">
        <v>389</v>
      </c>
    </row>
    <row r="3313" spans="1:5" x14ac:dyDescent="0.25">
      <c r="A3313" s="216" t="s">
        <v>4671</v>
      </c>
      <c r="B3313" s="218">
        <v>1</v>
      </c>
      <c r="C3313" s="220" t="s">
        <v>196</v>
      </c>
      <c r="D3313" s="220" t="s">
        <v>50</v>
      </c>
      <c r="E3313" s="165">
        <v>389</v>
      </c>
    </row>
    <row r="3314" spans="1:5" x14ac:dyDescent="0.25">
      <c r="A3314" s="216" t="s">
        <v>4613</v>
      </c>
      <c r="B3314" s="218">
        <v>1</v>
      </c>
      <c r="C3314" s="220" t="s">
        <v>4614</v>
      </c>
      <c r="D3314" s="220" t="s">
        <v>201</v>
      </c>
      <c r="E3314" s="165">
        <v>388</v>
      </c>
    </row>
    <row r="3315" spans="1:5" x14ac:dyDescent="0.25">
      <c r="A3315" s="216" t="s">
        <v>4944</v>
      </c>
      <c r="B3315" s="218">
        <v>1</v>
      </c>
      <c r="C3315" s="220" t="s">
        <v>4945</v>
      </c>
      <c r="D3315" s="220" t="s">
        <v>177</v>
      </c>
      <c r="E3315" s="165">
        <v>388</v>
      </c>
    </row>
    <row r="3316" spans="1:5" x14ac:dyDescent="0.25">
      <c r="A3316" s="216" t="s">
        <v>4556</v>
      </c>
      <c r="B3316" s="218" t="s">
        <v>48</v>
      </c>
      <c r="C3316" s="220" t="s">
        <v>4557</v>
      </c>
      <c r="D3316" s="220" t="s">
        <v>59</v>
      </c>
      <c r="E3316" s="165">
        <v>388</v>
      </c>
    </row>
    <row r="3317" spans="1:5" x14ac:dyDescent="0.25">
      <c r="A3317" s="216" t="s">
        <v>11168</v>
      </c>
      <c r="B3317" s="218" t="s">
        <v>48</v>
      </c>
      <c r="C3317" s="220" t="s">
        <v>257</v>
      </c>
      <c r="D3317" s="220" t="s">
        <v>108</v>
      </c>
      <c r="E3317" s="165">
        <v>388</v>
      </c>
    </row>
    <row r="3318" spans="1:5" x14ac:dyDescent="0.25">
      <c r="A3318" s="216" t="s">
        <v>5341</v>
      </c>
      <c r="B3318" s="218">
        <v>1</v>
      </c>
      <c r="C3318" s="220" t="s">
        <v>647</v>
      </c>
      <c r="D3318" s="220" t="s">
        <v>236</v>
      </c>
      <c r="E3318" s="165">
        <v>388</v>
      </c>
    </row>
    <row r="3319" spans="1:5" x14ac:dyDescent="0.25">
      <c r="A3319" s="216" t="s">
        <v>4037</v>
      </c>
      <c r="B3319" s="218">
        <v>1</v>
      </c>
      <c r="C3319" s="220" t="s">
        <v>289</v>
      </c>
      <c r="D3319" s="220" t="s">
        <v>69</v>
      </c>
      <c r="E3319" s="165">
        <v>388</v>
      </c>
    </row>
    <row r="3320" spans="1:5" x14ac:dyDescent="0.25">
      <c r="A3320" s="216" t="s">
        <v>4942</v>
      </c>
      <c r="B3320" s="218">
        <v>1</v>
      </c>
      <c r="C3320" s="220" t="s">
        <v>4943</v>
      </c>
      <c r="D3320" s="220" t="s">
        <v>394</v>
      </c>
      <c r="E3320" s="165">
        <v>388</v>
      </c>
    </row>
    <row r="3321" spans="1:5" x14ac:dyDescent="0.25">
      <c r="A3321" s="216" t="s">
        <v>4750</v>
      </c>
      <c r="B3321" s="218">
        <v>1</v>
      </c>
      <c r="C3321" s="220" t="s">
        <v>1875</v>
      </c>
      <c r="D3321" s="220" t="s">
        <v>188</v>
      </c>
      <c r="E3321" s="165">
        <v>387</v>
      </c>
    </row>
    <row r="3322" spans="1:5" x14ac:dyDescent="0.25">
      <c r="A3322" s="216" t="s">
        <v>5009</v>
      </c>
      <c r="B3322" s="218" t="s">
        <v>48</v>
      </c>
      <c r="C3322" s="220" t="s">
        <v>5010</v>
      </c>
      <c r="D3322" s="220" t="s">
        <v>59</v>
      </c>
      <c r="E3322" s="165">
        <v>387</v>
      </c>
    </row>
    <row r="3323" spans="1:5" x14ac:dyDescent="0.25">
      <c r="A3323" s="216" t="s">
        <v>4643</v>
      </c>
      <c r="B3323" s="218">
        <v>1</v>
      </c>
      <c r="C3323" s="220" t="s">
        <v>3313</v>
      </c>
      <c r="D3323" s="220" t="s">
        <v>192</v>
      </c>
      <c r="E3323" s="165">
        <v>387</v>
      </c>
    </row>
    <row r="3324" spans="1:5" x14ac:dyDescent="0.25">
      <c r="A3324" s="216" t="s">
        <v>4915</v>
      </c>
      <c r="B3324" s="218" t="s">
        <v>48</v>
      </c>
      <c r="C3324" s="220" t="s">
        <v>283</v>
      </c>
      <c r="D3324" s="220" t="s">
        <v>59</v>
      </c>
      <c r="E3324" s="165">
        <v>387</v>
      </c>
    </row>
    <row r="3325" spans="1:5" x14ac:dyDescent="0.25">
      <c r="A3325" s="216" t="s">
        <v>4745</v>
      </c>
      <c r="B3325" s="218">
        <v>1</v>
      </c>
      <c r="C3325" s="220" t="s">
        <v>2648</v>
      </c>
      <c r="D3325" s="220" t="s">
        <v>98</v>
      </c>
      <c r="E3325" s="165">
        <v>387</v>
      </c>
    </row>
    <row r="3326" spans="1:5" x14ac:dyDescent="0.25">
      <c r="A3326" s="216" t="s">
        <v>4035</v>
      </c>
      <c r="B3326" s="218" t="s">
        <v>48</v>
      </c>
      <c r="C3326" s="220" t="s">
        <v>2225</v>
      </c>
      <c r="D3326" s="220" t="s">
        <v>90</v>
      </c>
      <c r="E3326" s="165">
        <v>386</v>
      </c>
    </row>
    <row r="3327" spans="1:5" x14ac:dyDescent="0.25">
      <c r="A3327" s="216" t="s">
        <v>5619</v>
      </c>
      <c r="B3327" s="218" t="s">
        <v>48</v>
      </c>
      <c r="C3327" s="220" t="s">
        <v>473</v>
      </c>
      <c r="D3327" s="220" t="s">
        <v>82</v>
      </c>
      <c r="E3327" s="165">
        <v>386</v>
      </c>
    </row>
    <row r="3328" spans="1:5" x14ac:dyDescent="0.25">
      <c r="A3328" s="216" t="s">
        <v>6642</v>
      </c>
      <c r="B3328" s="218" t="s">
        <v>48</v>
      </c>
      <c r="C3328" s="220" t="s">
        <v>6643</v>
      </c>
      <c r="D3328" s="220" t="s">
        <v>59</v>
      </c>
      <c r="E3328" s="165">
        <v>386</v>
      </c>
    </row>
    <row r="3329" spans="1:5" x14ac:dyDescent="0.25">
      <c r="A3329" s="216" t="s">
        <v>4794</v>
      </c>
      <c r="B3329" s="218">
        <v>1</v>
      </c>
      <c r="C3329" s="220" t="s">
        <v>1487</v>
      </c>
      <c r="D3329" s="220" t="s">
        <v>56</v>
      </c>
      <c r="E3329" s="165">
        <v>386</v>
      </c>
    </row>
    <row r="3330" spans="1:5" x14ac:dyDescent="0.25">
      <c r="A3330" s="216" t="s">
        <v>4431</v>
      </c>
      <c r="B3330" s="218" t="s">
        <v>48</v>
      </c>
      <c r="C3330" s="220" t="s">
        <v>496</v>
      </c>
      <c r="D3330" s="220" t="s">
        <v>272</v>
      </c>
      <c r="E3330" s="165">
        <v>386</v>
      </c>
    </row>
    <row r="3331" spans="1:5" x14ac:dyDescent="0.25">
      <c r="A3331" s="216" t="s">
        <v>5693</v>
      </c>
      <c r="B3331" s="218" t="s">
        <v>48</v>
      </c>
      <c r="C3331" s="220" t="s">
        <v>4568</v>
      </c>
      <c r="D3331" s="220" t="s">
        <v>56</v>
      </c>
      <c r="E3331" s="165">
        <v>386</v>
      </c>
    </row>
    <row r="3332" spans="1:5" x14ac:dyDescent="0.25">
      <c r="A3332" s="216" t="s">
        <v>4905</v>
      </c>
      <c r="B3332" s="218" t="s">
        <v>48</v>
      </c>
      <c r="C3332" s="220" t="s">
        <v>4906</v>
      </c>
      <c r="D3332" s="220" t="s">
        <v>774</v>
      </c>
      <c r="E3332" s="165">
        <v>386</v>
      </c>
    </row>
    <row r="3333" spans="1:5" x14ac:dyDescent="0.25">
      <c r="A3333" s="216" t="s">
        <v>9938</v>
      </c>
      <c r="B3333" s="218" t="s">
        <v>48</v>
      </c>
      <c r="C3333" s="220" t="s">
        <v>473</v>
      </c>
      <c r="D3333" s="220" t="s">
        <v>82</v>
      </c>
      <c r="E3333" s="165">
        <v>386</v>
      </c>
    </row>
    <row r="3334" spans="1:5" x14ac:dyDescent="0.25">
      <c r="A3334" s="216" t="s">
        <v>5159</v>
      </c>
      <c r="B3334" s="218" t="s">
        <v>48</v>
      </c>
      <c r="C3334" s="220" t="s">
        <v>1835</v>
      </c>
      <c r="D3334" s="220" t="s">
        <v>50</v>
      </c>
      <c r="E3334" s="165">
        <v>385</v>
      </c>
    </row>
    <row r="3335" spans="1:5" x14ac:dyDescent="0.25">
      <c r="A3335" s="216" t="s">
        <v>4990</v>
      </c>
      <c r="B3335" s="218">
        <v>1</v>
      </c>
      <c r="C3335" s="220" t="s">
        <v>4991</v>
      </c>
      <c r="D3335" s="220" t="s">
        <v>69</v>
      </c>
      <c r="E3335" s="165">
        <v>385</v>
      </c>
    </row>
    <row r="3336" spans="1:5" x14ac:dyDescent="0.25">
      <c r="A3336" s="216" t="s">
        <v>4890</v>
      </c>
      <c r="B3336" s="218" t="s">
        <v>48</v>
      </c>
      <c r="C3336" s="220" t="s">
        <v>4891</v>
      </c>
      <c r="D3336" s="220" t="s">
        <v>50</v>
      </c>
      <c r="E3336" s="165">
        <v>385</v>
      </c>
    </row>
    <row r="3337" spans="1:5" x14ac:dyDescent="0.25">
      <c r="A3337" s="216" t="s">
        <v>4370</v>
      </c>
      <c r="B3337" s="218" t="s">
        <v>48</v>
      </c>
      <c r="C3337" s="220" t="s">
        <v>615</v>
      </c>
      <c r="D3337" s="220" t="s">
        <v>108</v>
      </c>
      <c r="E3337" s="165">
        <v>385</v>
      </c>
    </row>
    <row r="3338" spans="1:5" x14ac:dyDescent="0.25">
      <c r="A3338" s="216" t="s">
        <v>11169</v>
      </c>
      <c r="B3338" s="218" t="s">
        <v>48</v>
      </c>
      <c r="C3338" s="220" t="s">
        <v>4648</v>
      </c>
      <c r="D3338" s="220" t="s">
        <v>56</v>
      </c>
      <c r="E3338" s="165">
        <v>385</v>
      </c>
    </row>
    <row r="3339" spans="1:5" x14ac:dyDescent="0.25">
      <c r="A3339" s="216" t="s">
        <v>4774</v>
      </c>
      <c r="B3339" s="218" t="s">
        <v>48</v>
      </c>
      <c r="C3339" s="220" t="s">
        <v>1405</v>
      </c>
      <c r="D3339" s="220" t="s">
        <v>710</v>
      </c>
      <c r="E3339" s="165">
        <v>385</v>
      </c>
    </row>
    <row r="3340" spans="1:5" x14ac:dyDescent="0.25">
      <c r="A3340" s="216" t="s">
        <v>4998</v>
      </c>
      <c r="B3340" s="218">
        <v>1</v>
      </c>
      <c r="C3340" s="220" t="s">
        <v>3149</v>
      </c>
      <c r="D3340" s="220" t="s">
        <v>69</v>
      </c>
      <c r="E3340" s="165">
        <v>385</v>
      </c>
    </row>
    <row r="3341" spans="1:5" x14ac:dyDescent="0.25">
      <c r="A3341" s="216" t="s">
        <v>4999</v>
      </c>
      <c r="B3341" s="218">
        <v>1</v>
      </c>
      <c r="C3341" s="220" t="s">
        <v>640</v>
      </c>
      <c r="D3341" s="220" t="s">
        <v>69</v>
      </c>
      <c r="E3341" s="165">
        <v>385</v>
      </c>
    </row>
    <row r="3342" spans="1:5" x14ac:dyDescent="0.25">
      <c r="A3342" s="216" t="s">
        <v>10571</v>
      </c>
      <c r="B3342" s="218">
        <v>1</v>
      </c>
      <c r="C3342" s="220" t="s">
        <v>144</v>
      </c>
      <c r="D3342" s="220" t="s">
        <v>59</v>
      </c>
      <c r="E3342" s="165">
        <v>384</v>
      </c>
    </row>
    <row r="3343" spans="1:5" x14ac:dyDescent="0.25">
      <c r="A3343" s="216" t="s">
        <v>4759</v>
      </c>
      <c r="B3343" s="218" t="s">
        <v>48</v>
      </c>
      <c r="C3343" s="220" t="s">
        <v>4760</v>
      </c>
      <c r="D3343" s="220" t="s">
        <v>93</v>
      </c>
      <c r="E3343" s="165">
        <v>384</v>
      </c>
    </row>
    <row r="3344" spans="1:5" x14ac:dyDescent="0.25">
      <c r="A3344" s="216" t="s">
        <v>4780</v>
      </c>
      <c r="B3344" s="218">
        <v>1</v>
      </c>
      <c r="C3344" s="220" t="s">
        <v>4781</v>
      </c>
      <c r="D3344" s="220" t="s">
        <v>98</v>
      </c>
      <c r="E3344" s="165">
        <v>383</v>
      </c>
    </row>
    <row r="3345" spans="1:5" x14ac:dyDescent="0.25">
      <c r="A3345" s="216" t="s">
        <v>11170</v>
      </c>
      <c r="B3345" s="218">
        <v>1</v>
      </c>
      <c r="C3345" s="220" t="s">
        <v>279</v>
      </c>
      <c r="D3345" s="220" t="s">
        <v>127</v>
      </c>
      <c r="E3345" s="165">
        <v>383</v>
      </c>
    </row>
    <row r="3346" spans="1:5" x14ac:dyDescent="0.25">
      <c r="A3346" s="216" t="s">
        <v>11171</v>
      </c>
      <c r="B3346" s="218">
        <v>1</v>
      </c>
      <c r="C3346" s="220" t="s">
        <v>4830</v>
      </c>
      <c r="D3346" s="220" t="s">
        <v>69</v>
      </c>
      <c r="E3346" s="165">
        <v>383</v>
      </c>
    </row>
    <row r="3347" spans="1:5" x14ac:dyDescent="0.25">
      <c r="A3347" s="216" t="s">
        <v>11172</v>
      </c>
      <c r="B3347" s="218">
        <v>1</v>
      </c>
      <c r="C3347" s="220" t="s">
        <v>4520</v>
      </c>
      <c r="D3347" s="220" t="s">
        <v>130</v>
      </c>
      <c r="E3347" s="165">
        <v>383</v>
      </c>
    </row>
    <row r="3348" spans="1:5" x14ac:dyDescent="0.25">
      <c r="A3348" s="216" t="s">
        <v>11173</v>
      </c>
      <c r="B3348" s="218">
        <v>1</v>
      </c>
      <c r="C3348" s="220" t="s">
        <v>1283</v>
      </c>
      <c r="D3348" s="220" t="s">
        <v>72</v>
      </c>
      <c r="E3348" s="165">
        <v>383</v>
      </c>
    </row>
    <row r="3349" spans="1:5" x14ac:dyDescent="0.25">
      <c r="A3349" s="216" t="s">
        <v>3024</v>
      </c>
      <c r="B3349" s="218" t="s">
        <v>48</v>
      </c>
      <c r="C3349" s="220" t="s">
        <v>1243</v>
      </c>
      <c r="D3349" s="220" t="s">
        <v>166</v>
      </c>
      <c r="E3349" s="165">
        <v>382</v>
      </c>
    </row>
    <row r="3350" spans="1:5" x14ac:dyDescent="0.25">
      <c r="A3350" s="216" t="s">
        <v>2684</v>
      </c>
      <c r="B3350" s="218">
        <v>1</v>
      </c>
      <c r="C3350" s="220" t="s">
        <v>2685</v>
      </c>
      <c r="D3350" s="220" t="s">
        <v>575</v>
      </c>
      <c r="E3350" s="165">
        <v>382</v>
      </c>
    </row>
    <row r="3351" spans="1:5" x14ac:dyDescent="0.25">
      <c r="A3351" s="216" t="s">
        <v>4937</v>
      </c>
      <c r="B3351" s="218">
        <v>1</v>
      </c>
      <c r="C3351" s="220" t="s">
        <v>4624</v>
      </c>
      <c r="D3351" s="220" t="s">
        <v>63</v>
      </c>
      <c r="E3351" s="165">
        <v>382</v>
      </c>
    </row>
    <row r="3352" spans="1:5" x14ac:dyDescent="0.25">
      <c r="A3352" s="216" t="s">
        <v>4605</v>
      </c>
      <c r="B3352" s="218" t="s">
        <v>48</v>
      </c>
      <c r="C3352" s="220" t="s">
        <v>4606</v>
      </c>
      <c r="D3352" s="220" t="s">
        <v>277</v>
      </c>
      <c r="E3352" s="165">
        <v>381</v>
      </c>
    </row>
    <row r="3353" spans="1:5" x14ac:dyDescent="0.25">
      <c r="A3353" s="216" t="s">
        <v>5759</v>
      </c>
      <c r="B3353" s="218">
        <v>1</v>
      </c>
      <c r="C3353" s="220" t="s">
        <v>5262</v>
      </c>
      <c r="D3353" s="220" t="s">
        <v>72</v>
      </c>
      <c r="E3353" s="165">
        <v>381</v>
      </c>
    </row>
    <row r="3354" spans="1:5" x14ac:dyDescent="0.25">
      <c r="A3354" s="216" t="s">
        <v>4687</v>
      </c>
      <c r="B3354" s="218">
        <v>1</v>
      </c>
      <c r="C3354" s="220" t="s">
        <v>481</v>
      </c>
      <c r="D3354" s="220" t="s">
        <v>142</v>
      </c>
      <c r="E3354" s="165">
        <v>381</v>
      </c>
    </row>
    <row r="3355" spans="1:5" x14ac:dyDescent="0.25">
      <c r="A3355" s="216" t="s">
        <v>3741</v>
      </c>
      <c r="B3355" s="218" t="s">
        <v>48</v>
      </c>
      <c r="C3355" s="220" t="s">
        <v>285</v>
      </c>
      <c r="D3355" s="220" t="s">
        <v>59</v>
      </c>
      <c r="E3355" s="165">
        <v>381</v>
      </c>
    </row>
    <row r="3356" spans="1:5" x14ac:dyDescent="0.25">
      <c r="A3356" s="216" t="s">
        <v>5075</v>
      </c>
      <c r="B3356" s="218">
        <v>1</v>
      </c>
      <c r="C3356" s="220" t="s">
        <v>5076</v>
      </c>
      <c r="D3356" s="220" t="s">
        <v>188</v>
      </c>
      <c r="E3356" s="165">
        <v>381</v>
      </c>
    </row>
    <row r="3357" spans="1:5" x14ac:dyDescent="0.25">
      <c r="A3357" s="216" t="s">
        <v>5258</v>
      </c>
      <c r="B3357" s="218">
        <v>1</v>
      </c>
      <c r="C3357" s="220" t="s">
        <v>5259</v>
      </c>
      <c r="D3357" s="220" t="s">
        <v>201</v>
      </c>
      <c r="E3357" s="165">
        <v>381</v>
      </c>
    </row>
    <row r="3358" spans="1:5" x14ac:dyDescent="0.25">
      <c r="A3358" s="216" t="s">
        <v>4821</v>
      </c>
      <c r="B3358" s="218" t="s">
        <v>48</v>
      </c>
      <c r="C3358" s="220" t="s">
        <v>727</v>
      </c>
      <c r="D3358" s="220" t="s">
        <v>628</v>
      </c>
      <c r="E3358" s="165">
        <v>380</v>
      </c>
    </row>
    <row r="3359" spans="1:5" x14ac:dyDescent="0.25">
      <c r="A3359" s="216" t="s">
        <v>5475</v>
      </c>
      <c r="B3359" s="218" t="s">
        <v>48</v>
      </c>
      <c r="C3359" s="220" t="s">
        <v>748</v>
      </c>
      <c r="D3359" s="220" t="s">
        <v>59</v>
      </c>
      <c r="E3359" s="165">
        <v>380</v>
      </c>
    </row>
    <row r="3360" spans="1:5" x14ac:dyDescent="0.25">
      <c r="A3360" s="216" t="s">
        <v>4932</v>
      </c>
      <c r="B3360" s="218" t="s">
        <v>48</v>
      </c>
      <c r="C3360" s="220" t="s">
        <v>289</v>
      </c>
      <c r="D3360" s="220" t="s">
        <v>69</v>
      </c>
      <c r="E3360" s="165">
        <v>380</v>
      </c>
    </row>
    <row r="3361" spans="1:5" x14ac:dyDescent="0.25">
      <c r="A3361" s="216" t="s">
        <v>11174</v>
      </c>
      <c r="B3361" s="218" t="s">
        <v>48</v>
      </c>
      <c r="C3361" s="220" t="s">
        <v>11175</v>
      </c>
      <c r="D3361" s="220" t="s">
        <v>802</v>
      </c>
      <c r="E3361" s="165">
        <v>380</v>
      </c>
    </row>
    <row r="3362" spans="1:5" x14ac:dyDescent="0.25">
      <c r="A3362" s="216" t="s">
        <v>4976</v>
      </c>
      <c r="B3362" s="218" t="s">
        <v>48</v>
      </c>
      <c r="C3362" s="220" t="s">
        <v>4977</v>
      </c>
      <c r="D3362" s="220" t="s">
        <v>188</v>
      </c>
      <c r="E3362" s="165">
        <v>380</v>
      </c>
    </row>
    <row r="3363" spans="1:5" x14ac:dyDescent="0.25">
      <c r="A3363" s="216" t="s">
        <v>4373</v>
      </c>
      <c r="B3363" s="218" t="s">
        <v>48</v>
      </c>
      <c r="C3363" s="220" t="s">
        <v>4374</v>
      </c>
      <c r="D3363" s="220" t="s">
        <v>90</v>
      </c>
      <c r="E3363" s="165">
        <v>380</v>
      </c>
    </row>
    <row r="3364" spans="1:5" x14ac:dyDescent="0.25">
      <c r="A3364" s="216" t="s">
        <v>5532</v>
      </c>
      <c r="B3364" s="218">
        <v>1</v>
      </c>
      <c r="C3364" s="220" t="s">
        <v>2277</v>
      </c>
      <c r="D3364" s="220" t="s">
        <v>105</v>
      </c>
      <c r="E3364" s="165">
        <v>380</v>
      </c>
    </row>
    <row r="3365" spans="1:5" x14ac:dyDescent="0.25">
      <c r="A3365" s="216" t="s">
        <v>5090</v>
      </c>
      <c r="B3365" s="218">
        <v>1</v>
      </c>
      <c r="C3365" s="220" t="s">
        <v>4062</v>
      </c>
      <c r="D3365" s="220" t="s">
        <v>188</v>
      </c>
      <c r="E3365" s="165">
        <v>379</v>
      </c>
    </row>
    <row r="3366" spans="1:5" x14ac:dyDescent="0.25">
      <c r="A3366" s="216" t="s">
        <v>5062</v>
      </c>
      <c r="B3366" s="218">
        <v>1</v>
      </c>
      <c r="C3366" s="220" t="s">
        <v>2576</v>
      </c>
      <c r="D3366" s="220" t="s">
        <v>56</v>
      </c>
      <c r="E3366" s="165">
        <v>379</v>
      </c>
    </row>
    <row r="3367" spans="1:5" x14ac:dyDescent="0.25">
      <c r="A3367" s="216" t="s">
        <v>4744</v>
      </c>
      <c r="B3367" s="218">
        <v>1</v>
      </c>
      <c r="C3367" s="220" t="s">
        <v>1259</v>
      </c>
      <c r="D3367" s="220" t="s">
        <v>1200</v>
      </c>
      <c r="E3367" s="165">
        <v>379</v>
      </c>
    </row>
    <row r="3368" spans="1:5" x14ac:dyDescent="0.25">
      <c r="A3368" s="216" t="s">
        <v>9388</v>
      </c>
      <c r="B3368" s="218">
        <v>1</v>
      </c>
      <c r="C3368" s="220" t="s">
        <v>5214</v>
      </c>
      <c r="D3368" s="220" t="s">
        <v>277</v>
      </c>
      <c r="E3368" s="165">
        <v>379</v>
      </c>
    </row>
    <row r="3369" spans="1:5" x14ac:dyDescent="0.25">
      <c r="A3369" s="216" t="s">
        <v>4722</v>
      </c>
      <c r="B3369" s="218">
        <v>1</v>
      </c>
      <c r="C3369" s="220" t="s">
        <v>4723</v>
      </c>
      <c r="D3369" s="220" t="s">
        <v>236</v>
      </c>
      <c r="E3369" s="165">
        <v>379</v>
      </c>
    </row>
    <row r="3370" spans="1:5" x14ac:dyDescent="0.25">
      <c r="A3370" s="216" t="s">
        <v>6310</v>
      </c>
      <c r="B3370" s="218" t="s">
        <v>48</v>
      </c>
      <c r="C3370" s="220" t="s">
        <v>6311</v>
      </c>
      <c r="D3370" s="220" t="s">
        <v>166</v>
      </c>
      <c r="E3370" s="165">
        <v>379</v>
      </c>
    </row>
    <row r="3371" spans="1:5" x14ac:dyDescent="0.25">
      <c r="A3371" s="216" t="s">
        <v>8635</v>
      </c>
      <c r="B3371" s="218" t="s">
        <v>48</v>
      </c>
      <c r="C3371" s="220" t="s">
        <v>1047</v>
      </c>
      <c r="D3371" s="220" t="s">
        <v>53</v>
      </c>
      <c r="E3371" s="165">
        <v>378</v>
      </c>
    </row>
    <row r="3372" spans="1:5" x14ac:dyDescent="0.25">
      <c r="A3372" s="216" t="s">
        <v>4653</v>
      </c>
      <c r="B3372" s="218" t="s">
        <v>48</v>
      </c>
      <c r="C3372" s="220" t="s">
        <v>4654</v>
      </c>
      <c r="D3372" s="220" t="s">
        <v>188</v>
      </c>
      <c r="E3372" s="165">
        <v>378</v>
      </c>
    </row>
    <row r="3373" spans="1:5" x14ac:dyDescent="0.25">
      <c r="A3373" s="216" t="s">
        <v>4256</v>
      </c>
      <c r="B3373" s="218">
        <v>1</v>
      </c>
      <c r="C3373" s="220" t="s">
        <v>270</v>
      </c>
      <c r="D3373" s="220" t="s">
        <v>177</v>
      </c>
      <c r="E3373" s="165">
        <v>378</v>
      </c>
    </row>
    <row r="3374" spans="1:5" x14ac:dyDescent="0.25">
      <c r="A3374" s="216" t="s">
        <v>4766</v>
      </c>
      <c r="B3374" s="218">
        <v>1</v>
      </c>
      <c r="C3374" s="220" t="s">
        <v>4767</v>
      </c>
      <c r="D3374" s="220" t="s">
        <v>93</v>
      </c>
      <c r="E3374" s="165">
        <v>378</v>
      </c>
    </row>
    <row r="3375" spans="1:5" x14ac:dyDescent="0.25">
      <c r="A3375" s="216" t="s">
        <v>4854</v>
      </c>
      <c r="B3375" s="218">
        <v>1</v>
      </c>
      <c r="C3375" s="220" t="s">
        <v>1877</v>
      </c>
      <c r="D3375" s="220" t="s">
        <v>56</v>
      </c>
      <c r="E3375" s="165">
        <v>377</v>
      </c>
    </row>
    <row r="3376" spans="1:5" x14ac:dyDescent="0.25">
      <c r="A3376" s="216" t="s">
        <v>7037</v>
      </c>
      <c r="B3376" s="218" t="s">
        <v>48</v>
      </c>
      <c r="C3376" s="220" t="s">
        <v>7038</v>
      </c>
      <c r="D3376" s="220" t="s">
        <v>75</v>
      </c>
      <c r="E3376" s="165">
        <v>377</v>
      </c>
    </row>
    <row r="3377" spans="1:5" x14ac:dyDescent="0.25">
      <c r="A3377" s="216" t="s">
        <v>5161</v>
      </c>
      <c r="B3377" s="218" t="s">
        <v>48</v>
      </c>
      <c r="C3377" s="220" t="s">
        <v>135</v>
      </c>
      <c r="D3377" s="220" t="s">
        <v>108</v>
      </c>
      <c r="E3377" s="165">
        <v>377</v>
      </c>
    </row>
    <row r="3378" spans="1:5" x14ac:dyDescent="0.25">
      <c r="A3378" s="216" t="s">
        <v>5000</v>
      </c>
      <c r="B3378" s="218" t="s">
        <v>48</v>
      </c>
      <c r="C3378" s="220" t="s">
        <v>5001</v>
      </c>
      <c r="D3378" s="220" t="s">
        <v>166</v>
      </c>
      <c r="E3378" s="165">
        <v>377</v>
      </c>
    </row>
    <row r="3379" spans="1:5" x14ac:dyDescent="0.25">
      <c r="A3379" s="216" t="s">
        <v>5710</v>
      </c>
      <c r="B3379" s="218">
        <v>1</v>
      </c>
      <c r="C3379" s="220" t="s">
        <v>4396</v>
      </c>
      <c r="D3379" s="220" t="s">
        <v>130</v>
      </c>
      <c r="E3379" s="165">
        <v>377</v>
      </c>
    </row>
    <row r="3380" spans="1:5" x14ac:dyDescent="0.25">
      <c r="A3380" s="216" t="s">
        <v>4827</v>
      </c>
      <c r="B3380" s="218">
        <v>1</v>
      </c>
      <c r="C3380" s="220" t="s">
        <v>4828</v>
      </c>
      <c r="D3380" s="220" t="s">
        <v>56</v>
      </c>
      <c r="E3380" s="165">
        <v>377</v>
      </c>
    </row>
    <row r="3381" spans="1:5" x14ac:dyDescent="0.25">
      <c r="A3381" s="216" t="s">
        <v>5234</v>
      </c>
      <c r="B3381" s="218" t="s">
        <v>48</v>
      </c>
      <c r="C3381" s="220" t="s">
        <v>5235</v>
      </c>
      <c r="D3381" s="220" t="s">
        <v>585</v>
      </c>
      <c r="E3381" s="165">
        <v>377</v>
      </c>
    </row>
    <row r="3382" spans="1:5" x14ac:dyDescent="0.25">
      <c r="A3382" s="216" t="s">
        <v>4858</v>
      </c>
      <c r="B3382" s="218">
        <v>1</v>
      </c>
      <c r="C3382" s="220" t="s">
        <v>2824</v>
      </c>
      <c r="D3382" s="220" t="s">
        <v>56</v>
      </c>
      <c r="E3382" s="165">
        <v>377</v>
      </c>
    </row>
    <row r="3383" spans="1:5" x14ac:dyDescent="0.25">
      <c r="A3383" s="216" t="s">
        <v>4777</v>
      </c>
      <c r="B3383" s="218">
        <v>1</v>
      </c>
      <c r="C3383" s="220" t="s">
        <v>4483</v>
      </c>
      <c r="D3383" s="220" t="s">
        <v>277</v>
      </c>
      <c r="E3383" s="165">
        <v>377</v>
      </c>
    </row>
    <row r="3384" spans="1:5" x14ac:dyDescent="0.25">
      <c r="A3384" s="216" t="s">
        <v>10566</v>
      </c>
      <c r="B3384" s="218" t="s">
        <v>48</v>
      </c>
      <c r="C3384" s="220" t="s">
        <v>4162</v>
      </c>
      <c r="D3384" s="220" t="s">
        <v>53</v>
      </c>
      <c r="E3384" s="165">
        <v>376</v>
      </c>
    </row>
    <row r="3385" spans="1:5" x14ac:dyDescent="0.25">
      <c r="A3385" s="216" t="s">
        <v>4086</v>
      </c>
      <c r="B3385" s="218" t="s">
        <v>48</v>
      </c>
      <c r="C3385" s="220" t="s">
        <v>4087</v>
      </c>
      <c r="D3385" s="220" t="s">
        <v>108</v>
      </c>
      <c r="E3385" s="165">
        <v>376</v>
      </c>
    </row>
    <row r="3386" spans="1:5" x14ac:dyDescent="0.25">
      <c r="A3386" s="216" t="s">
        <v>5108</v>
      </c>
      <c r="B3386" s="218">
        <v>1</v>
      </c>
      <c r="C3386" s="220" t="s">
        <v>5109</v>
      </c>
      <c r="D3386" s="220" t="s">
        <v>188</v>
      </c>
      <c r="E3386" s="165">
        <v>376</v>
      </c>
    </row>
    <row r="3387" spans="1:5" x14ac:dyDescent="0.25">
      <c r="A3387" s="216" t="s">
        <v>7074</v>
      </c>
      <c r="B3387" s="218" t="s">
        <v>48</v>
      </c>
      <c r="C3387" s="220" t="s">
        <v>323</v>
      </c>
      <c r="D3387" s="220" t="s">
        <v>277</v>
      </c>
      <c r="E3387" s="165">
        <v>376</v>
      </c>
    </row>
    <row r="3388" spans="1:5" x14ac:dyDescent="0.25">
      <c r="A3388" s="216" t="s">
        <v>4892</v>
      </c>
      <c r="B3388" s="218" t="s">
        <v>48</v>
      </c>
      <c r="C3388" s="220" t="s">
        <v>709</v>
      </c>
      <c r="D3388" s="220" t="s">
        <v>710</v>
      </c>
      <c r="E3388" s="165">
        <v>375</v>
      </c>
    </row>
    <row r="3389" spans="1:5" x14ac:dyDescent="0.25">
      <c r="A3389" s="216" t="s">
        <v>6680</v>
      </c>
      <c r="B3389" s="218" t="s">
        <v>48</v>
      </c>
      <c r="C3389" s="220" t="s">
        <v>331</v>
      </c>
      <c r="D3389" s="220" t="s">
        <v>69</v>
      </c>
      <c r="E3389" s="165">
        <v>375</v>
      </c>
    </row>
    <row r="3390" spans="1:5" x14ac:dyDescent="0.25">
      <c r="A3390" s="216" t="s">
        <v>5302</v>
      </c>
      <c r="B3390" s="218" t="s">
        <v>48</v>
      </c>
      <c r="C3390" s="220" t="s">
        <v>89</v>
      </c>
      <c r="D3390" s="220" t="s">
        <v>90</v>
      </c>
      <c r="E3390" s="165">
        <v>375</v>
      </c>
    </row>
    <row r="3391" spans="1:5" x14ac:dyDescent="0.25">
      <c r="A3391" s="216" t="s">
        <v>4285</v>
      </c>
      <c r="B3391" s="218" t="s">
        <v>48</v>
      </c>
      <c r="C3391" s="220" t="s">
        <v>4286</v>
      </c>
      <c r="D3391" s="220" t="s">
        <v>63</v>
      </c>
      <c r="E3391" s="165">
        <v>375</v>
      </c>
    </row>
    <row r="3392" spans="1:5" x14ac:dyDescent="0.25">
      <c r="A3392" s="216" t="s">
        <v>5021</v>
      </c>
      <c r="B3392" s="218" t="s">
        <v>48</v>
      </c>
      <c r="C3392" s="220" t="s">
        <v>110</v>
      </c>
      <c r="D3392" s="220" t="s">
        <v>69</v>
      </c>
      <c r="E3392" s="165">
        <v>375</v>
      </c>
    </row>
    <row r="3393" spans="1:5" x14ac:dyDescent="0.25">
      <c r="A3393" s="216" t="s">
        <v>10741</v>
      </c>
      <c r="B3393" s="218" t="s">
        <v>48</v>
      </c>
      <c r="C3393" s="220" t="s">
        <v>3544</v>
      </c>
      <c r="D3393" s="220" t="s">
        <v>50</v>
      </c>
      <c r="E3393" s="165">
        <v>375</v>
      </c>
    </row>
    <row r="3394" spans="1:5" x14ac:dyDescent="0.25">
      <c r="A3394" s="216" t="s">
        <v>5004</v>
      </c>
      <c r="B3394" s="218">
        <v>1</v>
      </c>
      <c r="C3394" s="220" t="s">
        <v>2972</v>
      </c>
      <c r="D3394" s="220" t="s">
        <v>63</v>
      </c>
      <c r="E3394" s="165">
        <v>374</v>
      </c>
    </row>
    <row r="3395" spans="1:5" x14ac:dyDescent="0.25">
      <c r="A3395" s="216" t="s">
        <v>4262</v>
      </c>
      <c r="B3395" s="218">
        <v>1</v>
      </c>
      <c r="C3395" s="220" t="s">
        <v>3375</v>
      </c>
      <c r="D3395" s="220" t="s">
        <v>523</v>
      </c>
      <c r="E3395" s="165">
        <v>374</v>
      </c>
    </row>
    <row r="3396" spans="1:5" x14ac:dyDescent="0.25">
      <c r="A3396" s="216" t="s">
        <v>4041</v>
      </c>
      <c r="B3396" s="218" t="s">
        <v>48</v>
      </c>
      <c r="C3396" s="220" t="s">
        <v>538</v>
      </c>
      <c r="D3396" s="220" t="s">
        <v>90</v>
      </c>
      <c r="E3396" s="165">
        <v>374</v>
      </c>
    </row>
    <row r="3397" spans="1:5" x14ac:dyDescent="0.25">
      <c r="A3397" s="216" t="s">
        <v>4522</v>
      </c>
      <c r="B3397" s="218">
        <v>1</v>
      </c>
      <c r="C3397" s="220" t="s">
        <v>92</v>
      </c>
      <c r="D3397" s="220" t="s">
        <v>93</v>
      </c>
      <c r="E3397" s="165">
        <v>374</v>
      </c>
    </row>
    <row r="3398" spans="1:5" x14ac:dyDescent="0.25">
      <c r="A3398" s="216" t="s">
        <v>5038</v>
      </c>
      <c r="B3398" s="218">
        <v>1</v>
      </c>
      <c r="C3398" s="220" t="s">
        <v>886</v>
      </c>
      <c r="D3398" s="220" t="s">
        <v>50</v>
      </c>
      <c r="E3398" s="165">
        <v>374</v>
      </c>
    </row>
    <row r="3399" spans="1:5" x14ac:dyDescent="0.25">
      <c r="A3399" s="216" t="s">
        <v>4852</v>
      </c>
      <c r="B3399" s="218">
        <v>1</v>
      </c>
      <c r="C3399" s="220" t="s">
        <v>4853</v>
      </c>
      <c r="D3399" s="220" t="s">
        <v>56</v>
      </c>
      <c r="E3399" s="165">
        <v>373</v>
      </c>
    </row>
    <row r="3400" spans="1:5" x14ac:dyDescent="0.25">
      <c r="A3400" s="216" t="s">
        <v>5018</v>
      </c>
      <c r="B3400" s="218">
        <v>1</v>
      </c>
      <c r="C3400" s="220" t="s">
        <v>306</v>
      </c>
      <c r="D3400" s="220" t="s">
        <v>63</v>
      </c>
      <c r="E3400" s="165">
        <v>373</v>
      </c>
    </row>
    <row r="3401" spans="1:5" x14ac:dyDescent="0.25">
      <c r="A3401" s="216" t="s">
        <v>3819</v>
      </c>
      <c r="B3401" s="218" t="s">
        <v>48</v>
      </c>
      <c r="C3401" s="220" t="s">
        <v>213</v>
      </c>
      <c r="D3401" s="220" t="s">
        <v>75</v>
      </c>
      <c r="E3401" s="165">
        <v>373</v>
      </c>
    </row>
    <row r="3402" spans="1:5" x14ac:dyDescent="0.25">
      <c r="A3402" s="216" t="s">
        <v>6362</v>
      </c>
      <c r="B3402" s="218" t="s">
        <v>48</v>
      </c>
      <c r="C3402" s="220" t="s">
        <v>1293</v>
      </c>
      <c r="D3402" s="220" t="s">
        <v>166</v>
      </c>
      <c r="E3402" s="165">
        <v>373</v>
      </c>
    </row>
    <row r="3403" spans="1:5" x14ac:dyDescent="0.25">
      <c r="A3403" s="216" t="s">
        <v>4956</v>
      </c>
      <c r="B3403" s="218" t="s">
        <v>48</v>
      </c>
      <c r="C3403" s="220" t="s">
        <v>4957</v>
      </c>
      <c r="D3403" s="220" t="s">
        <v>108</v>
      </c>
      <c r="E3403" s="165">
        <v>373</v>
      </c>
    </row>
    <row r="3404" spans="1:5" x14ac:dyDescent="0.25">
      <c r="A3404" s="216" t="s">
        <v>5360</v>
      </c>
      <c r="B3404" s="218" t="s">
        <v>48</v>
      </c>
      <c r="C3404" s="220" t="s">
        <v>5361</v>
      </c>
      <c r="D3404" s="220" t="s">
        <v>108</v>
      </c>
      <c r="E3404" s="165">
        <v>373</v>
      </c>
    </row>
    <row r="3405" spans="1:5" x14ac:dyDescent="0.25">
      <c r="A3405" s="216" t="s">
        <v>4925</v>
      </c>
      <c r="B3405" s="218">
        <v>1</v>
      </c>
      <c r="C3405" s="220" t="s">
        <v>988</v>
      </c>
      <c r="D3405" s="220" t="s">
        <v>69</v>
      </c>
      <c r="E3405" s="165">
        <v>372</v>
      </c>
    </row>
    <row r="3406" spans="1:5" x14ac:dyDescent="0.25">
      <c r="A3406" s="216" t="s">
        <v>4755</v>
      </c>
      <c r="B3406" s="218" t="s">
        <v>48</v>
      </c>
      <c r="C3406" s="220" t="s">
        <v>283</v>
      </c>
      <c r="D3406" s="220" t="s">
        <v>59</v>
      </c>
      <c r="E3406" s="165">
        <v>372</v>
      </c>
    </row>
    <row r="3407" spans="1:5" x14ac:dyDescent="0.25">
      <c r="A3407" s="216" t="s">
        <v>5362</v>
      </c>
      <c r="B3407" s="218" t="s">
        <v>48</v>
      </c>
      <c r="C3407" s="220" t="s">
        <v>5363</v>
      </c>
      <c r="D3407" s="220" t="s">
        <v>75</v>
      </c>
      <c r="E3407" s="165">
        <v>372</v>
      </c>
    </row>
    <row r="3408" spans="1:5" x14ac:dyDescent="0.25">
      <c r="A3408" s="216" t="s">
        <v>5016</v>
      </c>
      <c r="B3408" s="218">
        <v>1</v>
      </c>
      <c r="C3408" s="220" t="s">
        <v>5017</v>
      </c>
      <c r="D3408" s="220" t="s">
        <v>63</v>
      </c>
      <c r="E3408" s="165">
        <v>372</v>
      </c>
    </row>
    <row r="3409" spans="1:5" x14ac:dyDescent="0.25">
      <c r="A3409" s="216" t="s">
        <v>4872</v>
      </c>
      <c r="B3409" s="218">
        <v>1</v>
      </c>
      <c r="C3409" s="220" t="s">
        <v>4873</v>
      </c>
      <c r="D3409" s="220" t="s">
        <v>78</v>
      </c>
      <c r="E3409" s="165">
        <v>372</v>
      </c>
    </row>
    <row r="3410" spans="1:5" x14ac:dyDescent="0.25">
      <c r="A3410" s="216" t="s">
        <v>4930</v>
      </c>
      <c r="B3410" s="218">
        <v>1</v>
      </c>
      <c r="C3410" s="220" t="s">
        <v>2417</v>
      </c>
      <c r="D3410" s="220" t="s">
        <v>192</v>
      </c>
      <c r="E3410" s="165">
        <v>372</v>
      </c>
    </row>
    <row r="3411" spans="1:5" x14ac:dyDescent="0.25">
      <c r="A3411" s="216" t="s">
        <v>9201</v>
      </c>
      <c r="B3411" s="218" t="s">
        <v>48</v>
      </c>
      <c r="C3411" s="220" t="s">
        <v>8502</v>
      </c>
      <c r="D3411" s="220" t="s">
        <v>90</v>
      </c>
      <c r="E3411" s="165">
        <v>372</v>
      </c>
    </row>
    <row r="3412" spans="1:5" x14ac:dyDescent="0.25">
      <c r="A3412" s="216" t="s">
        <v>5153</v>
      </c>
      <c r="B3412" s="218">
        <v>1</v>
      </c>
      <c r="C3412" s="220" t="s">
        <v>1418</v>
      </c>
      <c r="D3412" s="220" t="s">
        <v>188</v>
      </c>
      <c r="E3412" s="165">
        <v>371</v>
      </c>
    </row>
    <row r="3413" spans="1:5" x14ac:dyDescent="0.25">
      <c r="A3413" s="216" t="s">
        <v>4460</v>
      </c>
      <c r="B3413" s="218" t="s">
        <v>48</v>
      </c>
      <c r="C3413" s="220" t="s">
        <v>89</v>
      </c>
      <c r="D3413" s="220" t="s">
        <v>90</v>
      </c>
      <c r="E3413" s="165">
        <v>371</v>
      </c>
    </row>
    <row r="3414" spans="1:5" x14ac:dyDescent="0.25">
      <c r="A3414" s="216" t="s">
        <v>4712</v>
      </c>
      <c r="B3414" s="218" t="s">
        <v>48</v>
      </c>
      <c r="C3414" s="220" t="s">
        <v>556</v>
      </c>
      <c r="D3414" s="220" t="s">
        <v>222</v>
      </c>
      <c r="E3414" s="165">
        <v>371</v>
      </c>
    </row>
    <row r="3415" spans="1:5" x14ac:dyDescent="0.25">
      <c r="A3415" s="216" t="s">
        <v>4698</v>
      </c>
      <c r="B3415" s="218" t="s">
        <v>48</v>
      </c>
      <c r="C3415" s="220" t="s">
        <v>270</v>
      </c>
      <c r="D3415" s="220" t="s">
        <v>177</v>
      </c>
      <c r="E3415" s="165">
        <v>371</v>
      </c>
    </row>
    <row r="3416" spans="1:5" x14ac:dyDescent="0.25">
      <c r="A3416" s="216" t="s">
        <v>4064</v>
      </c>
      <c r="B3416" s="218" t="s">
        <v>48</v>
      </c>
      <c r="C3416" s="220" t="s">
        <v>4065</v>
      </c>
      <c r="D3416" s="220" t="s">
        <v>66</v>
      </c>
      <c r="E3416" s="165">
        <v>370</v>
      </c>
    </row>
    <row r="3417" spans="1:5" x14ac:dyDescent="0.25">
      <c r="A3417" s="216" t="s">
        <v>5029</v>
      </c>
      <c r="B3417" s="218">
        <v>1</v>
      </c>
      <c r="C3417" s="220" t="s">
        <v>3276</v>
      </c>
      <c r="D3417" s="220" t="s">
        <v>63</v>
      </c>
      <c r="E3417" s="165">
        <v>370</v>
      </c>
    </row>
    <row r="3418" spans="1:5" x14ac:dyDescent="0.25">
      <c r="A3418" s="216" t="s">
        <v>5168</v>
      </c>
      <c r="B3418" s="218">
        <v>1</v>
      </c>
      <c r="C3418" s="220" t="s">
        <v>1418</v>
      </c>
      <c r="D3418" s="220" t="s">
        <v>188</v>
      </c>
      <c r="E3418" s="165">
        <v>369</v>
      </c>
    </row>
    <row r="3419" spans="1:5" x14ac:dyDescent="0.25">
      <c r="A3419" s="216" t="s">
        <v>9556</v>
      </c>
      <c r="B3419" s="218" t="s">
        <v>48</v>
      </c>
      <c r="C3419" s="220" t="s">
        <v>9557</v>
      </c>
      <c r="D3419" s="220" t="s">
        <v>75</v>
      </c>
      <c r="E3419" s="165">
        <v>369</v>
      </c>
    </row>
    <row r="3420" spans="1:5" x14ac:dyDescent="0.25">
      <c r="A3420" s="216" t="s">
        <v>11176</v>
      </c>
      <c r="B3420" s="218" t="s">
        <v>48</v>
      </c>
      <c r="C3420" s="220" t="s">
        <v>235</v>
      </c>
      <c r="D3420" s="220" t="s">
        <v>236</v>
      </c>
      <c r="E3420" s="165">
        <v>369</v>
      </c>
    </row>
    <row r="3421" spans="1:5" x14ac:dyDescent="0.25">
      <c r="A3421" s="216" t="s">
        <v>5238</v>
      </c>
      <c r="B3421" s="218" t="s">
        <v>48</v>
      </c>
      <c r="C3421" s="220" t="s">
        <v>1239</v>
      </c>
      <c r="D3421" s="220" t="s">
        <v>139</v>
      </c>
      <c r="E3421" s="165">
        <v>369</v>
      </c>
    </row>
    <row r="3422" spans="1:5" x14ac:dyDescent="0.25">
      <c r="A3422" s="216" t="s">
        <v>5022</v>
      </c>
      <c r="B3422" s="218">
        <v>1</v>
      </c>
      <c r="C3422" s="220" t="s">
        <v>5023</v>
      </c>
      <c r="D3422" s="220" t="s">
        <v>774</v>
      </c>
      <c r="E3422" s="165">
        <v>369</v>
      </c>
    </row>
    <row r="3423" spans="1:5" x14ac:dyDescent="0.25">
      <c r="A3423" s="216" t="s">
        <v>4831</v>
      </c>
      <c r="B3423" s="218">
        <v>1</v>
      </c>
      <c r="C3423" s="220" t="s">
        <v>1113</v>
      </c>
      <c r="D3423" s="220" t="s">
        <v>50</v>
      </c>
      <c r="E3423" s="165">
        <v>369</v>
      </c>
    </row>
    <row r="3424" spans="1:5" x14ac:dyDescent="0.25">
      <c r="A3424" s="216" t="s">
        <v>4952</v>
      </c>
      <c r="B3424" s="218">
        <v>1</v>
      </c>
      <c r="C3424" s="220" t="s">
        <v>1459</v>
      </c>
      <c r="D3424" s="220" t="s">
        <v>66</v>
      </c>
      <c r="E3424" s="165">
        <v>368</v>
      </c>
    </row>
    <row r="3425" spans="1:5" x14ac:dyDescent="0.25">
      <c r="A3425" s="216" t="s">
        <v>10776</v>
      </c>
      <c r="B3425" s="218">
        <v>1</v>
      </c>
      <c r="C3425" s="220" t="s">
        <v>11177</v>
      </c>
      <c r="D3425" s="220" t="s">
        <v>56</v>
      </c>
      <c r="E3425" s="165">
        <v>368</v>
      </c>
    </row>
    <row r="3426" spans="1:5" x14ac:dyDescent="0.25">
      <c r="A3426" s="216" t="s">
        <v>11178</v>
      </c>
      <c r="B3426" s="218" t="s">
        <v>48</v>
      </c>
      <c r="C3426" s="220" t="s">
        <v>9037</v>
      </c>
      <c r="D3426" s="220" t="s">
        <v>348</v>
      </c>
      <c r="E3426" s="165">
        <v>368</v>
      </c>
    </row>
    <row r="3427" spans="1:5" x14ac:dyDescent="0.25">
      <c r="A3427" s="216" t="s">
        <v>4345</v>
      </c>
      <c r="B3427" s="218" t="s">
        <v>48</v>
      </c>
      <c r="C3427" s="220" t="s">
        <v>4346</v>
      </c>
      <c r="D3427" s="220" t="s">
        <v>75</v>
      </c>
      <c r="E3427" s="165">
        <v>368</v>
      </c>
    </row>
    <row r="3428" spans="1:5" x14ac:dyDescent="0.25">
      <c r="A3428" s="216" t="s">
        <v>5419</v>
      </c>
      <c r="B3428" s="218" t="s">
        <v>48</v>
      </c>
      <c r="C3428" s="220" t="s">
        <v>1610</v>
      </c>
      <c r="D3428" s="220" t="s">
        <v>166</v>
      </c>
      <c r="E3428" s="165">
        <v>368</v>
      </c>
    </row>
    <row r="3429" spans="1:5" x14ac:dyDescent="0.25">
      <c r="A3429" s="216" t="s">
        <v>11179</v>
      </c>
      <c r="B3429" s="218" t="s">
        <v>48</v>
      </c>
      <c r="C3429" s="220" t="s">
        <v>406</v>
      </c>
      <c r="D3429" s="220" t="s">
        <v>277</v>
      </c>
      <c r="E3429" s="165">
        <v>367</v>
      </c>
    </row>
    <row r="3430" spans="1:5" x14ac:dyDescent="0.25">
      <c r="A3430" s="216" t="s">
        <v>5061</v>
      </c>
      <c r="B3430" s="218">
        <v>1</v>
      </c>
      <c r="C3430" s="220" t="s">
        <v>1745</v>
      </c>
      <c r="D3430" s="220" t="s">
        <v>63</v>
      </c>
      <c r="E3430" s="165">
        <v>367</v>
      </c>
    </row>
    <row r="3431" spans="1:5" x14ac:dyDescent="0.25">
      <c r="A3431" s="216" t="s">
        <v>4728</v>
      </c>
      <c r="B3431" s="218">
        <v>1</v>
      </c>
      <c r="C3431" s="220" t="s">
        <v>2660</v>
      </c>
      <c r="D3431" s="220" t="s">
        <v>394</v>
      </c>
      <c r="E3431" s="165">
        <v>367</v>
      </c>
    </row>
    <row r="3432" spans="1:5" x14ac:dyDescent="0.25">
      <c r="A3432" s="216" t="s">
        <v>4941</v>
      </c>
      <c r="B3432" s="218" t="s">
        <v>48</v>
      </c>
      <c r="C3432" s="220" t="s">
        <v>313</v>
      </c>
      <c r="D3432" s="220" t="s">
        <v>90</v>
      </c>
      <c r="E3432" s="165">
        <v>367</v>
      </c>
    </row>
    <row r="3433" spans="1:5" x14ac:dyDescent="0.25">
      <c r="A3433" s="216" t="s">
        <v>4958</v>
      </c>
      <c r="B3433" s="218">
        <v>1</v>
      </c>
      <c r="C3433" s="220" t="s">
        <v>4959</v>
      </c>
      <c r="D3433" s="220" t="s">
        <v>69</v>
      </c>
      <c r="E3433" s="165">
        <v>367</v>
      </c>
    </row>
    <row r="3434" spans="1:5" x14ac:dyDescent="0.25">
      <c r="A3434" s="216" t="s">
        <v>4924</v>
      </c>
      <c r="B3434" s="218">
        <v>1</v>
      </c>
      <c r="C3434" s="220" t="s">
        <v>2258</v>
      </c>
      <c r="D3434" s="220" t="s">
        <v>188</v>
      </c>
      <c r="E3434" s="165">
        <v>367</v>
      </c>
    </row>
    <row r="3435" spans="1:5" x14ac:dyDescent="0.25">
      <c r="A3435" s="216" t="s">
        <v>5594</v>
      </c>
      <c r="B3435" s="218">
        <v>1</v>
      </c>
      <c r="C3435" s="220" t="s">
        <v>5595</v>
      </c>
      <c r="D3435" s="220" t="s">
        <v>264</v>
      </c>
      <c r="E3435" s="165">
        <v>366</v>
      </c>
    </row>
    <row r="3436" spans="1:5" x14ac:dyDescent="0.25">
      <c r="A3436" s="216" t="s">
        <v>5203</v>
      </c>
      <c r="B3436" s="218">
        <v>1</v>
      </c>
      <c r="C3436" s="220" t="s">
        <v>5204</v>
      </c>
      <c r="D3436" s="220" t="s">
        <v>188</v>
      </c>
      <c r="E3436" s="165">
        <v>366</v>
      </c>
    </row>
    <row r="3437" spans="1:5" x14ac:dyDescent="0.25">
      <c r="A3437" s="216" t="s">
        <v>5600</v>
      </c>
      <c r="B3437" s="218">
        <v>1</v>
      </c>
      <c r="C3437" s="220" t="s">
        <v>2277</v>
      </c>
      <c r="D3437" s="220" t="s">
        <v>264</v>
      </c>
      <c r="E3437" s="165">
        <v>366</v>
      </c>
    </row>
    <row r="3438" spans="1:5" x14ac:dyDescent="0.25">
      <c r="A3438" s="216" t="s">
        <v>5944</v>
      </c>
      <c r="B3438" s="218" t="s">
        <v>48</v>
      </c>
      <c r="C3438" s="220" t="s">
        <v>89</v>
      </c>
      <c r="D3438" s="220" t="s">
        <v>90</v>
      </c>
      <c r="E3438" s="165">
        <v>366</v>
      </c>
    </row>
    <row r="3439" spans="1:5" x14ac:dyDescent="0.25">
      <c r="A3439" s="216" t="s">
        <v>5094</v>
      </c>
      <c r="B3439" s="218">
        <v>1</v>
      </c>
      <c r="C3439" s="220" t="s">
        <v>5095</v>
      </c>
      <c r="D3439" s="220" t="s">
        <v>50</v>
      </c>
      <c r="E3439" s="165">
        <v>366</v>
      </c>
    </row>
    <row r="3440" spans="1:5" x14ac:dyDescent="0.25">
      <c r="A3440" s="216" t="s">
        <v>11180</v>
      </c>
      <c r="B3440" s="218">
        <v>1</v>
      </c>
      <c r="C3440" s="220" t="s">
        <v>4110</v>
      </c>
      <c r="D3440" s="220" t="s">
        <v>188</v>
      </c>
      <c r="E3440" s="165">
        <v>366</v>
      </c>
    </row>
    <row r="3441" spans="1:5" x14ac:dyDescent="0.25">
      <c r="A3441" s="216" t="s">
        <v>5169</v>
      </c>
      <c r="B3441" s="218">
        <v>1</v>
      </c>
      <c r="C3441" s="220" t="s">
        <v>1622</v>
      </c>
      <c r="D3441" s="220" t="s">
        <v>56</v>
      </c>
      <c r="E3441" s="165">
        <v>365</v>
      </c>
    </row>
    <row r="3442" spans="1:5" x14ac:dyDescent="0.25">
      <c r="A3442" s="216" t="s">
        <v>4826</v>
      </c>
      <c r="B3442" s="218" t="s">
        <v>48</v>
      </c>
      <c r="C3442" s="220" t="s">
        <v>257</v>
      </c>
      <c r="D3442" s="220" t="s">
        <v>108</v>
      </c>
      <c r="E3442" s="165">
        <v>365</v>
      </c>
    </row>
    <row r="3443" spans="1:5" x14ac:dyDescent="0.25">
      <c r="A3443" s="216" t="s">
        <v>4926</v>
      </c>
      <c r="B3443" s="218">
        <v>1</v>
      </c>
      <c r="C3443" s="220" t="s">
        <v>270</v>
      </c>
      <c r="D3443" s="220" t="s">
        <v>177</v>
      </c>
      <c r="E3443" s="165">
        <v>365</v>
      </c>
    </row>
    <row r="3444" spans="1:5" x14ac:dyDescent="0.25">
      <c r="A3444" s="216" t="s">
        <v>4927</v>
      </c>
      <c r="B3444" s="218">
        <v>1</v>
      </c>
      <c r="C3444" s="220" t="s">
        <v>543</v>
      </c>
      <c r="D3444" s="220" t="s">
        <v>177</v>
      </c>
      <c r="E3444" s="165">
        <v>365</v>
      </c>
    </row>
    <row r="3445" spans="1:5" x14ac:dyDescent="0.25">
      <c r="A3445" s="216" t="s">
        <v>2965</v>
      </c>
      <c r="B3445" s="218">
        <v>1</v>
      </c>
      <c r="C3445" s="220" t="s">
        <v>797</v>
      </c>
      <c r="D3445" s="220" t="s">
        <v>130</v>
      </c>
      <c r="E3445" s="165">
        <v>365</v>
      </c>
    </row>
    <row r="3446" spans="1:5" x14ac:dyDescent="0.25">
      <c r="A3446" s="216" t="s">
        <v>5011</v>
      </c>
      <c r="B3446" s="218">
        <v>1</v>
      </c>
      <c r="C3446" s="220" t="s">
        <v>1604</v>
      </c>
      <c r="D3446" s="220" t="s">
        <v>66</v>
      </c>
      <c r="E3446" s="165">
        <v>365</v>
      </c>
    </row>
    <row r="3447" spans="1:5" x14ac:dyDescent="0.25">
      <c r="A3447" s="216" t="s">
        <v>4283</v>
      </c>
      <c r="B3447" s="218" t="s">
        <v>48</v>
      </c>
      <c r="C3447" s="220" t="s">
        <v>3342</v>
      </c>
      <c r="D3447" s="220" t="s">
        <v>90</v>
      </c>
      <c r="E3447" s="165">
        <v>365</v>
      </c>
    </row>
    <row r="3448" spans="1:5" x14ac:dyDescent="0.25">
      <c r="A3448" s="216" t="s">
        <v>4663</v>
      </c>
      <c r="B3448" s="218" t="s">
        <v>48</v>
      </c>
      <c r="C3448" s="220" t="s">
        <v>1707</v>
      </c>
      <c r="D3448" s="220" t="s">
        <v>59</v>
      </c>
      <c r="E3448" s="165">
        <v>364</v>
      </c>
    </row>
    <row r="3449" spans="1:5" x14ac:dyDescent="0.25">
      <c r="A3449" s="216" t="s">
        <v>4920</v>
      </c>
      <c r="B3449" s="218">
        <v>1</v>
      </c>
      <c r="C3449" s="220" t="s">
        <v>4921</v>
      </c>
      <c r="D3449" s="220" t="s">
        <v>98</v>
      </c>
      <c r="E3449" s="165">
        <v>364</v>
      </c>
    </row>
    <row r="3450" spans="1:5" x14ac:dyDescent="0.25">
      <c r="A3450" s="216" t="s">
        <v>4382</v>
      </c>
      <c r="B3450" s="218">
        <v>1</v>
      </c>
      <c r="C3450" s="220" t="s">
        <v>211</v>
      </c>
      <c r="D3450" s="220" t="s">
        <v>50</v>
      </c>
      <c r="E3450" s="165">
        <v>363</v>
      </c>
    </row>
    <row r="3451" spans="1:5" x14ac:dyDescent="0.25">
      <c r="A3451" s="216" t="s">
        <v>4953</v>
      </c>
      <c r="B3451" s="218">
        <v>1</v>
      </c>
      <c r="C3451" s="220" t="s">
        <v>2297</v>
      </c>
      <c r="D3451" s="220" t="s">
        <v>78</v>
      </c>
      <c r="E3451" s="165">
        <v>363</v>
      </c>
    </row>
    <row r="3452" spans="1:5" x14ac:dyDescent="0.25">
      <c r="A3452" s="216" t="s">
        <v>5106</v>
      </c>
      <c r="B3452" s="218" t="s">
        <v>48</v>
      </c>
      <c r="C3452" s="220" t="s">
        <v>5107</v>
      </c>
      <c r="D3452" s="220" t="s">
        <v>585</v>
      </c>
      <c r="E3452" s="165">
        <v>363</v>
      </c>
    </row>
    <row r="3453" spans="1:5" x14ac:dyDescent="0.25">
      <c r="A3453" s="216" t="s">
        <v>5096</v>
      </c>
      <c r="B3453" s="218" t="s">
        <v>48</v>
      </c>
      <c r="C3453" s="220" t="s">
        <v>1610</v>
      </c>
      <c r="D3453" s="220" t="s">
        <v>166</v>
      </c>
      <c r="E3453" s="165">
        <v>363</v>
      </c>
    </row>
    <row r="3454" spans="1:5" x14ac:dyDescent="0.25">
      <c r="A3454" s="216" t="s">
        <v>5296</v>
      </c>
      <c r="B3454" s="218" t="s">
        <v>48</v>
      </c>
      <c r="C3454" s="220" t="s">
        <v>5297</v>
      </c>
      <c r="D3454" s="220" t="s">
        <v>108</v>
      </c>
      <c r="E3454" s="165">
        <v>363</v>
      </c>
    </row>
    <row r="3455" spans="1:5" x14ac:dyDescent="0.25">
      <c r="A3455" s="216" t="s">
        <v>6759</v>
      </c>
      <c r="B3455" s="218">
        <v>1</v>
      </c>
      <c r="C3455" s="220" t="s">
        <v>3563</v>
      </c>
      <c r="D3455" s="220" t="s">
        <v>201</v>
      </c>
      <c r="E3455" s="165">
        <v>362</v>
      </c>
    </row>
    <row r="3456" spans="1:5" x14ac:dyDescent="0.25">
      <c r="A3456" s="216" t="s">
        <v>11181</v>
      </c>
      <c r="B3456" s="218">
        <v>1</v>
      </c>
      <c r="C3456" s="220" t="s">
        <v>58</v>
      </c>
      <c r="D3456" s="220" t="s">
        <v>59</v>
      </c>
      <c r="E3456" s="165">
        <v>362</v>
      </c>
    </row>
    <row r="3457" spans="1:5" x14ac:dyDescent="0.25">
      <c r="A3457" s="216" t="s">
        <v>4997</v>
      </c>
      <c r="B3457" s="218">
        <v>1</v>
      </c>
      <c r="C3457" s="220" t="s">
        <v>640</v>
      </c>
      <c r="D3457" s="220" t="s">
        <v>69</v>
      </c>
      <c r="E3457" s="165">
        <v>362</v>
      </c>
    </row>
    <row r="3458" spans="1:5" x14ac:dyDescent="0.25">
      <c r="A3458" s="216" t="s">
        <v>5261</v>
      </c>
      <c r="B3458" s="218">
        <v>1</v>
      </c>
      <c r="C3458" s="220" t="s">
        <v>5262</v>
      </c>
      <c r="D3458" s="220" t="s">
        <v>87</v>
      </c>
      <c r="E3458" s="165">
        <v>362</v>
      </c>
    </row>
    <row r="3459" spans="1:5" x14ac:dyDescent="0.25">
      <c r="A3459" s="216" t="s">
        <v>4282</v>
      </c>
      <c r="B3459" s="218">
        <v>1</v>
      </c>
      <c r="C3459" s="220" t="s">
        <v>1669</v>
      </c>
      <c r="D3459" s="220" t="s">
        <v>774</v>
      </c>
      <c r="E3459" s="165">
        <v>362</v>
      </c>
    </row>
    <row r="3460" spans="1:5" x14ac:dyDescent="0.25">
      <c r="A3460" s="216" t="s">
        <v>4871</v>
      </c>
      <c r="B3460" s="218">
        <v>1</v>
      </c>
      <c r="C3460" s="220" t="s">
        <v>627</v>
      </c>
      <c r="D3460" s="220" t="s">
        <v>272</v>
      </c>
      <c r="E3460" s="165">
        <v>361</v>
      </c>
    </row>
    <row r="3461" spans="1:5" x14ac:dyDescent="0.25">
      <c r="A3461" s="216" t="s">
        <v>4988</v>
      </c>
      <c r="B3461" s="218" t="s">
        <v>48</v>
      </c>
      <c r="C3461" s="220" t="s">
        <v>4989</v>
      </c>
      <c r="D3461" s="220" t="s">
        <v>142</v>
      </c>
      <c r="E3461" s="165">
        <v>361</v>
      </c>
    </row>
    <row r="3462" spans="1:5" x14ac:dyDescent="0.25">
      <c r="A3462" s="216" t="s">
        <v>5838</v>
      </c>
      <c r="B3462" s="218" t="s">
        <v>48</v>
      </c>
      <c r="C3462" s="220" t="s">
        <v>58</v>
      </c>
      <c r="D3462" s="220" t="s">
        <v>59</v>
      </c>
      <c r="E3462" s="165">
        <v>361</v>
      </c>
    </row>
    <row r="3463" spans="1:5" x14ac:dyDescent="0.25">
      <c r="A3463" s="216" t="s">
        <v>4950</v>
      </c>
      <c r="B3463" s="218">
        <v>1</v>
      </c>
      <c r="C3463" s="220" t="s">
        <v>2514</v>
      </c>
      <c r="D3463" s="220" t="s">
        <v>177</v>
      </c>
      <c r="E3463" s="165">
        <v>361</v>
      </c>
    </row>
    <row r="3464" spans="1:5" x14ac:dyDescent="0.25">
      <c r="A3464" s="216" t="s">
        <v>5141</v>
      </c>
      <c r="B3464" s="218">
        <v>1</v>
      </c>
      <c r="C3464" s="220" t="s">
        <v>5142</v>
      </c>
      <c r="D3464" s="220" t="s">
        <v>50</v>
      </c>
      <c r="E3464" s="165">
        <v>361</v>
      </c>
    </row>
    <row r="3465" spans="1:5" x14ac:dyDescent="0.25">
      <c r="A3465" s="216" t="s">
        <v>5143</v>
      </c>
      <c r="B3465" s="218">
        <v>1</v>
      </c>
      <c r="C3465" s="220" t="s">
        <v>5144</v>
      </c>
      <c r="D3465" s="220" t="s">
        <v>50</v>
      </c>
      <c r="E3465" s="165">
        <v>361</v>
      </c>
    </row>
    <row r="3466" spans="1:5" x14ac:dyDescent="0.25">
      <c r="A3466" s="216" t="s">
        <v>4881</v>
      </c>
      <c r="B3466" s="218">
        <v>1</v>
      </c>
      <c r="C3466" s="220" t="s">
        <v>1616</v>
      </c>
      <c r="D3466" s="220" t="s">
        <v>50</v>
      </c>
      <c r="E3466" s="165">
        <v>361</v>
      </c>
    </row>
    <row r="3467" spans="1:5" x14ac:dyDescent="0.25">
      <c r="A3467" s="216" t="s">
        <v>5041</v>
      </c>
      <c r="B3467" s="218">
        <v>1</v>
      </c>
      <c r="C3467" s="220" t="s">
        <v>1429</v>
      </c>
      <c r="D3467" s="220" t="s">
        <v>264</v>
      </c>
      <c r="E3467" s="165">
        <v>361</v>
      </c>
    </row>
    <row r="3468" spans="1:5" x14ac:dyDescent="0.25">
      <c r="A3468" s="216" t="s">
        <v>5384</v>
      </c>
      <c r="B3468" s="218" t="s">
        <v>48</v>
      </c>
      <c r="C3468" s="220" t="s">
        <v>868</v>
      </c>
      <c r="D3468" s="220" t="s">
        <v>69</v>
      </c>
      <c r="E3468" s="165">
        <v>361</v>
      </c>
    </row>
    <row r="3469" spans="1:5" x14ac:dyDescent="0.25">
      <c r="A3469" s="216" t="s">
        <v>4884</v>
      </c>
      <c r="B3469" s="218">
        <v>1</v>
      </c>
      <c r="C3469" s="220" t="s">
        <v>962</v>
      </c>
      <c r="D3469" s="220" t="s">
        <v>50</v>
      </c>
      <c r="E3469" s="165">
        <v>361</v>
      </c>
    </row>
    <row r="3470" spans="1:5" x14ac:dyDescent="0.25">
      <c r="A3470" s="216" t="s">
        <v>4897</v>
      </c>
      <c r="B3470" s="218">
        <v>1</v>
      </c>
      <c r="C3470" s="220" t="s">
        <v>511</v>
      </c>
      <c r="D3470" s="220" t="s">
        <v>50</v>
      </c>
      <c r="E3470" s="165">
        <v>360</v>
      </c>
    </row>
    <row r="3471" spans="1:5" x14ac:dyDescent="0.25">
      <c r="A3471" s="216" t="s">
        <v>5127</v>
      </c>
      <c r="B3471" s="218">
        <v>1</v>
      </c>
      <c r="C3471" s="220" t="s">
        <v>5128</v>
      </c>
      <c r="D3471" s="220" t="s">
        <v>63</v>
      </c>
      <c r="E3471" s="165">
        <v>360</v>
      </c>
    </row>
    <row r="3472" spans="1:5" x14ac:dyDescent="0.25">
      <c r="A3472" s="216" t="s">
        <v>5318</v>
      </c>
      <c r="B3472" s="218" t="s">
        <v>48</v>
      </c>
      <c r="C3472" s="220" t="s">
        <v>5319</v>
      </c>
      <c r="D3472" s="220" t="s">
        <v>59</v>
      </c>
      <c r="E3472" s="165">
        <v>360</v>
      </c>
    </row>
    <row r="3473" spans="1:5" x14ac:dyDescent="0.25">
      <c r="A3473" s="216" t="s">
        <v>5099</v>
      </c>
      <c r="B3473" s="218" t="s">
        <v>48</v>
      </c>
      <c r="C3473" s="220" t="s">
        <v>1259</v>
      </c>
      <c r="D3473" s="220" t="s">
        <v>1200</v>
      </c>
      <c r="E3473" s="165">
        <v>360</v>
      </c>
    </row>
    <row r="3474" spans="1:5" x14ac:dyDescent="0.25">
      <c r="A3474" s="216" t="s">
        <v>5026</v>
      </c>
      <c r="B3474" s="218">
        <v>1</v>
      </c>
      <c r="C3474" s="220" t="s">
        <v>5027</v>
      </c>
      <c r="D3474" s="220" t="s">
        <v>66</v>
      </c>
      <c r="E3474" s="165">
        <v>360</v>
      </c>
    </row>
    <row r="3475" spans="1:5" x14ac:dyDescent="0.25">
      <c r="A3475" s="216" t="s">
        <v>5479</v>
      </c>
      <c r="B3475" s="218" t="s">
        <v>48</v>
      </c>
      <c r="C3475" s="220" t="s">
        <v>1732</v>
      </c>
      <c r="D3475" s="220" t="s">
        <v>56</v>
      </c>
      <c r="E3475" s="165">
        <v>359</v>
      </c>
    </row>
    <row r="3476" spans="1:5" x14ac:dyDescent="0.25">
      <c r="A3476" s="216" t="s">
        <v>4837</v>
      </c>
      <c r="B3476" s="218">
        <v>1</v>
      </c>
      <c r="C3476" s="220" t="s">
        <v>4838</v>
      </c>
      <c r="D3476" s="220" t="s">
        <v>348</v>
      </c>
      <c r="E3476" s="165">
        <v>359</v>
      </c>
    </row>
    <row r="3477" spans="1:5" x14ac:dyDescent="0.25">
      <c r="A3477" s="216" t="s">
        <v>5340</v>
      </c>
      <c r="B3477" s="218">
        <v>1</v>
      </c>
      <c r="C3477" s="220" t="s">
        <v>2456</v>
      </c>
      <c r="D3477" s="220" t="s">
        <v>139</v>
      </c>
      <c r="E3477" s="165">
        <v>359</v>
      </c>
    </row>
    <row r="3478" spans="1:5" x14ac:dyDescent="0.25">
      <c r="A3478" s="216" t="s">
        <v>5251</v>
      </c>
      <c r="B3478" s="218" t="s">
        <v>48</v>
      </c>
      <c r="C3478" s="220" t="s">
        <v>89</v>
      </c>
      <c r="D3478" s="220" t="s">
        <v>90</v>
      </c>
      <c r="E3478" s="165">
        <v>359</v>
      </c>
    </row>
    <row r="3479" spans="1:5" x14ac:dyDescent="0.25">
      <c r="A3479" s="216" t="s">
        <v>4415</v>
      </c>
      <c r="B3479" s="218">
        <v>1</v>
      </c>
      <c r="C3479" s="220" t="s">
        <v>323</v>
      </c>
      <c r="D3479" s="220" t="s">
        <v>277</v>
      </c>
      <c r="E3479" s="165">
        <v>359</v>
      </c>
    </row>
    <row r="3480" spans="1:5" x14ac:dyDescent="0.25">
      <c r="A3480" s="216" t="s">
        <v>5265</v>
      </c>
      <c r="B3480" s="218">
        <v>1</v>
      </c>
      <c r="C3480" s="220" t="s">
        <v>2738</v>
      </c>
      <c r="D3480" s="220" t="s">
        <v>188</v>
      </c>
      <c r="E3480" s="165">
        <v>359</v>
      </c>
    </row>
    <row r="3481" spans="1:5" x14ac:dyDescent="0.25">
      <c r="A3481" s="216" t="s">
        <v>11182</v>
      </c>
      <c r="B3481" s="218" t="s">
        <v>48</v>
      </c>
      <c r="C3481" s="220" t="s">
        <v>2049</v>
      </c>
      <c r="D3481" s="220" t="s">
        <v>63</v>
      </c>
      <c r="E3481" s="165">
        <v>359</v>
      </c>
    </row>
    <row r="3482" spans="1:5" x14ac:dyDescent="0.25">
      <c r="A3482" s="216" t="s">
        <v>5006</v>
      </c>
      <c r="B3482" s="218">
        <v>1</v>
      </c>
      <c r="C3482" s="220" t="s">
        <v>5007</v>
      </c>
      <c r="D3482" s="220" t="s">
        <v>72</v>
      </c>
      <c r="E3482" s="165">
        <v>358</v>
      </c>
    </row>
    <row r="3483" spans="1:5" x14ac:dyDescent="0.25">
      <c r="A3483" s="216" t="s">
        <v>5727</v>
      </c>
      <c r="B3483" s="218" t="s">
        <v>48</v>
      </c>
      <c r="C3483" s="220" t="s">
        <v>5728</v>
      </c>
      <c r="D3483" s="220" t="s">
        <v>139</v>
      </c>
      <c r="E3483" s="165">
        <v>358</v>
      </c>
    </row>
    <row r="3484" spans="1:5" x14ac:dyDescent="0.25">
      <c r="A3484" s="216" t="s">
        <v>3206</v>
      </c>
      <c r="B3484" s="218">
        <v>1</v>
      </c>
      <c r="C3484" s="220" t="s">
        <v>3207</v>
      </c>
      <c r="D3484" s="220" t="s">
        <v>277</v>
      </c>
      <c r="E3484" s="165">
        <v>358</v>
      </c>
    </row>
    <row r="3485" spans="1:5" x14ac:dyDescent="0.25">
      <c r="A3485" s="216" t="s">
        <v>4378</v>
      </c>
      <c r="B3485" s="218">
        <v>1</v>
      </c>
      <c r="C3485" s="220" t="s">
        <v>159</v>
      </c>
      <c r="D3485" s="220" t="s">
        <v>130</v>
      </c>
      <c r="E3485" s="165">
        <v>358</v>
      </c>
    </row>
    <row r="3486" spans="1:5" x14ac:dyDescent="0.25">
      <c r="A3486" s="216" t="s">
        <v>5091</v>
      </c>
      <c r="B3486" s="218">
        <v>1</v>
      </c>
      <c r="C3486" s="220" t="s">
        <v>5092</v>
      </c>
      <c r="D3486" s="220" t="s">
        <v>192</v>
      </c>
      <c r="E3486" s="165">
        <v>358</v>
      </c>
    </row>
    <row r="3487" spans="1:5" x14ac:dyDescent="0.25">
      <c r="A3487" s="216" t="s">
        <v>5704</v>
      </c>
      <c r="B3487" s="218">
        <v>1</v>
      </c>
      <c r="C3487" s="220" t="s">
        <v>5705</v>
      </c>
      <c r="D3487" s="220" t="s">
        <v>105</v>
      </c>
      <c r="E3487" s="165">
        <v>358</v>
      </c>
    </row>
    <row r="3488" spans="1:5" x14ac:dyDescent="0.25">
      <c r="A3488" s="216" t="s">
        <v>5239</v>
      </c>
      <c r="B3488" s="218">
        <v>1</v>
      </c>
      <c r="C3488" s="220" t="s">
        <v>5240</v>
      </c>
      <c r="D3488" s="220" t="s">
        <v>56</v>
      </c>
      <c r="E3488" s="165">
        <v>357</v>
      </c>
    </row>
    <row r="3489" spans="1:5" x14ac:dyDescent="0.25">
      <c r="A3489" s="216" t="s">
        <v>4634</v>
      </c>
      <c r="B3489" s="218">
        <v>1</v>
      </c>
      <c r="C3489" s="220" t="s">
        <v>1138</v>
      </c>
      <c r="D3489" s="220" t="s">
        <v>127</v>
      </c>
      <c r="E3489" s="165">
        <v>356</v>
      </c>
    </row>
    <row r="3490" spans="1:5" x14ac:dyDescent="0.25">
      <c r="A3490" s="216" t="s">
        <v>4860</v>
      </c>
      <c r="B3490" s="218">
        <v>1</v>
      </c>
      <c r="C3490" s="220" t="s">
        <v>3939</v>
      </c>
      <c r="D3490" s="220" t="s">
        <v>93</v>
      </c>
      <c r="E3490" s="165">
        <v>356</v>
      </c>
    </row>
    <row r="3491" spans="1:5" x14ac:dyDescent="0.25">
      <c r="A3491" s="216" t="s">
        <v>4421</v>
      </c>
      <c r="B3491" s="218">
        <v>1</v>
      </c>
      <c r="C3491" s="220" t="s">
        <v>4422</v>
      </c>
      <c r="D3491" s="220" t="s">
        <v>50</v>
      </c>
      <c r="E3491" s="165">
        <v>356</v>
      </c>
    </row>
    <row r="3492" spans="1:5" x14ac:dyDescent="0.25">
      <c r="A3492" s="216" t="s">
        <v>5191</v>
      </c>
      <c r="B3492" s="218">
        <v>1</v>
      </c>
      <c r="C3492" s="220" t="s">
        <v>5192</v>
      </c>
      <c r="D3492" s="220" t="s">
        <v>59</v>
      </c>
      <c r="E3492" s="165">
        <v>356</v>
      </c>
    </row>
    <row r="3493" spans="1:5" x14ac:dyDescent="0.25">
      <c r="A3493" s="216" t="s">
        <v>5081</v>
      </c>
      <c r="B3493" s="218">
        <v>1</v>
      </c>
      <c r="C3493" s="220" t="s">
        <v>727</v>
      </c>
      <c r="D3493" s="220" t="s">
        <v>66</v>
      </c>
      <c r="E3493" s="165">
        <v>356</v>
      </c>
    </row>
    <row r="3494" spans="1:5" x14ac:dyDescent="0.25">
      <c r="A3494" s="216" t="s">
        <v>8454</v>
      </c>
      <c r="B3494" s="218" t="s">
        <v>48</v>
      </c>
      <c r="C3494" s="220" t="s">
        <v>8455</v>
      </c>
      <c r="D3494" s="220" t="s">
        <v>517</v>
      </c>
      <c r="E3494" s="165">
        <v>355</v>
      </c>
    </row>
    <row r="3495" spans="1:5" x14ac:dyDescent="0.25">
      <c r="A3495" s="216" t="s">
        <v>4602</v>
      </c>
      <c r="B3495" s="218">
        <v>1</v>
      </c>
      <c r="C3495" s="220" t="s">
        <v>1913</v>
      </c>
      <c r="D3495" s="220" t="s">
        <v>93</v>
      </c>
      <c r="E3495" s="165">
        <v>355</v>
      </c>
    </row>
    <row r="3496" spans="1:5" x14ac:dyDescent="0.25">
      <c r="A3496" s="216" t="s">
        <v>4849</v>
      </c>
      <c r="B3496" s="218" t="s">
        <v>48</v>
      </c>
      <c r="C3496" s="220" t="s">
        <v>3228</v>
      </c>
      <c r="D3496" s="220" t="s">
        <v>90</v>
      </c>
      <c r="E3496" s="165">
        <v>354</v>
      </c>
    </row>
    <row r="3497" spans="1:5" x14ac:dyDescent="0.25">
      <c r="A3497" s="216" t="s">
        <v>5690</v>
      </c>
      <c r="B3497" s="218" t="s">
        <v>48</v>
      </c>
      <c r="C3497" s="220" t="s">
        <v>5691</v>
      </c>
      <c r="D3497" s="220" t="s">
        <v>66</v>
      </c>
      <c r="E3497" s="165">
        <v>354</v>
      </c>
    </row>
    <row r="3498" spans="1:5" x14ac:dyDescent="0.25">
      <c r="A3498" s="216" t="s">
        <v>5909</v>
      </c>
      <c r="B3498" s="218" t="s">
        <v>48</v>
      </c>
      <c r="C3498" s="220" t="s">
        <v>1022</v>
      </c>
      <c r="D3498" s="220" t="s">
        <v>50</v>
      </c>
      <c r="E3498" s="165">
        <v>354</v>
      </c>
    </row>
    <row r="3499" spans="1:5" x14ac:dyDescent="0.25">
      <c r="A3499" s="216" t="s">
        <v>5042</v>
      </c>
      <c r="B3499" s="218">
        <v>1</v>
      </c>
      <c r="C3499" s="220" t="s">
        <v>5043</v>
      </c>
      <c r="D3499" s="220" t="s">
        <v>72</v>
      </c>
      <c r="E3499" s="165">
        <v>354</v>
      </c>
    </row>
    <row r="3500" spans="1:5" x14ac:dyDescent="0.25">
      <c r="A3500" s="216" t="s">
        <v>5044</v>
      </c>
      <c r="B3500" s="218">
        <v>1</v>
      </c>
      <c r="C3500" s="220" t="s">
        <v>5045</v>
      </c>
      <c r="D3500" s="220" t="s">
        <v>56</v>
      </c>
      <c r="E3500" s="165">
        <v>354</v>
      </c>
    </row>
    <row r="3501" spans="1:5" x14ac:dyDescent="0.25">
      <c r="A3501" s="216" t="s">
        <v>5046</v>
      </c>
      <c r="B3501" s="218">
        <v>1</v>
      </c>
      <c r="C3501" s="220" t="s">
        <v>1317</v>
      </c>
      <c r="D3501" s="220" t="s">
        <v>56</v>
      </c>
      <c r="E3501" s="165">
        <v>354</v>
      </c>
    </row>
    <row r="3502" spans="1:5" x14ac:dyDescent="0.25">
      <c r="A3502" s="216" t="s">
        <v>5015</v>
      </c>
      <c r="B3502" s="218">
        <v>1</v>
      </c>
      <c r="C3502" s="220" t="s">
        <v>891</v>
      </c>
      <c r="D3502" s="220" t="s">
        <v>56</v>
      </c>
      <c r="E3502" s="165">
        <v>353</v>
      </c>
    </row>
    <row r="3503" spans="1:5" x14ac:dyDescent="0.25">
      <c r="A3503" s="216" t="s">
        <v>5293</v>
      </c>
      <c r="B3503" s="218">
        <v>1</v>
      </c>
      <c r="C3503" s="220" t="s">
        <v>174</v>
      </c>
      <c r="D3503" s="220" t="s">
        <v>56</v>
      </c>
      <c r="E3503" s="165">
        <v>352</v>
      </c>
    </row>
    <row r="3504" spans="1:5" x14ac:dyDescent="0.25">
      <c r="A3504" s="216" t="s">
        <v>7282</v>
      </c>
      <c r="B3504" s="218" t="s">
        <v>48</v>
      </c>
      <c r="C3504" s="220" t="s">
        <v>1669</v>
      </c>
      <c r="D3504" s="220" t="s">
        <v>378</v>
      </c>
      <c r="E3504" s="165">
        <v>351</v>
      </c>
    </row>
    <row r="3505" spans="1:5" x14ac:dyDescent="0.25">
      <c r="A3505" s="216" t="s">
        <v>5358</v>
      </c>
      <c r="B3505" s="218">
        <v>1</v>
      </c>
      <c r="C3505" s="220" t="s">
        <v>5359</v>
      </c>
      <c r="D3505" s="220" t="s">
        <v>188</v>
      </c>
      <c r="E3505" s="165">
        <v>351</v>
      </c>
    </row>
    <row r="3506" spans="1:5" x14ac:dyDescent="0.25">
      <c r="A3506" s="216" t="s">
        <v>5650</v>
      </c>
      <c r="B3506" s="218" t="s">
        <v>48</v>
      </c>
      <c r="C3506" s="220" t="s">
        <v>1243</v>
      </c>
      <c r="D3506" s="220" t="s">
        <v>166</v>
      </c>
      <c r="E3506" s="165">
        <v>351</v>
      </c>
    </row>
    <row r="3507" spans="1:5" x14ac:dyDescent="0.25">
      <c r="A3507" s="216" t="s">
        <v>5132</v>
      </c>
      <c r="B3507" s="218">
        <v>1</v>
      </c>
      <c r="C3507" s="220" t="s">
        <v>65</v>
      </c>
      <c r="D3507" s="220" t="s">
        <v>66</v>
      </c>
      <c r="E3507" s="165">
        <v>351</v>
      </c>
    </row>
    <row r="3508" spans="1:5" x14ac:dyDescent="0.25">
      <c r="A3508" s="216" t="s">
        <v>5228</v>
      </c>
      <c r="B3508" s="218" t="s">
        <v>48</v>
      </c>
      <c r="C3508" s="220" t="s">
        <v>864</v>
      </c>
      <c r="D3508" s="220" t="s">
        <v>63</v>
      </c>
      <c r="E3508" s="165">
        <v>351</v>
      </c>
    </row>
    <row r="3509" spans="1:5" x14ac:dyDescent="0.25">
      <c r="A3509" s="216" t="s">
        <v>2442</v>
      </c>
      <c r="B3509" s="218" t="s">
        <v>48</v>
      </c>
      <c r="C3509" s="220" t="s">
        <v>2443</v>
      </c>
      <c r="D3509" s="220" t="s">
        <v>59</v>
      </c>
      <c r="E3509" s="165">
        <v>351</v>
      </c>
    </row>
    <row r="3510" spans="1:5" x14ac:dyDescent="0.25">
      <c r="A3510" s="216" t="s">
        <v>4939</v>
      </c>
      <c r="B3510" s="218" t="s">
        <v>48</v>
      </c>
      <c r="C3510" s="220" t="s">
        <v>3999</v>
      </c>
      <c r="D3510" s="220" t="s">
        <v>90</v>
      </c>
      <c r="E3510" s="165">
        <v>351</v>
      </c>
    </row>
    <row r="3511" spans="1:5" x14ac:dyDescent="0.25">
      <c r="A3511" s="216" t="s">
        <v>4267</v>
      </c>
      <c r="B3511" s="218" t="s">
        <v>48</v>
      </c>
      <c r="C3511" s="220" t="s">
        <v>238</v>
      </c>
      <c r="D3511" s="220" t="s">
        <v>93</v>
      </c>
      <c r="E3511" s="165">
        <v>350</v>
      </c>
    </row>
    <row r="3512" spans="1:5" x14ac:dyDescent="0.25">
      <c r="A3512" s="216" t="s">
        <v>5005</v>
      </c>
      <c r="B3512" s="218" t="s">
        <v>48</v>
      </c>
      <c r="C3512" s="220" t="s">
        <v>1275</v>
      </c>
      <c r="D3512" s="220" t="s">
        <v>78</v>
      </c>
      <c r="E3512" s="165">
        <v>350</v>
      </c>
    </row>
    <row r="3513" spans="1:5" x14ac:dyDescent="0.25">
      <c r="A3513" s="216" t="s">
        <v>5900</v>
      </c>
      <c r="B3513" s="218" t="s">
        <v>48</v>
      </c>
      <c r="C3513" s="220" t="s">
        <v>283</v>
      </c>
      <c r="D3513" s="220" t="s">
        <v>59</v>
      </c>
      <c r="E3513" s="165">
        <v>350</v>
      </c>
    </row>
    <row r="3514" spans="1:5" x14ac:dyDescent="0.25">
      <c r="A3514" s="216" t="s">
        <v>6575</v>
      </c>
      <c r="B3514" s="218" t="s">
        <v>48</v>
      </c>
      <c r="C3514" s="220" t="s">
        <v>733</v>
      </c>
      <c r="D3514" s="220" t="s">
        <v>264</v>
      </c>
      <c r="E3514" s="165">
        <v>350</v>
      </c>
    </row>
    <row r="3515" spans="1:5" x14ac:dyDescent="0.25">
      <c r="A3515" s="216" t="s">
        <v>11183</v>
      </c>
      <c r="B3515" s="218" t="s">
        <v>48</v>
      </c>
      <c r="C3515" s="220" t="s">
        <v>11184</v>
      </c>
      <c r="D3515" s="220" t="s">
        <v>188</v>
      </c>
      <c r="E3515" s="165">
        <v>350</v>
      </c>
    </row>
    <row r="3516" spans="1:5" x14ac:dyDescent="0.25">
      <c r="A3516" s="216" t="s">
        <v>11185</v>
      </c>
      <c r="B3516" s="218">
        <v>1</v>
      </c>
      <c r="C3516" s="220" t="s">
        <v>238</v>
      </c>
      <c r="D3516" s="220" t="s">
        <v>93</v>
      </c>
      <c r="E3516" s="165">
        <v>350</v>
      </c>
    </row>
    <row r="3517" spans="1:5" x14ac:dyDescent="0.25">
      <c r="A3517" s="216" t="s">
        <v>1733</v>
      </c>
      <c r="B3517" s="218" t="s">
        <v>48</v>
      </c>
      <c r="C3517" s="220" t="s">
        <v>1734</v>
      </c>
      <c r="D3517" s="220" t="s">
        <v>82</v>
      </c>
      <c r="E3517" s="165">
        <v>350</v>
      </c>
    </row>
    <row r="3518" spans="1:5" x14ac:dyDescent="0.25">
      <c r="A3518" s="216" t="s">
        <v>4675</v>
      </c>
      <c r="B3518" s="218" t="s">
        <v>48</v>
      </c>
      <c r="C3518" s="220" t="s">
        <v>505</v>
      </c>
      <c r="D3518" s="220" t="s">
        <v>172</v>
      </c>
      <c r="E3518" s="165">
        <v>350</v>
      </c>
    </row>
    <row r="3519" spans="1:5" x14ac:dyDescent="0.25">
      <c r="A3519" s="216" t="s">
        <v>8564</v>
      </c>
      <c r="B3519" s="218" t="s">
        <v>48</v>
      </c>
      <c r="C3519" s="220" t="s">
        <v>2584</v>
      </c>
      <c r="D3519" s="220" t="s">
        <v>118</v>
      </c>
      <c r="E3519" s="165">
        <v>350</v>
      </c>
    </row>
    <row r="3520" spans="1:5" x14ac:dyDescent="0.25">
      <c r="A3520" s="216" t="s">
        <v>5412</v>
      </c>
      <c r="B3520" s="218" t="s">
        <v>48</v>
      </c>
      <c r="C3520" s="220" t="s">
        <v>3094</v>
      </c>
      <c r="D3520" s="220" t="s">
        <v>59</v>
      </c>
      <c r="E3520" s="165">
        <v>350</v>
      </c>
    </row>
    <row r="3521" spans="1:5" x14ac:dyDescent="0.25">
      <c r="A3521" s="216" t="s">
        <v>5598</v>
      </c>
      <c r="B3521" s="218" t="s">
        <v>48</v>
      </c>
      <c r="C3521" s="220" t="s">
        <v>5599</v>
      </c>
      <c r="D3521" s="220" t="s">
        <v>192</v>
      </c>
      <c r="E3521" s="165">
        <v>350</v>
      </c>
    </row>
    <row r="3522" spans="1:5" x14ac:dyDescent="0.25">
      <c r="A3522" s="216" t="s">
        <v>8403</v>
      </c>
      <c r="B3522" s="218" t="s">
        <v>48</v>
      </c>
      <c r="C3522" s="220" t="s">
        <v>464</v>
      </c>
      <c r="D3522" s="220" t="s">
        <v>56</v>
      </c>
      <c r="E3522" s="165">
        <v>350</v>
      </c>
    </row>
    <row r="3523" spans="1:5" x14ac:dyDescent="0.25">
      <c r="A3523" s="216" t="s">
        <v>5400</v>
      </c>
      <c r="B3523" s="218">
        <v>1</v>
      </c>
      <c r="C3523" s="220" t="s">
        <v>2365</v>
      </c>
      <c r="D3523" s="220" t="s">
        <v>63</v>
      </c>
      <c r="E3523" s="165">
        <v>350</v>
      </c>
    </row>
    <row r="3524" spans="1:5" x14ac:dyDescent="0.25">
      <c r="A3524" s="216" t="s">
        <v>7253</v>
      </c>
      <c r="B3524" s="218" t="s">
        <v>48</v>
      </c>
      <c r="C3524" s="220" t="s">
        <v>7254</v>
      </c>
      <c r="D3524" s="220" t="s">
        <v>108</v>
      </c>
      <c r="E3524" s="165">
        <v>350</v>
      </c>
    </row>
    <row r="3525" spans="1:5" x14ac:dyDescent="0.25">
      <c r="A3525" s="216" t="s">
        <v>11186</v>
      </c>
      <c r="B3525" s="218" t="s">
        <v>48</v>
      </c>
      <c r="C3525" s="220" t="s">
        <v>89</v>
      </c>
      <c r="D3525" s="220" t="s">
        <v>90</v>
      </c>
      <c r="E3525" s="165">
        <v>350</v>
      </c>
    </row>
    <row r="3526" spans="1:5" x14ac:dyDescent="0.25">
      <c r="A3526" s="216" t="s">
        <v>5288</v>
      </c>
      <c r="B3526" s="218">
        <v>1</v>
      </c>
      <c r="C3526" s="220" t="s">
        <v>2863</v>
      </c>
      <c r="D3526" s="220" t="s">
        <v>69</v>
      </c>
      <c r="E3526" s="165">
        <v>350</v>
      </c>
    </row>
    <row r="3527" spans="1:5" x14ac:dyDescent="0.25">
      <c r="A3527" s="216" t="s">
        <v>3238</v>
      </c>
      <c r="B3527" s="218" t="s">
        <v>48</v>
      </c>
      <c r="C3527" s="220" t="s">
        <v>3239</v>
      </c>
      <c r="D3527" s="220" t="s">
        <v>56</v>
      </c>
      <c r="E3527" s="165">
        <v>350</v>
      </c>
    </row>
    <row r="3528" spans="1:5" x14ac:dyDescent="0.25">
      <c r="A3528" s="216" t="s">
        <v>5417</v>
      </c>
      <c r="B3528" s="218" t="s">
        <v>48</v>
      </c>
      <c r="C3528" s="220" t="s">
        <v>679</v>
      </c>
      <c r="D3528" s="220" t="s">
        <v>206</v>
      </c>
      <c r="E3528" s="165">
        <v>350</v>
      </c>
    </row>
    <row r="3529" spans="1:5" x14ac:dyDescent="0.25">
      <c r="A3529" s="216" t="s">
        <v>2903</v>
      </c>
      <c r="B3529" s="218" t="s">
        <v>48</v>
      </c>
      <c r="C3529" s="220" t="s">
        <v>733</v>
      </c>
      <c r="D3529" s="220" t="s">
        <v>93</v>
      </c>
      <c r="E3529" s="165">
        <v>350</v>
      </c>
    </row>
    <row r="3530" spans="1:5" x14ac:dyDescent="0.25">
      <c r="A3530" s="216" t="s">
        <v>4855</v>
      </c>
      <c r="B3530" s="218" t="s">
        <v>48</v>
      </c>
      <c r="C3530" s="220" t="s">
        <v>4856</v>
      </c>
      <c r="D3530" s="220" t="s">
        <v>378</v>
      </c>
      <c r="E3530" s="165">
        <v>350</v>
      </c>
    </row>
    <row r="3531" spans="1:5" x14ac:dyDescent="0.25">
      <c r="A3531" s="216" t="s">
        <v>5347</v>
      </c>
      <c r="B3531" s="218" t="s">
        <v>48</v>
      </c>
      <c r="C3531" s="220" t="s">
        <v>5348</v>
      </c>
      <c r="D3531" s="220" t="s">
        <v>192</v>
      </c>
      <c r="E3531" s="165">
        <v>350</v>
      </c>
    </row>
    <row r="3532" spans="1:5" x14ac:dyDescent="0.25">
      <c r="A3532" s="216" t="s">
        <v>6189</v>
      </c>
      <c r="B3532" s="218" t="s">
        <v>48</v>
      </c>
      <c r="C3532" s="220" t="s">
        <v>6190</v>
      </c>
      <c r="D3532" s="220" t="s">
        <v>93</v>
      </c>
      <c r="E3532" s="165">
        <v>350</v>
      </c>
    </row>
    <row r="3533" spans="1:5" x14ac:dyDescent="0.25">
      <c r="A3533" s="216" t="s">
        <v>4259</v>
      </c>
      <c r="B3533" s="218" t="s">
        <v>48</v>
      </c>
      <c r="C3533" s="220" t="s">
        <v>3970</v>
      </c>
      <c r="D3533" s="220" t="s">
        <v>139</v>
      </c>
      <c r="E3533" s="165">
        <v>350</v>
      </c>
    </row>
    <row r="3534" spans="1:5" x14ac:dyDescent="0.25">
      <c r="A3534" s="216" t="s">
        <v>5101</v>
      </c>
      <c r="B3534" s="218" t="s">
        <v>48</v>
      </c>
      <c r="C3534" s="220" t="s">
        <v>475</v>
      </c>
      <c r="D3534" s="220" t="s">
        <v>188</v>
      </c>
      <c r="E3534" s="165">
        <v>350</v>
      </c>
    </row>
    <row r="3535" spans="1:5" x14ac:dyDescent="0.25">
      <c r="A3535" s="216" t="s">
        <v>5321</v>
      </c>
      <c r="B3535" s="218" t="s">
        <v>48</v>
      </c>
      <c r="C3535" s="220" t="s">
        <v>1994</v>
      </c>
      <c r="D3535" s="220" t="s">
        <v>56</v>
      </c>
      <c r="E3535" s="165">
        <v>350</v>
      </c>
    </row>
    <row r="3536" spans="1:5" x14ac:dyDescent="0.25">
      <c r="A3536" s="216" t="s">
        <v>5483</v>
      </c>
      <c r="B3536" s="218" t="s">
        <v>48</v>
      </c>
      <c r="C3536" s="220" t="s">
        <v>5484</v>
      </c>
      <c r="D3536" s="220" t="s">
        <v>177</v>
      </c>
      <c r="E3536" s="165">
        <v>350</v>
      </c>
    </row>
    <row r="3537" spans="1:5" x14ac:dyDescent="0.25">
      <c r="A3537" s="216" t="s">
        <v>4960</v>
      </c>
      <c r="B3537" s="218">
        <v>1</v>
      </c>
      <c r="C3537" s="220" t="s">
        <v>4961</v>
      </c>
      <c r="D3537" s="220" t="s">
        <v>236</v>
      </c>
      <c r="E3537" s="165">
        <v>350</v>
      </c>
    </row>
    <row r="3538" spans="1:5" x14ac:dyDescent="0.25">
      <c r="A3538" s="216" t="s">
        <v>2292</v>
      </c>
      <c r="B3538" s="218" t="s">
        <v>48</v>
      </c>
      <c r="C3538" s="220" t="s">
        <v>2293</v>
      </c>
      <c r="D3538" s="220" t="s">
        <v>50</v>
      </c>
      <c r="E3538" s="165">
        <v>350</v>
      </c>
    </row>
    <row r="3539" spans="1:5" x14ac:dyDescent="0.25">
      <c r="A3539" s="216" t="s">
        <v>6382</v>
      </c>
      <c r="B3539" s="218" t="s">
        <v>48</v>
      </c>
      <c r="C3539" s="220" t="s">
        <v>3367</v>
      </c>
      <c r="D3539" s="220" t="s">
        <v>63</v>
      </c>
      <c r="E3539" s="165">
        <v>350</v>
      </c>
    </row>
    <row r="3540" spans="1:5" x14ac:dyDescent="0.25">
      <c r="A3540" s="216" t="s">
        <v>6133</v>
      </c>
      <c r="B3540" s="218" t="s">
        <v>48</v>
      </c>
      <c r="C3540" s="220" t="s">
        <v>1780</v>
      </c>
      <c r="D3540" s="220" t="s">
        <v>201</v>
      </c>
      <c r="E3540" s="165">
        <v>350</v>
      </c>
    </row>
    <row r="3541" spans="1:5" x14ac:dyDescent="0.25">
      <c r="A3541" s="216" t="s">
        <v>4775</v>
      </c>
      <c r="B3541" s="218" t="s">
        <v>48</v>
      </c>
      <c r="C3541" s="220" t="s">
        <v>4776</v>
      </c>
      <c r="D3541" s="220" t="s">
        <v>78</v>
      </c>
      <c r="E3541" s="165">
        <v>350</v>
      </c>
    </row>
    <row r="3542" spans="1:5" x14ac:dyDescent="0.25">
      <c r="A3542" s="216" t="s">
        <v>4880</v>
      </c>
      <c r="B3542" s="218">
        <v>1</v>
      </c>
      <c r="C3542" s="220" t="s">
        <v>522</v>
      </c>
      <c r="D3542" s="220" t="s">
        <v>523</v>
      </c>
      <c r="E3542" s="165">
        <v>349</v>
      </c>
    </row>
    <row r="3543" spans="1:5" x14ac:dyDescent="0.25">
      <c r="A3543" s="216" t="s">
        <v>4954</v>
      </c>
      <c r="B3543" s="218" t="s">
        <v>48</v>
      </c>
      <c r="C3543" s="220" t="s">
        <v>4955</v>
      </c>
      <c r="D3543" s="220" t="s">
        <v>710</v>
      </c>
      <c r="E3543" s="165">
        <v>349</v>
      </c>
    </row>
    <row r="3544" spans="1:5" x14ac:dyDescent="0.25">
      <c r="A3544" s="216" t="s">
        <v>5438</v>
      </c>
      <c r="B3544" s="218" t="s">
        <v>48</v>
      </c>
      <c r="C3544" s="220" t="s">
        <v>5439</v>
      </c>
      <c r="D3544" s="220" t="s">
        <v>69</v>
      </c>
      <c r="E3544" s="165">
        <v>349</v>
      </c>
    </row>
    <row r="3545" spans="1:5" x14ac:dyDescent="0.25">
      <c r="A3545" s="216" t="s">
        <v>5084</v>
      </c>
      <c r="B3545" s="218">
        <v>1</v>
      </c>
      <c r="C3545" s="220" t="s">
        <v>198</v>
      </c>
      <c r="D3545" s="220" t="s">
        <v>56</v>
      </c>
      <c r="E3545" s="165">
        <v>349</v>
      </c>
    </row>
    <row r="3546" spans="1:5" x14ac:dyDescent="0.25">
      <c r="A3546" s="216" t="s">
        <v>3929</v>
      </c>
      <c r="B3546" s="218" t="s">
        <v>48</v>
      </c>
      <c r="C3546" s="220" t="s">
        <v>313</v>
      </c>
      <c r="D3546" s="220" t="s">
        <v>90</v>
      </c>
      <c r="E3546" s="165">
        <v>349</v>
      </c>
    </row>
    <row r="3547" spans="1:5" x14ac:dyDescent="0.25">
      <c r="A3547" s="216" t="s">
        <v>4335</v>
      </c>
      <c r="B3547" s="218">
        <v>1</v>
      </c>
      <c r="C3547" s="220" t="s">
        <v>4336</v>
      </c>
      <c r="D3547" s="220" t="s">
        <v>394</v>
      </c>
      <c r="E3547" s="165">
        <v>349</v>
      </c>
    </row>
    <row r="3548" spans="1:5" x14ac:dyDescent="0.25">
      <c r="A3548" s="216" t="s">
        <v>4986</v>
      </c>
      <c r="B3548" s="218">
        <v>1</v>
      </c>
      <c r="C3548" s="220" t="s">
        <v>735</v>
      </c>
      <c r="D3548" s="220" t="s">
        <v>277</v>
      </c>
      <c r="E3548" s="165">
        <v>348</v>
      </c>
    </row>
    <row r="3549" spans="1:5" x14ac:dyDescent="0.25">
      <c r="A3549" s="216" t="s">
        <v>4964</v>
      </c>
      <c r="B3549" s="218" t="s">
        <v>48</v>
      </c>
      <c r="C3549" s="220" t="s">
        <v>4965</v>
      </c>
      <c r="D3549" s="220" t="s">
        <v>108</v>
      </c>
      <c r="E3549" s="165">
        <v>348</v>
      </c>
    </row>
    <row r="3550" spans="1:5" x14ac:dyDescent="0.25">
      <c r="A3550" s="216" t="s">
        <v>5002</v>
      </c>
      <c r="B3550" s="218">
        <v>1</v>
      </c>
      <c r="C3550" s="220" t="s">
        <v>5003</v>
      </c>
      <c r="D3550" s="220" t="s">
        <v>50</v>
      </c>
      <c r="E3550" s="165">
        <v>348</v>
      </c>
    </row>
    <row r="3551" spans="1:5" x14ac:dyDescent="0.25">
      <c r="A3551" s="216" t="s">
        <v>5310</v>
      </c>
      <c r="B3551" s="218">
        <v>1</v>
      </c>
      <c r="C3551" s="220" t="s">
        <v>5311</v>
      </c>
      <c r="D3551" s="220" t="s">
        <v>69</v>
      </c>
      <c r="E3551" s="165">
        <v>348</v>
      </c>
    </row>
    <row r="3552" spans="1:5" x14ac:dyDescent="0.25">
      <c r="A3552" s="216" t="s">
        <v>3879</v>
      </c>
      <c r="B3552" s="218" t="s">
        <v>48</v>
      </c>
      <c r="C3552" s="220" t="s">
        <v>3880</v>
      </c>
      <c r="D3552" s="220" t="s">
        <v>75</v>
      </c>
      <c r="E3552" s="165">
        <v>348</v>
      </c>
    </row>
    <row r="3553" spans="1:5" x14ac:dyDescent="0.25">
      <c r="A3553" s="216" t="s">
        <v>5315</v>
      </c>
      <c r="B3553" s="218">
        <v>1</v>
      </c>
      <c r="C3553" s="220" t="s">
        <v>1599</v>
      </c>
      <c r="D3553" s="220" t="s">
        <v>69</v>
      </c>
      <c r="E3553" s="165">
        <v>348</v>
      </c>
    </row>
    <row r="3554" spans="1:5" x14ac:dyDescent="0.25">
      <c r="A3554" s="216" t="s">
        <v>6024</v>
      </c>
      <c r="B3554" s="218" t="s">
        <v>48</v>
      </c>
      <c r="C3554" s="220" t="s">
        <v>6025</v>
      </c>
      <c r="D3554" s="220" t="s">
        <v>188</v>
      </c>
      <c r="E3554" s="165">
        <v>348</v>
      </c>
    </row>
    <row r="3555" spans="1:5" x14ac:dyDescent="0.25">
      <c r="A3555" s="216" t="s">
        <v>4091</v>
      </c>
      <c r="B3555" s="218">
        <v>1</v>
      </c>
      <c r="C3555" s="220" t="s">
        <v>784</v>
      </c>
      <c r="D3555" s="220" t="s">
        <v>56</v>
      </c>
      <c r="E3555" s="165">
        <v>348</v>
      </c>
    </row>
    <row r="3556" spans="1:5" x14ac:dyDescent="0.25">
      <c r="A3556" s="216" t="s">
        <v>7404</v>
      </c>
      <c r="B3556" s="218" t="s">
        <v>48</v>
      </c>
      <c r="C3556" s="220" t="s">
        <v>7405</v>
      </c>
      <c r="D3556" s="220" t="s">
        <v>63</v>
      </c>
      <c r="E3556" s="165">
        <v>347</v>
      </c>
    </row>
    <row r="3557" spans="1:5" x14ac:dyDescent="0.25">
      <c r="A3557" s="216" t="s">
        <v>4714</v>
      </c>
      <c r="B3557" s="218">
        <v>1</v>
      </c>
      <c r="C3557" s="220" t="s">
        <v>138</v>
      </c>
      <c r="D3557" s="220" t="s">
        <v>139</v>
      </c>
      <c r="E3557" s="165">
        <v>347</v>
      </c>
    </row>
    <row r="3558" spans="1:5" x14ac:dyDescent="0.25">
      <c r="A3558" s="216" t="s">
        <v>9766</v>
      </c>
      <c r="B3558" s="218" t="s">
        <v>48</v>
      </c>
      <c r="C3558" s="220" t="s">
        <v>2049</v>
      </c>
      <c r="D3558" s="220" t="s">
        <v>93</v>
      </c>
      <c r="E3558" s="165">
        <v>347</v>
      </c>
    </row>
    <row r="3559" spans="1:5" x14ac:dyDescent="0.25">
      <c r="A3559" s="216" t="s">
        <v>5465</v>
      </c>
      <c r="B3559" s="218" t="s">
        <v>48</v>
      </c>
      <c r="C3559" s="220" t="s">
        <v>5466</v>
      </c>
      <c r="D3559" s="220" t="s">
        <v>75</v>
      </c>
      <c r="E3559" s="165">
        <v>347</v>
      </c>
    </row>
    <row r="3560" spans="1:5" x14ac:dyDescent="0.25">
      <c r="A3560" s="216" t="s">
        <v>5125</v>
      </c>
      <c r="B3560" s="218">
        <v>1</v>
      </c>
      <c r="C3560" s="220" t="s">
        <v>289</v>
      </c>
      <c r="D3560" s="220" t="s">
        <v>69</v>
      </c>
      <c r="E3560" s="165">
        <v>346</v>
      </c>
    </row>
    <row r="3561" spans="1:5" x14ac:dyDescent="0.25">
      <c r="A3561" s="216" t="s">
        <v>5162</v>
      </c>
      <c r="B3561" s="218">
        <v>1</v>
      </c>
      <c r="C3561" s="220" t="s">
        <v>5163</v>
      </c>
      <c r="D3561" s="220" t="s">
        <v>66</v>
      </c>
      <c r="E3561" s="165">
        <v>346</v>
      </c>
    </row>
    <row r="3562" spans="1:5" x14ac:dyDescent="0.25">
      <c r="A3562" s="216" t="s">
        <v>5272</v>
      </c>
      <c r="B3562" s="218">
        <v>1</v>
      </c>
      <c r="C3562" s="220" t="s">
        <v>98</v>
      </c>
      <c r="D3562" s="220" t="s">
        <v>50</v>
      </c>
      <c r="E3562" s="165">
        <v>346</v>
      </c>
    </row>
    <row r="3563" spans="1:5" x14ac:dyDescent="0.25">
      <c r="A3563" s="216" t="s">
        <v>5164</v>
      </c>
      <c r="B3563" s="218">
        <v>1</v>
      </c>
      <c r="C3563" s="220" t="s">
        <v>5165</v>
      </c>
      <c r="D3563" s="220" t="s">
        <v>66</v>
      </c>
      <c r="E3563" s="165">
        <v>346</v>
      </c>
    </row>
    <row r="3564" spans="1:5" x14ac:dyDescent="0.25">
      <c r="A3564" s="216" t="s">
        <v>1613</v>
      </c>
      <c r="B3564" s="218">
        <v>1</v>
      </c>
      <c r="C3564" s="220" t="s">
        <v>1614</v>
      </c>
      <c r="D3564" s="220" t="s">
        <v>93</v>
      </c>
      <c r="E3564" s="165">
        <v>346</v>
      </c>
    </row>
    <row r="3565" spans="1:5" x14ac:dyDescent="0.25">
      <c r="A3565" s="216" t="s">
        <v>5136</v>
      </c>
      <c r="B3565" s="218">
        <v>1</v>
      </c>
      <c r="C3565" s="220" t="s">
        <v>4131</v>
      </c>
      <c r="D3565" s="220" t="s">
        <v>69</v>
      </c>
      <c r="E3565" s="165">
        <v>346</v>
      </c>
    </row>
    <row r="3566" spans="1:5" x14ac:dyDescent="0.25">
      <c r="A3566" s="216" t="s">
        <v>4923</v>
      </c>
      <c r="B3566" s="218" t="s">
        <v>48</v>
      </c>
      <c r="C3566" s="220" t="s">
        <v>4172</v>
      </c>
      <c r="D3566" s="220" t="s">
        <v>53</v>
      </c>
      <c r="E3566" s="165">
        <v>346</v>
      </c>
    </row>
    <row r="3567" spans="1:5" x14ac:dyDescent="0.25">
      <c r="A3567" s="216" t="s">
        <v>5137</v>
      </c>
      <c r="B3567" s="218">
        <v>1</v>
      </c>
      <c r="C3567" s="220" t="s">
        <v>5138</v>
      </c>
      <c r="D3567" s="220" t="s">
        <v>69</v>
      </c>
      <c r="E3567" s="165">
        <v>346</v>
      </c>
    </row>
    <row r="3568" spans="1:5" x14ac:dyDescent="0.25">
      <c r="A3568" s="216" t="s">
        <v>6224</v>
      </c>
      <c r="B3568" s="218">
        <v>1</v>
      </c>
      <c r="C3568" s="220" t="s">
        <v>347</v>
      </c>
      <c r="D3568" s="220" t="s">
        <v>348</v>
      </c>
      <c r="E3568" s="165">
        <v>345</v>
      </c>
    </row>
    <row r="3569" spans="1:5" x14ac:dyDescent="0.25">
      <c r="A3569" s="216" t="s">
        <v>5355</v>
      </c>
      <c r="B3569" s="218">
        <v>1</v>
      </c>
      <c r="C3569" s="220" t="s">
        <v>289</v>
      </c>
      <c r="D3569" s="220" t="s">
        <v>69</v>
      </c>
      <c r="E3569" s="165">
        <v>345</v>
      </c>
    </row>
    <row r="3570" spans="1:5" x14ac:dyDescent="0.25">
      <c r="A3570" s="216" t="s">
        <v>5019</v>
      </c>
      <c r="B3570" s="218">
        <v>1</v>
      </c>
      <c r="C3570" s="220" t="s">
        <v>5020</v>
      </c>
      <c r="D3570" s="220" t="s">
        <v>50</v>
      </c>
      <c r="E3570" s="165">
        <v>345</v>
      </c>
    </row>
    <row r="3571" spans="1:5" x14ac:dyDescent="0.25">
      <c r="A3571" s="216" t="s">
        <v>3710</v>
      </c>
      <c r="B3571" s="218" t="s">
        <v>48</v>
      </c>
      <c r="C3571" s="220" t="s">
        <v>3711</v>
      </c>
      <c r="D3571" s="220" t="s">
        <v>90</v>
      </c>
      <c r="E3571" s="165">
        <v>345</v>
      </c>
    </row>
    <row r="3572" spans="1:5" x14ac:dyDescent="0.25">
      <c r="A3572" s="216" t="s">
        <v>5078</v>
      </c>
      <c r="B3572" s="218">
        <v>1</v>
      </c>
      <c r="C3572" s="220" t="s">
        <v>5079</v>
      </c>
      <c r="D3572" s="220" t="s">
        <v>98</v>
      </c>
      <c r="E3572" s="165">
        <v>345</v>
      </c>
    </row>
    <row r="3573" spans="1:5" x14ac:dyDescent="0.25">
      <c r="A3573" s="216" t="s">
        <v>2055</v>
      </c>
      <c r="B3573" s="218" t="s">
        <v>48</v>
      </c>
      <c r="C3573" s="220" t="s">
        <v>2056</v>
      </c>
      <c r="D3573" s="220" t="s">
        <v>585</v>
      </c>
      <c r="E3573" s="165">
        <v>344</v>
      </c>
    </row>
    <row r="3574" spans="1:5" x14ac:dyDescent="0.25">
      <c r="A3574" s="216" t="s">
        <v>5225</v>
      </c>
      <c r="B3574" s="218" t="s">
        <v>48</v>
      </c>
      <c r="C3574" s="220" t="s">
        <v>5226</v>
      </c>
      <c r="D3574" s="220" t="s">
        <v>75</v>
      </c>
      <c r="E3574" s="165">
        <v>344</v>
      </c>
    </row>
    <row r="3575" spans="1:5" x14ac:dyDescent="0.25">
      <c r="A3575" s="216" t="s">
        <v>4366</v>
      </c>
      <c r="B3575" s="218" t="s">
        <v>48</v>
      </c>
      <c r="C3575" s="220" t="s">
        <v>628</v>
      </c>
      <c r="D3575" s="220" t="s">
        <v>93</v>
      </c>
      <c r="E3575" s="165">
        <v>344</v>
      </c>
    </row>
    <row r="3576" spans="1:5" x14ac:dyDescent="0.25">
      <c r="A3576" s="216" t="s">
        <v>5085</v>
      </c>
      <c r="B3576" s="218" t="s">
        <v>48</v>
      </c>
      <c r="C3576" s="220" t="s">
        <v>5086</v>
      </c>
      <c r="D3576" s="220" t="s">
        <v>108</v>
      </c>
      <c r="E3576" s="165">
        <v>344</v>
      </c>
    </row>
    <row r="3577" spans="1:5" x14ac:dyDescent="0.25">
      <c r="A3577" s="216" t="s">
        <v>4570</v>
      </c>
      <c r="B3577" s="218">
        <v>1</v>
      </c>
      <c r="C3577" s="220" t="s">
        <v>4486</v>
      </c>
      <c r="D3577" s="220" t="s">
        <v>90</v>
      </c>
      <c r="E3577" s="165">
        <v>343</v>
      </c>
    </row>
    <row r="3578" spans="1:5" x14ac:dyDescent="0.25">
      <c r="A3578" s="216" t="s">
        <v>5714</v>
      </c>
      <c r="B3578" s="218" t="s">
        <v>48</v>
      </c>
      <c r="C3578" s="220" t="s">
        <v>245</v>
      </c>
      <c r="D3578" s="220" t="s">
        <v>69</v>
      </c>
      <c r="E3578" s="165">
        <v>343</v>
      </c>
    </row>
    <row r="3579" spans="1:5" x14ac:dyDescent="0.25">
      <c r="A3579" s="216" t="s">
        <v>4603</v>
      </c>
      <c r="B3579" s="218" t="s">
        <v>48</v>
      </c>
      <c r="C3579" s="220" t="s">
        <v>768</v>
      </c>
      <c r="D3579" s="220" t="s">
        <v>264</v>
      </c>
      <c r="E3579" s="165">
        <v>343</v>
      </c>
    </row>
    <row r="3580" spans="1:5" x14ac:dyDescent="0.25">
      <c r="A3580" s="216" t="s">
        <v>11187</v>
      </c>
      <c r="B3580" s="218">
        <v>1</v>
      </c>
      <c r="C3580" s="220" t="s">
        <v>5705</v>
      </c>
      <c r="D3580" s="220" t="s">
        <v>105</v>
      </c>
      <c r="E3580" s="165">
        <v>343</v>
      </c>
    </row>
    <row r="3581" spans="1:5" x14ac:dyDescent="0.25">
      <c r="A3581" s="216" t="s">
        <v>5093</v>
      </c>
      <c r="B3581" s="218" t="s">
        <v>48</v>
      </c>
      <c r="C3581" s="220" t="s">
        <v>3119</v>
      </c>
      <c r="D3581" s="220" t="s">
        <v>277</v>
      </c>
      <c r="E3581" s="165">
        <v>343</v>
      </c>
    </row>
    <row r="3582" spans="1:5" x14ac:dyDescent="0.25">
      <c r="A3582" s="216" t="s">
        <v>11188</v>
      </c>
      <c r="B3582" s="218" t="s">
        <v>48</v>
      </c>
      <c r="C3582" s="220" t="s">
        <v>3999</v>
      </c>
      <c r="D3582" s="220" t="s">
        <v>90</v>
      </c>
      <c r="E3582" s="165">
        <v>342</v>
      </c>
    </row>
    <row r="3583" spans="1:5" x14ac:dyDescent="0.25">
      <c r="A3583" s="216" t="s">
        <v>5392</v>
      </c>
      <c r="B3583" s="218">
        <v>1</v>
      </c>
      <c r="C3583" s="220" t="s">
        <v>2102</v>
      </c>
      <c r="D3583" s="220" t="s">
        <v>69</v>
      </c>
      <c r="E3583" s="165">
        <v>342</v>
      </c>
    </row>
    <row r="3584" spans="1:5" x14ac:dyDescent="0.25">
      <c r="A3584" s="216" t="s">
        <v>5407</v>
      </c>
      <c r="B3584" s="218">
        <v>1</v>
      </c>
      <c r="C3584" s="220" t="s">
        <v>1823</v>
      </c>
      <c r="D3584" s="220" t="s">
        <v>56</v>
      </c>
      <c r="E3584" s="165">
        <v>342</v>
      </c>
    </row>
    <row r="3585" spans="1:5" x14ac:dyDescent="0.25">
      <c r="A3585" s="216" t="s">
        <v>5068</v>
      </c>
      <c r="B3585" s="218">
        <v>1</v>
      </c>
      <c r="C3585" s="220" t="s">
        <v>1295</v>
      </c>
      <c r="D3585" s="220" t="s">
        <v>50</v>
      </c>
      <c r="E3585" s="165">
        <v>342</v>
      </c>
    </row>
    <row r="3586" spans="1:5" x14ac:dyDescent="0.25">
      <c r="A3586" s="216" t="s">
        <v>4787</v>
      </c>
      <c r="B3586" s="218" t="s">
        <v>48</v>
      </c>
      <c r="C3586" s="220" t="s">
        <v>516</v>
      </c>
      <c r="D3586" s="220" t="s">
        <v>517</v>
      </c>
      <c r="E3586" s="165">
        <v>341</v>
      </c>
    </row>
    <row r="3587" spans="1:5" x14ac:dyDescent="0.25">
      <c r="A3587" s="216" t="s">
        <v>5110</v>
      </c>
      <c r="B3587" s="218">
        <v>1</v>
      </c>
      <c r="C3587" s="220" t="s">
        <v>5111</v>
      </c>
      <c r="D3587" s="220" t="s">
        <v>98</v>
      </c>
      <c r="E3587" s="165">
        <v>341</v>
      </c>
    </row>
    <row r="3588" spans="1:5" x14ac:dyDescent="0.25">
      <c r="A3588" s="216" t="s">
        <v>5123</v>
      </c>
      <c r="B3588" s="218">
        <v>1</v>
      </c>
      <c r="C3588" s="220" t="s">
        <v>233</v>
      </c>
      <c r="D3588" s="220" t="s">
        <v>56</v>
      </c>
      <c r="E3588" s="165">
        <v>341</v>
      </c>
    </row>
    <row r="3589" spans="1:5" x14ac:dyDescent="0.25">
      <c r="A3589" s="216" t="s">
        <v>11189</v>
      </c>
      <c r="B3589" s="218" t="s">
        <v>48</v>
      </c>
      <c r="C3589" s="220" t="s">
        <v>8192</v>
      </c>
      <c r="D3589" s="220" t="s">
        <v>108</v>
      </c>
      <c r="E3589" s="165">
        <v>341</v>
      </c>
    </row>
    <row r="3590" spans="1:5" x14ac:dyDescent="0.25">
      <c r="A3590" s="216" t="s">
        <v>5411</v>
      </c>
      <c r="B3590" s="218">
        <v>1</v>
      </c>
      <c r="C3590" s="220" t="s">
        <v>2324</v>
      </c>
      <c r="D3590" s="220" t="s">
        <v>56</v>
      </c>
      <c r="E3590" s="165">
        <v>340</v>
      </c>
    </row>
    <row r="3591" spans="1:5" x14ac:dyDescent="0.25">
      <c r="A3591" s="216" t="s">
        <v>5463</v>
      </c>
      <c r="B3591" s="218" t="s">
        <v>48</v>
      </c>
      <c r="C3591" s="220" t="s">
        <v>92</v>
      </c>
      <c r="D3591" s="220" t="s">
        <v>93</v>
      </c>
      <c r="E3591" s="165">
        <v>340</v>
      </c>
    </row>
    <row r="3592" spans="1:5" x14ac:dyDescent="0.25">
      <c r="A3592" s="216" t="s">
        <v>5267</v>
      </c>
      <c r="B3592" s="218">
        <v>1</v>
      </c>
      <c r="C3592" s="220" t="s">
        <v>2365</v>
      </c>
      <c r="D3592" s="220" t="s">
        <v>78</v>
      </c>
      <c r="E3592" s="165">
        <v>340</v>
      </c>
    </row>
    <row r="3593" spans="1:5" x14ac:dyDescent="0.25">
      <c r="A3593" s="216" t="s">
        <v>5154</v>
      </c>
      <c r="B3593" s="218">
        <v>1</v>
      </c>
      <c r="C3593" s="220" t="s">
        <v>86</v>
      </c>
      <c r="D3593" s="220" t="s">
        <v>78</v>
      </c>
      <c r="E3593" s="165">
        <v>340</v>
      </c>
    </row>
    <row r="3594" spans="1:5" x14ac:dyDescent="0.25">
      <c r="A3594" s="216" t="s">
        <v>5313</v>
      </c>
      <c r="B3594" s="218" t="s">
        <v>48</v>
      </c>
      <c r="C3594" s="220" t="s">
        <v>5314</v>
      </c>
      <c r="D3594" s="220" t="s">
        <v>139</v>
      </c>
      <c r="E3594" s="165">
        <v>340</v>
      </c>
    </row>
    <row r="3595" spans="1:5" x14ac:dyDescent="0.25">
      <c r="A3595" s="216" t="s">
        <v>4038</v>
      </c>
      <c r="B3595" s="218">
        <v>1</v>
      </c>
      <c r="C3595" s="220" t="s">
        <v>4039</v>
      </c>
      <c r="D3595" s="220" t="s">
        <v>63</v>
      </c>
      <c r="E3595" s="165">
        <v>340</v>
      </c>
    </row>
    <row r="3596" spans="1:5" x14ac:dyDescent="0.25">
      <c r="A3596" s="216" t="s">
        <v>5394</v>
      </c>
      <c r="B3596" s="218" t="s">
        <v>48</v>
      </c>
      <c r="C3596" s="220" t="s">
        <v>2453</v>
      </c>
      <c r="D3596" s="220" t="s">
        <v>628</v>
      </c>
      <c r="E3596" s="165">
        <v>340</v>
      </c>
    </row>
    <row r="3597" spans="1:5" x14ac:dyDescent="0.25">
      <c r="A3597" s="216" t="s">
        <v>5487</v>
      </c>
      <c r="B3597" s="218">
        <v>1</v>
      </c>
      <c r="C3597" s="220" t="s">
        <v>5488</v>
      </c>
      <c r="D3597" s="220" t="s">
        <v>139</v>
      </c>
      <c r="E3597" s="165">
        <v>339</v>
      </c>
    </row>
    <row r="3598" spans="1:5" x14ac:dyDescent="0.25">
      <c r="A3598" s="216" t="s">
        <v>5391</v>
      </c>
      <c r="B3598" s="218">
        <v>1</v>
      </c>
      <c r="C3598" s="220" t="s">
        <v>810</v>
      </c>
      <c r="D3598" s="220" t="s">
        <v>394</v>
      </c>
      <c r="E3598" s="165">
        <v>339</v>
      </c>
    </row>
    <row r="3599" spans="1:5" x14ac:dyDescent="0.25">
      <c r="A3599" s="216" t="s">
        <v>5371</v>
      </c>
      <c r="B3599" s="218" t="s">
        <v>48</v>
      </c>
      <c r="C3599" s="220" t="s">
        <v>5372</v>
      </c>
      <c r="D3599" s="220" t="s">
        <v>53</v>
      </c>
      <c r="E3599" s="165">
        <v>339</v>
      </c>
    </row>
    <row r="3600" spans="1:5" x14ac:dyDescent="0.25">
      <c r="A3600" s="216" t="s">
        <v>5985</v>
      </c>
      <c r="B3600" s="218" t="s">
        <v>48</v>
      </c>
      <c r="C3600" s="220" t="s">
        <v>5986</v>
      </c>
      <c r="D3600" s="220" t="s">
        <v>82</v>
      </c>
      <c r="E3600" s="165">
        <v>338</v>
      </c>
    </row>
    <row r="3601" spans="1:5" x14ac:dyDescent="0.25">
      <c r="A3601" s="216" t="s">
        <v>5244</v>
      </c>
      <c r="B3601" s="218">
        <v>1</v>
      </c>
      <c r="C3601" s="220" t="s">
        <v>263</v>
      </c>
      <c r="D3601" s="220" t="s">
        <v>264</v>
      </c>
      <c r="E3601" s="165">
        <v>338</v>
      </c>
    </row>
    <row r="3602" spans="1:5" x14ac:dyDescent="0.25">
      <c r="A3602" s="216" t="s">
        <v>6186</v>
      </c>
      <c r="B3602" s="218" t="s">
        <v>48</v>
      </c>
      <c r="C3602" s="220" t="s">
        <v>6187</v>
      </c>
      <c r="D3602" s="220" t="s">
        <v>72</v>
      </c>
      <c r="E3602" s="165">
        <v>338</v>
      </c>
    </row>
    <row r="3603" spans="1:5" x14ac:dyDescent="0.25">
      <c r="A3603" s="216" t="s">
        <v>5542</v>
      </c>
      <c r="B3603" s="218" t="s">
        <v>48</v>
      </c>
      <c r="C3603" s="220" t="s">
        <v>5543</v>
      </c>
      <c r="D3603" s="220" t="s">
        <v>166</v>
      </c>
      <c r="E3603" s="165">
        <v>338</v>
      </c>
    </row>
    <row r="3604" spans="1:5" x14ac:dyDescent="0.25">
      <c r="A3604" s="216" t="s">
        <v>5443</v>
      </c>
      <c r="B3604" s="218">
        <v>1</v>
      </c>
      <c r="C3604" s="220" t="s">
        <v>5444</v>
      </c>
      <c r="D3604" s="220" t="s">
        <v>56</v>
      </c>
      <c r="E3604" s="165">
        <v>337</v>
      </c>
    </row>
    <row r="3605" spans="1:5" x14ac:dyDescent="0.25">
      <c r="A3605" s="216" t="s">
        <v>5146</v>
      </c>
      <c r="B3605" s="218">
        <v>1</v>
      </c>
      <c r="C3605" s="220" t="s">
        <v>3637</v>
      </c>
      <c r="D3605" s="220" t="s">
        <v>98</v>
      </c>
      <c r="E3605" s="165">
        <v>337</v>
      </c>
    </row>
    <row r="3606" spans="1:5" x14ac:dyDescent="0.25">
      <c r="A3606" s="216" t="s">
        <v>4576</v>
      </c>
      <c r="B3606" s="218">
        <v>1</v>
      </c>
      <c r="C3606" s="220" t="s">
        <v>196</v>
      </c>
      <c r="D3606" s="220" t="s">
        <v>50</v>
      </c>
      <c r="E3606" s="165">
        <v>337</v>
      </c>
    </row>
    <row r="3607" spans="1:5" x14ac:dyDescent="0.25">
      <c r="A3607" s="216" t="s">
        <v>4981</v>
      </c>
      <c r="B3607" s="218">
        <v>1</v>
      </c>
      <c r="C3607" s="220" t="s">
        <v>249</v>
      </c>
      <c r="D3607" s="220" t="s">
        <v>142</v>
      </c>
      <c r="E3607" s="165">
        <v>337</v>
      </c>
    </row>
    <row r="3608" spans="1:5" x14ac:dyDescent="0.25">
      <c r="A3608" s="216" t="s">
        <v>5507</v>
      </c>
      <c r="B3608" s="218">
        <v>1</v>
      </c>
      <c r="C3608" s="220" t="s">
        <v>5128</v>
      </c>
      <c r="D3608" s="220" t="s">
        <v>63</v>
      </c>
      <c r="E3608" s="165">
        <v>336</v>
      </c>
    </row>
    <row r="3609" spans="1:5" x14ac:dyDescent="0.25">
      <c r="A3609" s="216" t="s">
        <v>5525</v>
      </c>
      <c r="B3609" s="218" t="s">
        <v>48</v>
      </c>
      <c r="C3609" s="220" t="s">
        <v>932</v>
      </c>
      <c r="D3609" s="220" t="s">
        <v>166</v>
      </c>
      <c r="E3609" s="165">
        <v>336</v>
      </c>
    </row>
    <row r="3610" spans="1:5" x14ac:dyDescent="0.25">
      <c r="A3610" s="216" t="s">
        <v>6184</v>
      </c>
      <c r="B3610" s="218">
        <v>1</v>
      </c>
      <c r="C3610" s="220" t="s">
        <v>86</v>
      </c>
      <c r="D3610" s="220" t="s">
        <v>72</v>
      </c>
      <c r="E3610" s="165">
        <v>336</v>
      </c>
    </row>
    <row r="3611" spans="1:5" x14ac:dyDescent="0.25">
      <c r="A3611" s="216" t="s">
        <v>5170</v>
      </c>
      <c r="B3611" s="218">
        <v>1</v>
      </c>
      <c r="C3611" s="220" t="s">
        <v>5171</v>
      </c>
      <c r="D3611" s="220" t="s">
        <v>56</v>
      </c>
      <c r="E3611" s="165">
        <v>336</v>
      </c>
    </row>
    <row r="3612" spans="1:5" x14ac:dyDescent="0.25">
      <c r="A3612" s="216" t="s">
        <v>5948</v>
      </c>
      <c r="B3612" s="218" t="s">
        <v>48</v>
      </c>
      <c r="C3612" s="220" t="s">
        <v>3520</v>
      </c>
      <c r="D3612" s="220" t="s">
        <v>201</v>
      </c>
      <c r="E3612" s="165">
        <v>336</v>
      </c>
    </row>
    <row r="3613" spans="1:5" x14ac:dyDescent="0.25">
      <c r="A3613" s="216" t="s">
        <v>5402</v>
      </c>
      <c r="B3613" s="218">
        <v>1</v>
      </c>
      <c r="C3613" s="220" t="s">
        <v>2623</v>
      </c>
      <c r="D3613" s="220" t="s">
        <v>50</v>
      </c>
      <c r="E3613" s="165">
        <v>336</v>
      </c>
    </row>
    <row r="3614" spans="1:5" x14ac:dyDescent="0.25">
      <c r="A3614" s="216" t="s">
        <v>5034</v>
      </c>
      <c r="B3614" s="218" t="s">
        <v>48</v>
      </c>
      <c r="C3614" s="220" t="s">
        <v>5035</v>
      </c>
      <c r="D3614" s="220" t="s">
        <v>69</v>
      </c>
      <c r="E3614" s="165">
        <v>336</v>
      </c>
    </row>
    <row r="3615" spans="1:5" x14ac:dyDescent="0.25">
      <c r="A3615" s="216" t="s">
        <v>6045</v>
      </c>
      <c r="B3615" s="218" t="s">
        <v>48</v>
      </c>
      <c r="C3615" s="220" t="s">
        <v>1405</v>
      </c>
      <c r="D3615" s="220" t="s">
        <v>710</v>
      </c>
      <c r="E3615" s="165">
        <v>336</v>
      </c>
    </row>
    <row r="3616" spans="1:5" x14ac:dyDescent="0.25">
      <c r="A3616" s="216" t="s">
        <v>5113</v>
      </c>
      <c r="B3616" s="218">
        <v>1</v>
      </c>
      <c r="C3616" s="220" t="s">
        <v>5114</v>
      </c>
      <c r="D3616" s="220" t="s">
        <v>50</v>
      </c>
      <c r="E3616" s="165">
        <v>336</v>
      </c>
    </row>
    <row r="3617" spans="1:5" x14ac:dyDescent="0.25">
      <c r="A3617" s="216" t="s">
        <v>3739</v>
      </c>
      <c r="B3617" s="218" t="s">
        <v>48</v>
      </c>
      <c r="C3617" s="220" t="s">
        <v>3508</v>
      </c>
      <c r="D3617" s="220" t="s">
        <v>585</v>
      </c>
      <c r="E3617" s="165">
        <v>336</v>
      </c>
    </row>
    <row r="3618" spans="1:5" x14ac:dyDescent="0.25">
      <c r="A3618" s="216" t="s">
        <v>5337</v>
      </c>
      <c r="B3618" s="218">
        <v>1</v>
      </c>
      <c r="C3618" s="220" t="s">
        <v>4396</v>
      </c>
      <c r="D3618" s="220" t="s">
        <v>130</v>
      </c>
      <c r="E3618" s="165">
        <v>335</v>
      </c>
    </row>
    <row r="3619" spans="1:5" x14ac:dyDescent="0.25">
      <c r="A3619" s="216" t="s">
        <v>6695</v>
      </c>
      <c r="B3619" s="218" t="s">
        <v>48</v>
      </c>
      <c r="C3619" s="220" t="s">
        <v>6181</v>
      </c>
      <c r="D3619" s="220" t="s">
        <v>69</v>
      </c>
      <c r="E3619" s="165">
        <v>335</v>
      </c>
    </row>
    <row r="3620" spans="1:5" x14ac:dyDescent="0.25">
      <c r="A3620" s="216" t="s">
        <v>4845</v>
      </c>
      <c r="B3620" s="218" t="s">
        <v>48</v>
      </c>
      <c r="C3620" s="220" t="s">
        <v>1469</v>
      </c>
      <c r="D3620" s="220" t="s">
        <v>394</v>
      </c>
      <c r="E3620" s="165">
        <v>335</v>
      </c>
    </row>
    <row r="3621" spans="1:5" x14ac:dyDescent="0.25">
      <c r="A3621" s="216" t="s">
        <v>5537</v>
      </c>
      <c r="B3621" s="218">
        <v>1</v>
      </c>
      <c r="C3621" s="220" t="s">
        <v>5538</v>
      </c>
      <c r="D3621" s="220" t="s">
        <v>139</v>
      </c>
      <c r="E3621" s="165">
        <v>335</v>
      </c>
    </row>
    <row r="3622" spans="1:5" x14ac:dyDescent="0.25">
      <c r="A3622" s="216" t="s">
        <v>5260</v>
      </c>
      <c r="B3622" s="218">
        <v>1</v>
      </c>
      <c r="C3622" s="220" t="s">
        <v>2069</v>
      </c>
      <c r="D3622" s="220" t="s">
        <v>124</v>
      </c>
      <c r="E3622" s="165">
        <v>335</v>
      </c>
    </row>
    <row r="3623" spans="1:5" x14ac:dyDescent="0.25">
      <c r="A3623" s="216" t="s">
        <v>5037</v>
      </c>
      <c r="B3623" s="218">
        <v>1</v>
      </c>
      <c r="C3623" s="220" t="s">
        <v>3078</v>
      </c>
      <c r="D3623" s="220" t="s">
        <v>575</v>
      </c>
      <c r="E3623" s="165">
        <v>335</v>
      </c>
    </row>
    <row r="3624" spans="1:5" x14ac:dyDescent="0.25">
      <c r="A3624" s="216" t="s">
        <v>4705</v>
      </c>
      <c r="B3624" s="218" t="s">
        <v>48</v>
      </c>
      <c r="C3624" s="220" t="s">
        <v>1411</v>
      </c>
      <c r="D3624" s="220" t="s">
        <v>63</v>
      </c>
      <c r="E3624" s="165">
        <v>334</v>
      </c>
    </row>
    <row r="3625" spans="1:5" x14ac:dyDescent="0.25">
      <c r="A3625" s="216" t="s">
        <v>4674</v>
      </c>
      <c r="B3625" s="218">
        <v>1</v>
      </c>
      <c r="C3625" s="220" t="s">
        <v>2047</v>
      </c>
      <c r="D3625" s="220" t="s">
        <v>486</v>
      </c>
      <c r="E3625" s="165">
        <v>334</v>
      </c>
    </row>
    <row r="3626" spans="1:5" x14ac:dyDescent="0.25">
      <c r="A3626" s="216" t="s">
        <v>5876</v>
      </c>
      <c r="B3626" s="218">
        <v>1</v>
      </c>
      <c r="C3626" s="220" t="s">
        <v>274</v>
      </c>
      <c r="D3626" s="220" t="s">
        <v>188</v>
      </c>
      <c r="E3626" s="165">
        <v>334</v>
      </c>
    </row>
    <row r="3627" spans="1:5" x14ac:dyDescent="0.25">
      <c r="A3627" s="216" t="s">
        <v>11190</v>
      </c>
      <c r="B3627" s="218">
        <v>1</v>
      </c>
      <c r="C3627" s="220" t="s">
        <v>11191</v>
      </c>
      <c r="D3627" s="220" t="s">
        <v>575</v>
      </c>
      <c r="E3627" s="165">
        <v>334</v>
      </c>
    </row>
    <row r="3628" spans="1:5" x14ac:dyDescent="0.25">
      <c r="A3628" s="216" t="s">
        <v>11192</v>
      </c>
      <c r="B3628" s="218">
        <v>1</v>
      </c>
      <c r="C3628" s="220" t="s">
        <v>799</v>
      </c>
      <c r="D3628" s="220" t="s">
        <v>113</v>
      </c>
      <c r="E3628" s="165">
        <v>334</v>
      </c>
    </row>
    <row r="3629" spans="1:5" x14ac:dyDescent="0.25">
      <c r="A3629" s="216" t="s">
        <v>4835</v>
      </c>
      <c r="B3629" s="218">
        <v>1</v>
      </c>
      <c r="C3629" s="220" t="s">
        <v>4574</v>
      </c>
      <c r="D3629" s="220" t="s">
        <v>139</v>
      </c>
      <c r="E3629" s="165">
        <v>334</v>
      </c>
    </row>
    <row r="3630" spans="1:5" x14ac:dyDescent="0.25">
      <c r="A3630" s="216" t="s">
        <v>5933</v>
      </c>
      <c r="B3630" s="218">
        <v>1</v>
      </c>
      <c r="C3630" s="220" t="s">
        <v>891</v>
      </c>
      <c r="D3630" s="220" t="s">
        <v>56</v>
      </c>
      <c r="E3630" s="165">
        <v>334</v>
      </c>
    </row>
    <row r="3631" spans="1:5" x14ac:dyDescent="0.25">
      <c r="A3631" s="216" t="s">
        <v>5291</v>
      </c>
      <c r="B3631" s="218">
        <v>1</v>
      </c>
      <c r="C3631" s="220" t="s">
        <v>5292</v>
      </c>
      <c r="D3631" s="220" t="s">
        <v>188</v>
      </c>
      <c r="E3631" s="165">
        <v>334</v>
      </c>
    </row>
    <row r="3632" spans="1:5" x14ac:dyDescent="0.25">
      <c r="A3632" s="216" t="s">
        <v>6103</v>
      </c>
      <c r="B3632" s="218">
        <v>1</v>
      </c>
      <c r="C3632" s="220" t="s">
        <v>318</v>
      </c>
      <c r="D3632" s="220" t="s">
        <v>172</v>
      </c>
      <c r="E3632" s="165">
        <v>334</v>
      </c>
    </row>
    <row r="3633" spans="1:5" x14ac:dyDescent="0.25">
      <c r="A3633" s="216" t="s">
        <v>6810</v>
      </c>
      <c r="B3633" s="218">
        <v>1</v>
      </c>
      <c r="C3633" s="220" t="s">
        <v>1113</v>
      </c>
      <c r="D3633" s="220" t="s">
        <v>50</v>
      </c>
      <c r="E3633" s="165">
        <v>334</v>
      </c>
    </row>
    <row r="3634" spans="1:5" x14ac:dyDescent="0.25">
      <c r="A3634" s="216" t="s">
        <v>11193</v>
      </c>
      <c r="B3634" s="218" t="s">
        <v>48</v>
      </c>
      <c r="C3634" s="220" t="s">
        <v>2999</v>
      </c>
      <c r="D3634" s="220" t="s">
        <v>90</v>
      </c>
      <c r="E3634" s="165">
        <v>333</v>
      </c>
    </row>
    <row r="3635" spans="1:5" x14ac:dyDescent="0.25">
      <c r="A3635" s="216" t="s">
        <v>10125</v>
      </c>
      <c r="B3635" s="218" t="s">
        <v>48</v>
      </c>
      <c r="C3635" s="220" t="s">
        <v>2203</v>
      </c>
      <c r="D3635" s="220" t="s">
        <v>90</v>
      </c>
      <c r="E3635" s="165">
        <v>333</v>
      </c>
    </row>
    <row r="3636" spans="1:5" x14ac:dyDescent="0.25">
      <c r="A3636" s="216" t="s">
        <v>5918</v>
      </c>
      <c r="B3636" s="218" t="s">
        <v>48</v>
      </c>
      <c r="C3636" s="220" t="s">
        <v>5919</v>
      </c>
      <c r="D3636" s="220" t="s">
        <v>201</v>
      </c>
      <c r="E3636" s="165">
        <v>333</v>
      </c>
    </row>
    <row r="3637" spans="1:5" x14ac:dyDescent="0.25">
      <c r="A3637" s="216" t="s">
        <v>4809</v>
      </c>
      <c r="B3637" s="218">
        <v>1</v>
      </c>
      <c r="C3637" s="220" t="s">
        <v>4810</v>
      </c>
      <c r="D3637" s="220" t="s">
        <v>142</v>
      </c>
      <c r="E3637" s="165">
        <v>332</v>
      </c>
    </row>
    <row r="3638" spans="1:5" x14ac:dyDescent="0.25">
      <c r="A3638" s="216" t="s">
        <v>5213</v>
      </c>
      <c r="B3638" s="218" t="s">
        <v>48</v>
      </c>
      <c r="C3638" s="220" t="s">
        <v>5214</v>
      </c>
      <c r="D3638" s="220" t="s">
        <v>277</v>
      </c>
      <c r="E3638" s="165">
        <v>332</v>
      </c>
    </row>
    <row r="3639" spans="1:5" x14ac:dyDescent="0.25">
      <c r="A3639" s="216" t="s">
        <v>5322</v>
      </c>
      <c r="B3639" s="218" t="s">
        <v>48</v>
      </c>
      <c r="C3639" s="220" t="s">
        <v>5323</v>
      </c>
      <c r="D3639" s="220" t="s">
        <v>90</v>
      </c>
      <c r="E3639" s="165">
        <v>332</v>
      </c>
    </row>
    <row r="3640" spans="1:5" x14ac:dyDescent="0.25">
      <c r="A3640" s="216" t="s">
        <v>5216</v>
      </c>
      <c r="B3640" s="218">
        <v>1</v>
      </c>
      <c r="C3640" s="220" t="s">
        <v>5217</v>
      </c>
      <c r="D3640" s="220" t="s">
        <v>177</v>
      </c>
      <c r="E3640" s="165">
        <v>332</v>
      </c>
    </row>
    <row r="3641" spans="1:5" x14ac:dyDescent="0.25">
      <c r="A3641" s="216" t="s">
        <v>5277</v>
      </c>
      <c r="B3641" s="218" t="s">
        <v>48</v>
      </c>
      <c r="C3641" s="220" t="s">
        <v>1622</v>
      </c>
      <c r="D3641" s="220" t="s">
        <v>59</v>
      </c>
      <c r="E3641" s="165">
        <v>332</v>
      </c>
    </row>
    <row r="3642" spans="1:5" x14ac:dyDescent="0.25">
      <c r="A3642" s="216" t="s">
        <v>6144</v>
      </c>
      <c r="B3642" s="218">
        <v>1</v>
      </c>
      <c r="C3642" s="220" t="s">
        <v>159</v>
      </c>
      <c r="D3642" s="220" t="s">
        <v>130</v>
      </c>
      <c r="E3642" s="165">
        <v>332</v>
      </c>
    </row>
    <row r="3643" spans="1:5" x14ac:dyDescent="0.25">
      <c r="A3643" s="216" t="s">
        <v>5738</v>
      </c>
      <c r="B3643" s="218" t="s">
        <v>48</v>
      </c>
      <c r="C3643" s="220" t="s">
        <v>1913</v>
      </c>
      <c r="D3643" s="220" t="s">
        <v>93</v>
      </c>
      <c r="E3643" s="165">
        <v>331</v>
      </c>
    </row>
    <row r="3644" spans="1:5" x14ac:dyDescent="0.25">
      <c r="A3644" s="216" t="s">
        <v>5220</v>
      </c>
      <c r="B3644" s="218">
        <v>1</v>
      </c>
      <c r="C3644" s="220" t="s">
        <v>396</v>
      </c>
      <c r="D3644" s="220" t="s">
        <v>188</v>
      </c>
      <c r="E3644" s="165">
        <v>331</v>
      </c>
    </row>
    <row r="3645" spans="1:5" x14ac:dyDescent="0.25">
      <c r="A3645" s="216" t="s">
        <v>4715</v>
      </c>
      <c r="B3645" s="218" t="s">
        <v>48</v>
      </c>
      <c r="C3645" s="220" t="s">
        <v>3517</v>
      </c>
      <c r="D3645" s="220" t="s">
        <v>87</v>
      </c>
      <c r="E3645" s="165">
        <v>331</v>
      </c>
    </row>
    <row r="3646" spans="1:5" x14ac:dyDescent="0.25">
      <c r="A3646" s="216" t="s">
        <v>6553</v>
      </c>
      <c r="B3646" s="218" t="s">
        <v>48</v>
      </c>
      <c r="C3646" s="220" t="s">
        <v>1103</v>
      </c>
      <c r="D3646" s="220" t="s">
        <v>277</v>
      </c>
      <c r="E3646" s="165">
        <v>331</v>
      </c>
    </row>
    <row r="3647" spans="1:5" x14ac:dyDescent="0.25">
      <c r="A3647" s="216" t="s">
        <v>5247</v>
      </c>
      <c r="B3647" s="218">
        <v>1</v>
      </c>
      <c r="C3647" s="220" t="s">
        <v>5248</v>
      </c>
      <c r="D3647" s="220" t="s">
        <v>56</v>
      </c>
      <c r="E3647" s="165">
        <v>331</v>
      </c>
    </row>
    <row r="3648" spans="1:5" x14ac:dyDescent="0.25">
      <c r="A3648" s="216" t="s">
        <v>5342</v>
      </c>
      <c r="B3648" s="218">
        <v>1</v>
      </c>
      <c r="C3648" s="220" t="s">
        <v>238</v>
      </c>
      <c r="D3648" s="220" t="s">
        <v>66</v>
      </c>
      <c r="E3648" s="165">
        <v>331</v>
      </c>
    </row>
    <row r="3649" spans="1:5" x14ac:dyDescent="0.25">
      <c r="A3649" s="216" t="s">
        <v>5344</v>
      </c>
      <c r="B3649" s="218">
        <v>1</v>
      </c>
      <c r="C3649" s="220" t="s">
        <v>5345</v>
      </c>
      <c r="D3649" s="220" t="s">
        <v>66</v>
      </c>
      <c r="E3649" s="165">
        <v>331</v>
      </c>
    </row>
    <row r="3650" spans="1:5" x14ac:dyDescent="0.25">
      <c r="A3650" s="216" t="s">
        <v>5052</v>
      </c>
      <c r="B3650" s="218" t="s">
        <v>48</v>
      </c>
      <c r="C3650" s="220" t="s">
        <v>65</v>
      </c>
      <c r="D3650" s="220" t="s">
        <v>66</v>
      </c>
      <c r="E3650" s="165">
        <v>331</v>
      </c>
    </row>
    <row r="3651" spans="1:5" x14ac:dyDescent="0.25">
      <c r="A3651" s="216" t="s">
        <v>5588</v>
      </c>
      <c r="B3651" s="218" t="s">
        <v>48</v>
      </c>
      <c r="C3651" s="220" t="s">
        <v>3134</v>
      </c>
      <c r="D3651" s="220" t="s">
        <v>75</v>
      </c>
      <c r="E3651" s="165">
        <v>331</v>
      </c>
    </row>
    <row r="3652" spans="1:5" x14ac:dyDescent="0.25">
      <c r="A3652" s="216" t="s">
        <v>5255</v>
      </c>
      <c r="B3652" s="218">
        <v>1</v>
      </c>
      <c r="C3652" s="220" t="s">
        <v>1994</v>
      </c>
      <c r="D3652" s="220" t="s">
        <v>56</v>
      </c>
      <c r="E3652" s="165">
        <v>331</v>
      </c>
    </row>
    <row r="3653" spans="1:5" x14ac:dyDescent="0.25">
      <c r="A3653" s="216" t="s">
        <v>5669</v>
      </c>
      <c r="B3653" s="218" t="s">
        <v>48</v>
      </c>
      <c r="C3653" s="220" t="s">
        <v>1405</v>
      </c>
      <c r="D3653" s="220" t="s">
        <v>710</v>
      </c>
      <c r="E3653" s="165">
        <v>331</v>
      </c>
    </row>
    <row r="3654" spans="1:5" x14ac:dyDescent="0.25">
      <c r="A3654" s="216" t="s">
        <v>5048</v>
      </c>
      <c r="B3654" s="218" t="s">
        <v>48</v>
      </c>
      <c r="C3654" s="220" t="s">
        <v>782</v>
      </c>
      <c r="D3654" s="220" t="s">
        <v>166</v>
      </c>
      <c r="E3654" s="165">
        <v>330</v>
      </c>
    </row>
    <row r="3655" spans="1:5" x14ac:dyDescent="0.25">
      <c r="A3655" s="216" t="s">
        <v>3500</v>
      </c>
      <c r="B3655" s="218" t="s">
        <v>48</v>
      </c>
      <c r="C3655" s="220" t="s">
        <v>3501</v>
      </c>
      <c r="D3655" s="220" t="s">
        <v>108</v>
      </c>
      <c r="E3655" s="165">
        <v>330</v>
      </c>
    </row>
    <row r="3656" spans="1:5" x14ac:dyDescent="0.25">
      <c r="A3656" s="216" t="s">
        <v>5160</v>
      </c>
      <c r="B3656" s="218">
        <v>1</v>
      </c>
      <c r="C3656" s="220" t="s">
        <v>271</v>
      </c>
      <c r="D3656" s="220" t="s">
        <v>277</v>
      </c>
      <c r="E3656" s="165">
        <v>330</v>
      </c>
    </row>
    <row r="3657" spans="1:5" x14ac:dyDescent="0.25">
      <c r="A3657" s="216" t="s">
        <v>4008</v>
      </c>
      <c r="B3657" s="218" t="s">
        <v>48</v>
      </c>
      <c r="C3657" s="220" t="s">
        <v>1130</v>
      </c>
      <c r="D3657" s="220" t="s">
        <v>93</v>
      </c>
      <c r="E3657" s="165">
        <v>330</v>
      </c>
    </row>
    <row r="3658" spans="1:5" x14ac:dyDescent="0.25">
      <c r="A3658" s="216" t="s">
        <v>10807</v>
      </c>
      <c r="B3658" s="218" t="s">
        <v>48</v>
      </c>
      <c r="C3658" s="220" t="s">
        <v>609</v>
      </c>
      <c r="D3658" s="220" t="s">
        <v>166</v>
      </c>
      <c r="E3658" s="165">
        <v>330</v>
      </c>
    </row>
    <row r="3659" spans="1:5" x14ac:dyDescent="0.25">
      <c r="A3659" s="216" t="s">
        <v>11194</v>
      </c>
      <c r="B3659" s="218" t="s">
        <v>48</v>
      </c>
      <c r="C3659" s="220" t="s">
        <v>9092</v>
      </c>
      <c r="D3659" s="220" t="s">
        <v>192</v>
      </c>
      <c r="E3659" s="165">
        <v>330</v>
      </c>
    </row>
    <row r="3660" spans="1:5" x14ac:dyDescent="0.25">
      <c r="A3660" s="216" t="s">
        <v>5395</v>
      </c>
      <c r="B3660" s="218" t="s">
        <v>48</v>
      </c>
      <c r="C3660" s="220" t="s">
        <v>1259</v>
      </c>
      <c r="D3660" s="220" t="s">
        <v>1200</v>
      </c>
      <c r="E3660" s="165">
        <v>330</v>
      </c>
    </row>
    <row r="3661" spans="1:5" x14ac:dyDescent="0.25">
      <c r="A3661" s="216" t="s">
        <v>7132</v>
      </c>
      <c r="B3661" s="218" t="s">
        <v>48</v>
      </c>
      <c r="C3661" s="220" t="s">
        <v>7133</v>
      </c>
      <c r="D3661" s="220" t="s">
        <v>50</v>
      </c>
      <c r="E3661" s="165">
        <v>329</v>
      </c>
    </row>
    <row r="3662" spans="1:5" x14ac:dyDescent="0.25">
      <c r="A3662" s="216" t="s">
        <v>5586</v>
      </c>
      <c r="B3662" s="218" t="s">
        <v>48</v>
      </c>
      <c r="C3662" s="220" t="s">
        <v>5587</v>
      </c>
      <c r="D3662" s="220" t="s">
        <v>63</v>
      </c>
      <c r="E3662" s="165">
        <v>329</v>
      </c>
    </row>
    <row r="3663" spans="1:5" x14ac:dyDescent="0.25">
      <c r="A3663" s="216" t="s">
        <v>3813</v>
      </c>
      <c r="B3663" s="218">
        <v>1</v>
      </c>
      <c r="C3663" s="220" t="s">
        <v>159</v>
      </c>
      <c r="D3663" s="220" t="s">
        <v>130</v>
      </c>
      <c r="E3663" s="165">
        <v>329</v>
      </c>
    </row>
    <row r="3664" spans="1:5" x14ac:dyDescent="0.25">
      <c r="A3664" s="216" t="s">
        <v>11195</v>
      </c>
      <c r="B3664" s="218" t="s">
        <v>48</v>
      </c>
      <c r="C3664" s="220" t="s">
        <v>5053</v>
      </c>
      <c r="D3664" s="220" t="s">
        <v>166</v>
      </c>
      <c r="E3664" s="165">
        <v>329</v>
      </c>
    </row>
    <row r="3665" spans="1:5" x14ac:dyDescent="0.25">
      <c r="A3665" s="216" t="s">
        <v>5097</v>
      </c>
      <c r="B3665" s="218">
        <v>1</v>
      </c>
      <c r="C3665" s="220" t="s">
        <v>5098</v>
      </c>
      <c r="D3665" s="220" t="s">
        <v>93</v>
      </c>
      <c r="E3665" s="165">
        <v>329</v>
      </c>
    </row>
    <row r="3666" spans="1:5" x14ac:dyDescent="0.25">
      <c r="A3666" s="216" t="s">
        <v>5175</v>
      </c>
      <c r="B3666" s="218">
        <v>1</v>
      </c>
      <c r="C3666" s="220" t="s">
        <v>5176</v>
      </c>
      <c r="D3666" s="220" t="s">
        <v>50</v>
      </c>
      <c r="E3666" s="165">
        <v>329</v>
      </c>
    </row>
    <row r="3667" spans="1:5" x14ac:dyDescent="0.25">
      <c r="A3667" s="216" t="s">
        <v>3330</v>
      </c>
      <c r="B3667" s="218">
        <v>1</v>
      </c>
      <c r="C3667" s="220" t="s">
        <v>274</v>
      </c>
      <c r="D3667" s="220" t="s">
        <v>188</v>
      </c>
      <c r="E3667" s="165">
        <v>329</v>
      </c>
    </row>
    <row r="3668" spans="1:5" x14ac:dyDescent="0.25">
      <c r="A3668" s="216" t="s">
        <v>4908</v>
      </c>
      <c r="B3668" s="218" t="s">
        <v>48</v>
      </c>
      <c r="C3668" s="220" t="s">
        <v>805</v>
      </c>
      <c r="D3668" s="220" t="s">
        <v>93</v>
      </c>
      <c r="E3668" s="165">
        <v>329</v>
      </c>
    </row>
    <row r="3669" spans="1:5" x14ac:dyDescent="0.25">
      <c r="A3669" s="216" t="s">
        <v>5181</v>
      </c>
      <c r="B3669" s="218">
        <v>1</v>
      </c>
      <c r="C3669" s="220" t="s">
        <v>90</v>
      </c>
      <c r="D3669" s="220" t="s">
        <v>50</v>
      </c>
      <c r="E3669" s="165">
        <v>329</v>
      </c>
    </row>
    <row r="3670" spans="1:5" x14ac:dyDescent="0.25">
      <c r="A3670" s="216" t="s">
        <v>5423</v>
      </c>
      <c r="B3670" s="218">
        <v>1</v>
      </c>
      <c r="C3670" s="220" t="s">
        <v>5424</v>
      </c>
      <c r="D3670" s="220" t="s">
        <v>63</v>
      </c>
      <c r="E3670" s="165">
        <v>328</v>
      </c>
    </row>
    <row r="3671" spans="1:5" x14ac:dyDescent="0.25">
      <c r="A3671" s="216" t="s">
        <v>11196</v>
      </c>
      <c r="B3671" s="218">
        <v>1</v>
      </c>
      <c r="C3671" s="220" t="s">
        <v>4863</v>
      </c>
      <c r="D3671" s="220" t="s">
        <v>56</v>
      </c>
      <c r="E3671" s="165">
        <v>328</v>
      </c>
    </row>
    <row r="3672" spans="1:5" x14ac:dyDescent="0.25">
      <c r="A3672" s="216" t="s">
        <v>4861</v>
      </c>
      <c r="B3672" s="218">
        <v>1</v>
      </c>
      <c r="C3672" s="220" t="s">
        <v>634</v>
      </c>
      <c r="D3672" s="220" t="s">
        <v>264</v>
      </c>
      <c r="E3672" s="165">
        <v>328</v>
      </c>
    </row>
    <row r="3673" spans="1:5" x14ac:dyDescent="0.25">
      <c r="A3673" s="216" t="s">
        <v>5517</v>
      </c>
      <c r="B3673" s="218" t="s">
        <v>48</v>
      </c>
      <c r="C3673" s="220" t="s">
        <v>5518</v>
      </c>
      <c r="D3673" s="220" t="s">
        <v>59</v>
      </c>
      <c r="E3673" s="165">
        <v>328</v>
      </c>
    </row>
    <row r="3674" spans="1:5" x14ac:dyDescent="0.25">
      <c r="A3674" s="216" t="s">
        <v>11197</v>
      </c>
      <c r="B3674" s="218">
        <v>1</v>
      </c>
      <c r="C3674" s="220" t="s">
        <v>9760</v>
      </c>
      <c r="D3674" s="220" t="s">
        <v>75</v>
      </c>
      <c r="E3674" s="165">
        <v>328</v>
      </c>
    </row>
    <row r="3675" spans="1:5" x14ac:dyDescent="0.25">
      <c r="A3675" s="216" t="s">
        <v>5911</v>
      </c>
      <c r="B3675" s="218" t="s">
        <v>48</v>
      </c>
      <c r="C3675" s="220" t="s">
        <v>5912</v>
      </c>
      <c r="D3675" s="220" t="s">
        <v>575</v>
      </c>
      <c r="E3675" s="165">
        <v>328</v>
      </c>
    </row>
    <row r="3676" spans="1:5" x14ac:dyDescent="0.25">
      <c r="A3676" s="216" t="s">
        <v>5430</v>
      </c>
      <c r="B3676" s="218">
        <v>1</v>
      </c>
      <c r="C3676" s="220" t="s">
        <v>5431</v>
      </c>
      <c r="D3676" s="220" t="s">
        <v>63</v>
      </c>
      <c r="E3676" s="165">
        <v>328</v>
      </c>
    </row>
    <row r="3677" spans="1:5" x14ac:dyDescent="0.25">
      <c r="A3677" s="216" t="s">
        <v>5388</v>
      </c>
      <c r="B3677" s="218" t="s">
        <v>48</v>
      </c>
      <c r="C3677" s="220" t="s">
        <v>607</v>
      </c>
      <c r="D3677" s="220" t="s">
        <v>69</v>
      </c>
      <c r="E3677" s="165">
        <v>328</v>
      </c>
    </row>
    <row r="3678" spans="1:5" x14ac:dyDescent="0.25">
      <c r="A3678" s="216" t="s">
        <v>5432</v>
      </c>
      <c r="B3678" s="218">
        <v>1</v>
      </c>
      <c r="C3678" s="220" t="s">
        <v>962</v>
      </c>
      <c r="D3678" s="220" t="s">
        <v>63</v>
      </c>
      <c r="E3678" s="165">
        <v>328</v>
      </c>
    </row>
    <row r="3679" spans="1:5" x14ac:dyDescent="0.25">
      <c r="A3679" s="216" t="s">
        <v>11198</v>
      </c>
      <c r="B3679" s="218">
        <v>1</v>
      </c>
      <c r="C3679" s="220" t="s">
        <v>4409</v>
      </c>
      <c r="D3679" s="220" t="s">
        <v>59</v>
      </c>
      <c r="E3679" s="165">
        <v>328</v>
      </c>
    </row>
    <row r="3680" spans="1:5" x14ac:dyDescent="0.25">
      <c r="A3680" s="216" t="s">
        <v>2066</v>
      </c>
      <c r="B3680" s="218" t="s">
        <v>48</v>
      </c>
      <c r="C3680" s="220" t="s">
        <v>2067</v>
      </c>
      <c r="D3680" s="220" t="s">
        <v>166</v>
      </c>
      <c r="E3680" s="165">
        <v>327</v>
      </c>
    </row>
    <row r="3681" spans="1:5" x14ac:dyDescent="0.25">
      <c r="A3681" s="216" t="s">
        <v>11199</v>
      </c>
      <c r="B3681" s="218">
        <v>1</v>
      </c>
      <c r="C3681" s="220" t="s">
        <v>110</v>
      </c>
      <c r="D3681" s="220" t="s">
        <v>69</v>
      </c>
      <c r="E3681" s="165">
        <v>327</v>
      </c>
    </row>
    <row r="3682" spans="1:5" x14ac:dyDescent="0.25">
      <c r="A3682" s="216" t="s">
        <v>5459</v>
      </c>
      <c r="B3682" s="218">
        <v>1</v>
      </c>
      <c r="C3682" s="220" t="s">
        <v>896</v>
      </c>
      <c r="D3682" s="220" t="s">
        <v>63</v>
      </c>
      <c r="E3682" s="165">
        <v>327</v>
      </c>
    </row>
    <row r="3683" spans="1:5" x14ac:dyDescent="0.25">
      <c r="A3683" s="216" t="s">
        <v>4203</v>
      </c>
      <c r="B3683" s="218" t="s">
        <v>48</v>
      </c>
      <c r="C3683" s="220" t="s">
        <v>4204</v>
      </c>
      <c r="D3683" s="220" t="s">
        <v>710</v>
      </c>
      <c r="E3683" s="165">
        <v>326</v>
      </c>
    </row>
    <row r="3684" spans="1:5" x14ac:dyDescent="0.25">
      <c r="A3684" s="216" t="s">
        <v>3400</v>
      </c>
      <c r="B3684" s="218">
        <v>1</v>
      </c>
      <c r="C3684" s="220" t="s">
        <v>3401</v>
      </c>
      <c r="D3684" s="220" t="s">
        <v>139</v>
      </c>
      <c r="E3684" s="165">
        <v>326</v>
      </c>
    </row>
    <row r="3685" spans="1:5" x14ac:dyDescent="0.25">
      <c r="A3685" s="216" t="s">
        <v>5381</v>
      </c>
      <c r="B3685" s="218">
        <v>1</v>
      </c>
      <c r="C3685" s="220" t="s">
        <v>5382</v>
      </c>
      <c r="D3685" s="220" t="s">
        <v>66</v>
      </c>
      <c r="E3685" s="165">
        <v>326</v>
      </c>
    </row>
    <row r="3686" spans="1:5" x14ac:dyDescent="0.25">
      <c r="A3686" s="216" t="s">
        <v>5464</v>
      </c>
      <c r="B3686" s="218">
        <v>1</v>
      </c>
      <c r="C3686" s="220" t="s">
        <v>577</v>
      </c>
      <c r="D3686" s="220" t="s">
        <v>63</v>
      </c>
      <c r="E3686" s="165">
        <v>326</v>
      </c>
    </row>
    <row r="3687" spans="1:5" x14ac:dyDescent="0.25">
      <c r="A3687" s="216" t="s">
        <v>6148</v>
      </c>
      <c r="B3687" s="218" t="s">
        <v>48</v>
      </c>
      <c r="C3687" s="220" t="s">
        <v>6149</v>
      </c>
      <c r="D3687" s="220" t="s">
        <v>188</v>
      </c>
      <c r="E3687" s="165">
        <v>325</v>
      </c>
    </row>
    <row r="3688" spans="1:5" x14ac:dyDescent="0.25">
      <c r="A3688" s="216" t="s">
        <v>5275</v>
      </c>
      <c r="B3688" s="218">
        <v>1</v>
      </c>
      <c r="C3688" s="220" t="s">
        <v>2445</v>
      </c>
      <c r="D3688" s="220" t="s">
        <v>56</v>
      </c>
      <c r="E3688" s="165">
        <v>325</v>
      </c>
    </row>
    <row r="3689" spans="1:5" x14ac:dyDescent="0.25">
      <c r="A3689" s="216" t="s">
        <v>5534</v>
      </c>
      <c r="B3689" s="218" t="s">
        <v>48</v>
      </c>
      <c r="C3689" s="220" t="s">
        <v>733</v>
      </c>
      <c r="D3689" s="220" t="s">
        <v>139</v>
      </c>
      <c r="E3689" s="165">
        <v>325</v>
      </c>
    </row>
    <row r="3690" spans="1:5" x14ac:dyDescent="0.25">
      <c r="A3690" s="216" t="s">
        <v>3573</v>
      </c>
      <c r="B3690" s="218">
        <v>1</v>
      </c>
      <c r="C3690" s="220" t="s">
        <v>684</v>
      </c>
      <c r="D3690" s="220" t="s">
        <v>72</v>
      </c>
      <c r="E3690" s="165">
        <v>325</v>
      </c>
    </row>
    <row r="3691" spans="1:5" x14ac:dyDescent="0.25">
      <c r="A3691" s="216" t="s">
        <v>5494</v>
      </c>
      <c r="B3691" s="218">
        <v>1</v>
      </c>
      <c r="C3691" s="220" t="s">
        <v>4336</v>
      </c>
      <c r="D3691" s="220" t="s">
        <v>394</v>
      </c>
      <c r="E3691" s="165">
        <v>325</v>
      </c>
    </row>
    <row r="3692" spans="1:5" x14ac:dyDescent="0.25">
      <c r="A3692" s="216" t="s">
        <v>5592</v>
      </c>
      <c r="B3692" s="218">
        <v>1</v>
      </c>
      <c r="C3692" s="220" t="s">
        <v>615</v>
      </c>
      <c r="D3692" s="220" t="s">
        <v>63</v>
      </c>
      <c r="E3692" s="165">
        <v>325</v>
      </c>
    </row>
    <row r="3693" spans="1:5" x14ac:dyDescent="0.25">
      <c r="A3693" s="216" t="s">
        <v>5496</v>
      </c>
      <c r="B3693" s="218">
        <v>1</v>
      </c>
      <c r="C3693" s="220" t="s">
        <v>925</v>
      </c>
      <c r="D3693" s="220" t="s">
        <v>394</v>
      </c>
      <c r="E3693" s="165">
        <v>325</v>
      </c>
    </row>
    <row r="3694" spans="1:5" x14ac:dyDescent="0.25">
      <c r="A3694" s="216" t="s">
        <v>11200</v>
      </c>
      <c r="B3694" s="218" t="s">
        <v>48</v>
      </c>
      <c r="C3694" s="220" t="s">
        <v>5325</v>
      </c>
      <c r="D3694" s="220" t="s">
        <v>53</v>
      </c>
      <c r="E3694" s="165">
        <v>325</v>
      </c>
    </row>
    <row r="3695" spans="1:5" x14ac:dyDescent="0.25">
      <c r="A3695" s="216" t="s">
        <v>5544</v>
      </c>
      <c r="B3695" s="218" t="s">
        <v>48</v>
      </c>
      <c r="C3695" s="220" t="s">
        <v>5545</v>
      </c>
      <c r="D3695" s="220" t="s">
        <v>93</v>
      </c>
      <c r="E3695" s="165">
        <v>325</v>
      </c>
    </row>
    <row r="3696" spans="1:5" x14ac:dyDescent="0.25">
      <c r="A3696" s="216" t="s">
        <v>6051</v>
      </c>
      <c r="B3696" s="218" t="s">
        <v>48</v>
      </c>
      <c r="C3696" s="220" t="s">
        <v>6052</v>
      </c>
      <c r="D3696" s="220" t="s">
        <v>82</v>
      </c>
      <c r="E3696" s="165">
        <v>325</v>
      </c>
    </row>
    <row r="3697" spans="1:5" x14ac:dyDescent="0.25">
      <c r="A3697" s="216" t="s">
        <v>7427</v>
      </c>
      <c r="B3697" s="218" t="s">
        <v>48</v>
      </c>
      <c r="C3697" s="220" t="s">
        <v>1293</v>
      </c>
      <c r="D3697" s="220" t="s">
        <v>93</v>
      </c>
      <c r="E3697" s="165">
        <v>325</v>
      </c>
    </row>
    <row r="3698" spans="1:5" x14ac:dyDescent="0.25">
      <c r="A3698" s="216" t="s">
        <v>5212</v>
      </c>
      <c r="B3698" s="218">
        <v>1</v>
      </c>
      <c r="C3698" s="220" t="s">
        <v>2245</v>
      </c>
      <c r="D3698" s="220" t="s">
        <v>272</v>
      </c>
      <c r="E3698" s="165">
        <v>324</v>
      </c>
    </row>
    <row r="3699" spans="1:5" x14ac:dyDescent="0.25">
      <c r="A3699" s="216" t="s">
        <v>5326</v>
      </c>
      <c r="B3699" s="218" t="s">
        <v>48</v>
      </c>
      <c r="C3699" s="220" t="s">
        <v>1645</v>
      </c>
      <c r="D3699" s="220" t="s">
        <v>130</v>
      </c>
      <c r="E3699" s="165">
        <v>324</v>
      </c>
    </row>
    <row r="3700" spans="1:5" x14ac:dyDescent="0.25">
      <c r="A3700" s="216" t="s">
        <v>5273</v>
      </c>
      <c r="B3700" s="218">
        <v>1</v>
      </c>
      <c r="C3700" s="220" t="s">
        <v>5274</v>
      </c>
      <c r="D3700" s="220" t="s">
        <v>98</v>
      </c>
      <c r="E3700" s="165">
        <v>324</v>
      </c>
    </row>
    <row r="3701" spans="1:5" x14ac:dyDescent="0.25">
      <c r="A3701" s="216" t="s">
        <v>5634</v>
      </c>
      <c r="B3701" s="218">
        <v>1</v>
      </c>
      <c r="C3701" s="220" t="s">
        <v>3769</v>
      </c>
      <c r="D3701" s="220" t="s">
        <v>139</v>
      </c>
      <c r="E3701" s="165">
        <v>323</v>
      </c>
    </row>
    <row r="3702" spans="1:5" x14ac:dyDescent="0.25">
      <c r="A3702" s="216" t="s">
        <v>5469</v>
      </c>
      <c r="B3702" s="218">
        <v>1</v>
      </c>
      <c r="C3702" s="220" t="s">
        <v>5470</v>
      </c>
      <c r="D3702" s="220" t="s">
        <v>63</v>
      </c>
      <c r="E3702" s="165">
        <v>323</v>
      </c>
    </row>
    <row r="3703" spans="1:5" x14ac:dyDescent="0.25">
      <c r="A3703" s="216" t="s">
        <v>7492</v>
      </c>
      <c r="B3703" s="218">
        <v>1</v>
      </c>
      <c r="C3703" s="220" t="s">
        <v>7493</v>
      </c>
      <c r="D3703" s="220" t="s">
        <v>66</v>
      </c>
      <c r="E3703" s="165">
        <v>323</v>
      </c>
    </row>
    <row r="3704" spans="1:5" x14ac:dyDescent="0.25">
      <c r="A3704" s="216" t="s">
        <v>5211</v>
      </c>
      <c r="B3704" s="218">
        <v>1</v>
      </c>
      <c r="C3704" s="220" t="s">
        <v>77</v>
      </c>
      <c r="D3704" s="220" t="s">
        <v>78</v>
      </c>
      <c r="E3704" s="165">
        <v>323</v>
      </c>
    </row>
    <row r="3705" spans="1:5" x14ac:dyDescent="0.25">
      <c r="A3705" s="216" t="s">
        <v>4706</v>
      </c>
      <c r="B3705" s="218">
        <v>1</v>
      </c>
      <c r="C3705" s="220" t="s">
        <v>323</v>
      </c>
      <c r="D3705" s="220" t="s">
        <v>277</v>
      </c>
      <c r="E3705" s="165">
        <v>323</v>
      </c>
    </row>
    <row r="3706" spans="1:5" x14ac:dyDescent="0.25">
      <c r="A3706" s="216" t="s">
        <v>4713</v>
      </c>
      <c r="B3706" s="218">
        <v>1</v>
      </c>
      <c r="C3706" s="220" t="s">
        <v>406</v>
      </c>
      <c r="D3706" s="220" t="s">
        <v>277</v>
      </c>
      <c r="E3706" s="165">
        <v>323</v>
      </c>
    </row>
    <row r="3707" spans="1:5" x14ac:dyDescent="0.25">
      <c r="A3707" s="216" t="s">
        <v>5453</v>
      </c>
      <c r="B3707" s="218">
        <v>1</v>
      </c>
      <c r="C3707" s="220" t="s">
        <v>86</v>
      </c>
      <c r="D3707" s="220" t="s">
        <v>78</v>
      </c>
      <c r="E3707" s="165">
        <v>323</v>
      </c>
    </row>
    <row r="3708" spans="1:5" x14ac:dyDescent="0.25">
      <c r="A3708" s="216" t="s">
        <v>4904</v>
      </c>
      <c r="B3708" s="218" t="s">
        <v>48</v>
      </c>
      <c r="C3708" s="220" t="s">
        <v>102</v>
      </c>
      <c r="D3708" s="220" t="s">
        <v>93</v>
      </c>
      <c r="E3708" s="165">
        <v>323</v>
      </c>
    </row>
    <row r="3709" spans="1:5" x14ac:dyDescent="0.25">
      <c r="A3709" s="216" t="s">
        <v>5320</v>
      </c>
      <c r="B3709" s="218" t="s">
        <v>48</v>
      </c>
      <c r="C3709" s="220" t="s">
        <v>2049</v>
      </c>
      <c r="D3709" s="220" t="s">
        <v>75</v>
      </c>
      <c r="E3709" s="165">
        <v>323</v>
      </c>
    </row>
    <row r="3710" spans="1:5" x14ac:dyDescent="0.25">
      <c r="A3710" s="216" t="s">
        <v>5579</v>
      </c>
      <c r="B3710" s="218" t="s">
        <v>48</v>
      </c>
      <c r="C3710" s="220" t="s">
        <v>1022</v>
      </c>
      <c r="D3710" s="220" t="s">
        <v>50</v>
      </c>
      <c r="E3710" s="165">
        <v>323</v>
      </c>
    </row>
    <row r="3711" spans="1:5" x14ac:dyDescent="0.25">
      <c r="A3711" s="216" t="s">
        <v>6897</v>
      </c>
      <c r="B3711" s="218" t="s">
        <v>48</v>
      </c>
      <c r="C3711" s="220" t="s">
        <v>6229</v>
      </c>
      <c r="D3711" s="220" t="s">
        <v>59</v>
      </c>
      <c r="E3711" s="165">
        <v>322</v>
      </c>
    </row>
    <row r="3712" spans="1:5" x14ac:dyDescent="0.25">
      <c r="A3712" s="216" t="s">
        <v>5184</v>
      </c>
      <c r="B3712" s="218">
        <v>1</v>
      </c>
      <c r="C3712" s="220" t="s">
        <v>5185</v>
      </c>
      <c r="D3712" s="220" t="s">
        <v>774</v>
      </c>
      <c r="E3712" s="165">
        <v>322</v>
      </c>
    </row>
    <row r="3713" spans="1:5" x14ac:dyDescent="0.25">
      <c r="A3713" s="216" t="s">
        <v>5367</v>
      </c>
      <c r="B3713" s="218">
        <v>1</v>
      </c>
      <c r="C3713" s="220" t="s">
        <v>121</v>
      </c>
      <c r="D3713" s="220" t="s">
        <v>56</v>
      </c>
      <c r="E3713" s="165">
        <v>322</v>
      </c>
    </row>
    <row r="3714" spans="1:5" x14ac:dyDescent="0.25">
      <c r="A3714" s="216" t="s">
        <v>5120</v>
      </c>
      <c r="B3714" s="218" t="s">
        <v>48</v>
      </c>
      <c r="C3714" s="220" t="s">
        <v>3970</v>
      </c>
      <c r="D3714" s="220" t="s">
        <v>166</v>
      </c>
      <c r="E3714" s="165">
        <v>322</v>
      </c>
    </row>
    <row r="3715" spans="1:5" x14ac:dyDescent="0.25">
      <c r="A3715" s="216" t="s">
        <v>4467</v>
      </c>
      <c r="B3715" s="218" t="s">
        <v>48</v>
      </c>
      <c r="C3715" s="220" t="s">
        <v>4468</v>
      </c>
      <c r="D3715" s="220" t="s">
        <v>56</v>
      </c>
      <c r="E3715" s="165">
        <v>322</v>
      </c>
    </row>
    <row r="3716" spans="1:5" x14ac:dyDescent="0.25">
      <c r="A3716" s="216" t="s">
        <v>5851</v>
      </c>
      <c r="B3716" s="218" t="s">
        <v>48</v>
      </c>
      <c r="C3716" s="220" t="s">
        <v>1622</v>
      </c>
      <c r="D3716" s="220" t="s">
        <v>59</v>
      </c>
      <c r="E3716" s="165">
        <v>322</v>
      </c>
    </row>
    <row r="3717" spans="1:5" x14ac:dyDescent="0.25">
      <c r="A3717" s="216" t="s">
        <v>5561</v>
      </c>
      <c r="B3717" s="218" t="s">
        <v>48</v>
      </c>
      <c r="C3717" s="220" t="s">
        <v>270</v>
      </c>
      <c r="D3717" s="220" t="s">
        <v>177</v>
      </c>
      <c r="E3717" s="165">
        <v>322</v>
      </c>
    </row>
    <row r="3718" spans="1:5" x14ac:dyDescent="0.25">
      <c r="A3718" s="216" t="s">
        <v>4913</v>
      </c>
      <c r="B3718" s="218">
        <v>1</v>
      </c>
      <c r="C3718" s="220" t="s">
        <v>4914</v>
      </c>
      <c r="D3718" s="220" t="s">
        <v>72</v>
      </c>
      <c r="E3718" s="165">
        <v>322</v>
      </c>
    </row>
    <row r="3719" spans="1:5" x14ac:dyDescent="0.25">
      <c r="A3719" s="216" t="s">
        <v>5327</v>
      </c>
      <c r="B3719" s="218">
        <v>1</v>
      </c>
      <c r="C3719" s="220" t="s">
        <v>5328</v>
      </c>
      <c r="D3719" s="220" t="s">
        <v>53</v>
      </c>
      <c r="E3719" s="165">
        <v>322</v>
      </c>
    </row>
    <row r="3720" spans="1:5" x14ac:dyDescent="0.25">
      <c r="A3720" s="216" t="s">
        <v>5338</v>
      </c>
      <c r="B3720" s="218">
        <v>1</v>
      </c>
      <c r="C3720" s="220" t="s">
        <v>121</v>
      </c>
      <c r="D3720" s="220" t="s">
        <v>56</v>
      </c>
      <c r="E3720" s="165">
        <v>321</v>
      </c>
    </row>
    <row r="3721" spans="1:5" x14ac:dyDescent="0.25">
      <c r="A3721" s="216" t="s">
        <v>11201</v>
      </c>
      <c r="B3721" s="218" t="s">
        <v>48</v>
      </c>
      <c r="C3721" s="220" t="s">
        <v>4900</v>
      </c>
      <c r="D3721" s="220" t="s">
        <v>585</v>
      </c>
      <c r="E3721" s="165">
        <v>321</v>
      </c>
    </row>
    <row r="3722" spans="1:5" x14ac:dyDescent="0.25">
      <c r="A3722" s="216" t="s">
        <v>5520</v>
      </c>
      <c r="B3722" s="218">
        <v>1</v>
      </c>
      <c r="C3722" s="220" t="s">
        <v>1457</v>
      </c>
      <c r="D3722" s="220" t="s">
        <v>50</v>
      </c>
      <c r="E3722" s="165">
        <v>321</v>
      </c>
    </row>
    <row r="3723" spans="1:5" x14ac:dyDescent="0.25">
      <c r="A3723" s="216" t="s">
        <v>5249</v>
      </c>
      <c r="B3723" s="218">
        <v>1</v>
      </c>
      <c r="C3723" s="220" t="s">
        <v>5250</v>
      </c>
      <c r="D3723" s="220" t="s">
        <v>50</v>
      </c>
      <c r="E3723" s="165">
        <v>321</v>
      </c>
    </row>
    <row r="3724" spans="1:5" x14ac:dyDescent="0.25">
      <c r="A3724" s="216" t="s">
        <v>5270</v>
      </c>
      <c r="B3724" s="218" t="s">
        <v>48</v>
      </c>
      <c r="C3724" s="220" t="s">
        <v>5271</v>
      </c>
      <c r="D3724" s="220" t="s">
        <v>53</v>
      </c>
      <c r="E3724" s="165">
        <v>321</v>
      </c>
    </row>
    <row r="3725" spans="1:5" x14ac:dyDescent="0.25">
      <c r="A3725" s="216" t="s">
        <v>5252</v>
      </c>
      <c r="B3725" s="218">
        <v>1</v>
      </c>
      <c r="C3725" s="220" t="s">
        <v>5114</v>
      </c>
      <c r="D3725" s="220" t="s">
        <v>50</v>
      </c>
      <c r="E3725" s="165">
        <v>321</v>
      </c>
    </row>
    <row r="3726" spans="1:5" x14ac:dyDescent="0.25">
      <c r="A3726" s="216" t="s">
        <v>5256</v>
      </c>
      <c r="B3726" s="218">
        <v>1</v>
      </c>
      <c r="C3726" s="220" t="s">
        <v>5257</v>
      </c>
      <c r="D3726" s="220" t="s">
        <v>50</v>
      </c>
      <c r="E3726" s="165">
        <v>321</v>
      </c>
    </row>
    <row r="3727" spans="1:5" x14ac:dyDescent="0.25">
      <c r="A3727" s="216" t="s">
        <v>6296</v>
      </c>
      <c r="B3727" s="218" t="s">
        <v>48</v>
      </c>
      <c r="C3727" s="220" t="s">
        <v>1882</v>
      </c>
      <c r="D3727" s="220" t="s">
        <v>90</v>
      </c>
      <c r="E3727" s="165">
        <v>321</v>
      </c>
    </row>
    <row r="3728" spans="1:5" x14ac:dyDescent="0.25">
      <c r="A3728" s="216" t="s">
        <v>10845</v>
      </c>
      <c r="B3728" s="218">
        <v>1</v>
      </c>
      <c r="C3728" s="220" t="s">
        <v>3556</v>
      </c>
      <c r="D3728" s="220" t="s">
        <v>56</v>
      </c>
      <c r="E3728" s="165">
        <v>321</v>
      </c>
    </row>
    <row r="3729" spans="1:5" x14ac:dyDescent="0.25">
      <c r="A3729" s="216" t="s">
        <v>5404</v>
      </c>
      <c r="B3729" s="218" t="s">
        <v>48</v>
      </c>
      <c r="C3729" s="220" t="s">
        <v>5405</v>
      </c>
      <c r="D3729" s="220" t="s">
        <v>108</v>
      </c>
      <c r="E3729" s="165">
        <v>320</v>
      </c>
    </row>
    <row r="3730" spans="1:5" x14ac:dyDescent="0.25">
      <c r="A3730" s="216" t="s">
        <v>6232</v>
      </c>
      <c r="B3730" s="218" t="s">
        <v>48</v>
      </c>
      <c r="C3730" s="220" t="s">
        <v>3313</v>
      </c>
      <c r="D3730" s="220" t="s">
        <v>166</v>
      </c>
      <c r="E3730" s="165">
        <v>320</v>
      </c>
    </row>
    <row r="3731" spans="1:5" x14ac:dyDescent="0.25">
      <c r="A3731" s="216" t="s">
        <v>5556</v>
      </c>
      <c r="B3731" s="218">
        <v>1</v>
      </c>
      <c r="C3731" s="220" t="s">
        <v>5557</v>
      </c>
      <c r="D3731" s="220" t="s">
        <v>394</v>
      </c>
      <c r="E3731" s="165">
        <v>320</v>
      </c>
    </row>
    <row r="3732" spans="1:5" x14ac:dyDescent="0.25">
      <c r="A3732" s="216" t="s">
        <v>5558</v>
      </c>
      <c r="B3732" s="218">
        <v>1</v>
      </c>
      <c r="C3732" s="220" t="s">
        <v>2138</v>
      </c>
      <c r="D3732" s="220" t="s">
        <v>394</v>
      </c>
      <c r="E3732" s="165">
        <v>320</v>
      </c>
    </row>
    <row r="3733" spans="1:5" x14ac:dyDescent="0.25">
      <c r="A3733" s="216" t="s">
        <v>6219</v>
      </c>
      <c r="B3733" s="218" t="s">
        <v>48</v>
      </c>
      <c r="C3733" s="220" t="s">
        <v>171</v>
      </c>
      <c r="D3733" s="220" t="s">
        <v>93</v>
      </c>
      <c r="E3733" s="165">
        <v>320</v>
      </c>
    </row>
    <row r="3734" spans="1:5" x14ac:dyDescent="0.25">
      <c r="A3734" s="216" t="s">
        <v>4586</v>
      </c>
      <c r="B3734" s="218" t="s">
        <v>48</v>
      </c>
      <c r="C3734" s="220" t="s">
        <v>4587</v>
      </c>
      <c r="D3734" s="220" t="s">
        <v>130</v>
      </c>
      <c r="E3734" s="165">
        <v>320</v>
      </c>
    </row>
    <row r="3735" spans="1:5" x14ac:dyDescent="0.25">
      <c r="A3735" s="216" t="s">
        <v>4804</v>
      </c>
      <c r="B3735" s="218">
        <v>1</v>
      </c>
      <c r="C3735" s="220" t="s">
        <v>4805</v>
      </c>
      <c r="D3735" s="220" t="s">
        <v>124</v>
      </c>
      <c r="E3735" s="165">
        <v>320</v>
      </c>
    </row>
    <row r="3736" spans="1:5" x14ac:dyDescent="0.25">
      <c r="A3736" s="216" t="s">
        <v>5562</v>
      </c>
      <c r="B3736" s="218">
        <v>1</v>
      </c>
      <c r="C3736" s="220" t="s">
        <v>5563</v>
      </c>
      <c r="D3736" s="220" t="s">
        <v>394</v>
      </c>
      <c r="E3736" s="165">
        <v>320</v>
      </c>
    </row>
    <row r="3737" spans="1:5" x14ac:dyDescent="0.25">
      <c r="A3737" s="216" t="s">
        <v>5486</v>
      </c>
      <c r="B3737" s="218" t="s">
        <v>48</v>
      </c>
      <c r="C3737" s="220" t="s">
        <v>390</v>
      </c>
      <c r="D3737" s="220" t="s">
        <v>75</v>
      </c>
      <c r="E3737" s="165">
        <v>319</v>
      </c>
    </row>
    <row r="3738" spans="1:5" x14ac:dyDescent="0.25">
      <c r="A3738" s="216" t="s">
        <v>5750</v>
      </c>
      <c r="B3738" s="218" t="s">
        <v>48</v>
      </c>
      <c r="C3738" s="220" t="s">
        <v>5751</v>
      </c>
      <c r="D3738" s="220" t="s">
        <v>90</v>
      </c>
      <c r="E3738" s="165">
        <v>319</v>
      </c>
    </row>
    <row r="3739" spans="1:5" x14ac:dyDescent="0.25">
      <c r="A3739" s="216" t="s">
        <v>4756</v>
      </c>
      <c r="B3739" s="218" t="s">
        <v>48</v>
      </c>
      <c r="C3739" s="220" t="s">
        <v>4757</v>
      </c>
      <c r="D3739" s="220" t="s">
        <v>90</v>
      </c>
      <c r="E3739" s="165">
        <v>319</v>
      </c>
    </row>
    <row r="3740" spans="1:5" x14ac:dyDescent="0.25">
      <c r="A3740" s="216" t="s">
        <v>5540</v>
      </c>
      <c r="B3740" s="218">
        <v>1</v>
      </c>
      <c r="C3740" s="220" t="s">
        <v>5541</v>
      </c>
      <c r="D3740" s="220" t="s">
        <v>50</v>
      </c>
      <c r="E3740" s="165">
        <v>319</v>
      </c>
    </row>
    <row r="3741" spans="1:5" x14ac:dyDescent="0.25">
      <c r="A3741" s="216" t="s">
        <v>7353</v>
      </c>
      <c r="B3741" s="218">
        <v>1</v>
      </c>
      <c r="C3741" s="220" t="s">
        <v>3581</v>
      </c>
      <c r="D3741" s="220" t="s">
        <v>69</v>
      </c>
      <c r="E3741" s="165">
        <v>318</v>
      </c>
    </row>
    <row r="3742" spans="1:5" x14ac:dyDescent="0.25">
      <c r="A3742" s="216" t="s">
        <v>6902</v>
      </c>
      <c r="B3742" s="218" t="s">
        <v>48</v>
      </c>
      <c r="C3742" s="220" t="s">
        <v>319</v>
      </c>
      <c r="D3742" s="220" t="s">
        <v>53</v>
      </c>
      <c r="E3742" s="165">
        <v>318</v>
      </c>
    </row>
    <row r="3743" spans="1:5" x14ac:dyDescent="0.25">
      <c r="A3743" s="216" t="s">
        <v>5030</v>
      </c>
      <c r="B3743" s="218" t="s">
        <v>48</v>
      </c>
      <c r="C3743" s="220" t="s">
        <v>5031</v>
      </c>
      <c r="D3743" s="220" t="s">
        <v>277</v>
      </c>
      <c r="E3743" s="165">
        <v>318</v>
      </c>
    </row>
    <row r="3744" spans="1:5" x14ac:dyDescent="0.25">
      <c r="A3744" s="216" t="s">
        <v>7414</v>
      </c>
      <c r="B3744" s="218" t="s">
        <v>48</v>
      </c>
      <c r="C3744" s="220" t="s">
        <v>7415</v>
      </c>
      <c r="D3744" s="220" t="s">
        <v>59</v>
      </c>
      <c r="E3744" s="165">
        <v>318</v>
      </c>
    </row>
    <row r="3745" spans="1:5" x14ac:dyDescent="0.25">
      <c r="A3745" s="216" t="s">
        <v>7616</v>
      </c>
      <c r="B3745" s="218" t="s">
        <v>48</v>
      </c>
      <c r="C3745" s="220" t="s">
        <v>5922</v>
      </c>
      <c r="D3745" s="220" t="s">
        <v>59</v>
      </c>
      <c r="E3745" s="165">
        <v>317</v>
      </c>
    </row>
    <row r="3746" spans="1:5" x14ac:dyDescent="0.25">
      <c r="A3746" s="216" t="s">
        <v>11202</v>
      </c>
      <c r="B3746" s="218" t="s">
        <v>48</v>
      </c>
      <c r="C3746" s="220" t="s">
        <v>1628</v>
      </c>
      <c r="D3746" s="220" t="s">
        <v>56</v>
      </c>
      <c r="E3746" s="165">
        <v>317</v>
      </c>
    </row>
    <row r="3747" spans="1:5" x14ac:dyDescent="0.25">
      <c r="A3747" s="216" t="s">
        <v>4969</v>
      </c>
      <c r="B3747" s="218">
        <v>1</v>
      </c>
      <c r="C3747" s="220" t="s">
        <v>279</v>
      </c>
      <c r="D3747" s="220" t="s">
        <v>127</v>
      </c>
      <c r="E3747" s="165">
        <v>317</v>
      </c>
    </row>
    <row r="3748" spans="1:5" x14ac:dyDescent="0.25">
      <c r="A3748" s="216" t="s">
        <v>5566</v>
      </c>
      <c r="B3748" s="218">
        <v>1</v>
      </c>
      <c r="C3748" s="220" t="s">
        <v>5567</v>
      </c>
      <c r="D3748" s="220" t="s">
        <v>50</v>
      </c>
      <c r="E3748" s="165">
        <v>317</v>
      </c>
    </row>
    <row r="3749" spans="1:5" x14ac:dyDescent="0.25">
      <c r="A3749" s="216" t="s">
        <v>4971</v>
      </c>
      <c r="B3749" s="218">
        <v>1</v>
      </c>
      <c r="C3749" s="220" t="s">
        <v>323</v>
      </c>
      <c r="D3749" s="220" t="s">
        <v>59</v>
      </c>
      <c r="E3749" s="165">
        <v>317</v>
      </c>
    </row>
    <row r="3750" spans="1:5" x14ac:dyDescent="0.25">
      <c r="A3750" s="216" t="s">
        <v>5480</v>
      </c>
      <c r="B3750" s="218">
        <v>1</v>
      </c>
      <c r="C3750" s="220" t="s">
        <v>5481</v>
      </c>
      <c r="D3750" s="220" t="s">
        <v>98</v>
      </c>
      <c r="E3750" s="165">
        <v>317</v>
      </c>
    </row>
    <row r="3751" spans="1:5" x14ac:dyDescent="0.25">
      <c r="A3751" s="216" t="s">
        <v>5649</v>
      </c>
      <c r="B3751" s="218">
        <v>1</v>
      </c>
      <c r="C3751" s="220" t="s">
        <v>475</v>
      </c>
      <c r="D3751" s="220" t="s">
        <v>188</v>
      </c>
      <c r="E3751" s="165">
        <v>317</v>
      </c>
    </row>
    <row r="3752" spans="1:5" x14ac:dyDescent="0.25">
      <c r="A3752" s="216" t="s">
        <v>5147</v>
      </c>
      <c r="B3752" s="218">
        <v>1</v>
      </c>
      <c r="C3752" s="220" t="s">
        <v>159</v>
      </c>
      <c r="D3752" s="220" t="s">
        <v>130</v>
      </c>
      <c r="E3752" s="165">
        <v>317</v>
      </c>
    </row>
    <row r="3753" spans="1:5" x14ac:dyDescent="0.25">
      <c r="A3753" s="216" t="s">
        <v>5482</v>
      </c>
      <c r="B3753" s="218">
        <v>1</v>
      </c>
      <c r="C3753" s="220" t="s">
        <v>390</v>
      </c>
      <c r="D3753" s="220" t="s">
        <v>98</v>
      </c>
      <c r="E3753" s="165">
        <v>317</v>
      </c>
    </row>
    <row r="3754" spans="1:5" x14ac:dyDescent="0.25">
      <c r="A3754" s="216" t="s">
        <v>5397</v>
      </c>
      <c r="B3754" s="218">
        <v>1</v>
      </c>
      <c r="C3754" s="220" t="s">
        <v>5398</v>
      </c>
      <c r="D3754" s="220" t="s">
        <v>188</v>
      </c>
      <c r="E3754" s="165">
        <v>316</v>
      </c>
    </row>
    <row r="3755" spans="1:5" x14ac:dyDescent="0.25">
      <c r="A3755" s="216" t="s">
        <v>4949</v>
      </c>
      <c r="B3755" s="218" t="s">
        <v>48</v>
      </c>
      <c r="C3755" s="220" t="s">
        <v>406</v>
      </c>
      <c r="D3755" s="220" t="s">
        <v>277</v>
      </c>
      <c r="E3755" s="165">
        <v>316</v>
      </c>
    </row>
    <row r="3756" spans="1:5" x14ac:dyDescent="0.25">
      <c r="A3756" s="216" t="s">
        <v>5688</v>
      </c>
      <c r="B3756" s="218" t="s">
        <v>48</v>
      </c>
      <c r="C3756" s="220" t="s">
        <v>5689</v>
      </c>
      <c r="D3756" s="220" t="s">
        <v>108</v>
      </c>
      <c r="E3756" s="165">
        <v>316</v>
      </c>
    </row>
    <row r="3757" spans="1:5" x14ac:dyDescent="0.25">
      <c r="A3757" s="216" t="s">
        <v>5383</v>
      </c>
      <c r="B3757" s="218">
        <v>1</v>
      </c>
      <c r="C3757" s="220" t="s">
        <v>3192</v>
      </c>
      <c r="D3757" s="220" t="s">
        <v>98</v>
      </c>
      <c r="E3757" s="165">
        <v>316</v>
      </c>
    </row>
    <row r="3758" spans="1:5" x14ac:dyDescent="0.25">
      <c r="A3758" s="216" t="s">
        <v>5613</v>
      </c>
      <c r="B3758" s="218">
        <v>1</v>
      </c>
      <c r="C3758" s="220" t="s">
        <v>121</v>
      </c>
      <c r="D3758" s="220" t="s">
        <v>56</v>
      </c>
      <c r="E3758" s="165">
        <v>316</v>
      </c>
    </row>
    <row r="3759" spans="1:5" x14ac:dyDescent="0.25">
      <c r="A3759" s="216" t="s">
        <v>6142</v>
      </c>
      <c r="B3759" s="218" t="s">
        <v>48</v>
      </c>
      <c r="C3759" s="220" t="s">
        <v>6143</v>
      </c>
      <c r="D3759" s="220" t="s">
        <v>277</v>
      </c>
      <c r="E3759" s="165">
        <v>316</v>
      </c>
    </row>
    <row r="3760" spans="1:5" x14ac:dyDescent="0.25">
      <c r="A3760" s="216" t="s">
        <v>5218</v>
      </c>
      <c r="B3760" s="218">
        <v>1</v>
      </c>
      <c r="C3760" s="220" t="s">
        <v>5089</v>
      </c>
      <c r="D3760" s="220" t="s">
        <v>575</v>
      </c>
      <c r="E3760" s="165">
        <v>316</v>
      </c>
    </row>
    <row r="3761" spans="1:5" x14ac:dyDescent="0.25">
      <c r="A3761" s="216" t="s">
        <v>3834</v>
      </c>
      <c r="B3761" s="218">
        <v>1</v>
      </c>
      <c r="C3761" s="220" t="s">
        <v>1103</v>
      </c>
      <c r="D3761" s="220" t="s">
        <v>277</v>
      </c>
      <c r="E3761" s="165">
        <v>316</v>
      </c>
    </row>
    <row r="3762" spans="1:5" x14ac:dyDescent="0.25">
      <c r="A3762" s="216" t="s">
        <v>5549</v>
      </c>
      <c r="B3762" s="218" t="s">
        <v>48</v>
      </c>
      <c r="C3762" s="220" t="s">
        <v>1641</v>
      </c>
      <c r="D3762" s="220" t="s">
        <v>90</v>
      </c>
      <c r="E3762" s="165">
        <v>316</v>
      </c>
    </row>
    <row r="3763" spans="1:5" x14ac:dyDescent="0.25">
      <c r="A3763" s="216" t="s">
        <v>5304</v>
      </c>
      <c r="B3763" s="218">
        <v>1</v>
      </c>
      <c r="C3763" s="220" t="s">
        <v>3296</v>
      </c>
      <c r="D3763" s="220" t="s">
        <v>277</v>
      </c>
      <c r="E3763" s="165">
        <v>316</v>
      </c>
    </row>
    <row r="3764" spans="1:5" x14ac:dyDescent="0.25">
      <c r="A3764" s="216" t="s">
        <v>1528</v>
      </c>
      <c r="B3764" s="218" t="s">
        <v>48</v>
      </c>
      <c r="C3764" s="220" t="s">
        <v>609</v>
      </c>
      <c r="D3764" s="220" t="s">
        <v>53</v>
      </c>
      <c r="E3764" s="165">
        <v>315</v>
      </c>
    </row>
    <row r="3765" spans="1:5" x14ac:dyDescent="0.25">
      <c r="A3765" s="216" t="s">
        <v>6266</v>
      </c>
      <c r="B3765" s="218" t="s">
        <v>48</v>
      </c>
      <c r="C3765" s="220" t="s">
        <v>321</v>
      </c>
      <c r="D3765" s="220" t="s">
        <v>90</v>
      </c>
      <c r="E3765" s="165">
        <v>315</v>
      </c>
    </row>
    <row r="3766" spans="1:5" x14ac:dyDescent="0.25">
      <c r="A3766" s="216" t="s">
        <v>4332</v>
      </c>
      <c r="B3766" s="218" t="s">
        <v>48</v>
      </c>
      <c r="C3766" s="220" t="s">
        <v>213</v>
      </c>
      <c r="D3766" s="220" t="s">
        <v>75</v>
      </c>
      <c r="E3766" s="165">
        <v>315</v>
      </c>
    </row>
    <row r="3767" spans="1:5" x14ac:dyDescent="0.25">
      <c r="A3767" s="216" t="s">
        <v>5606</v>
      </c>
      <c r="B3767" s="218">
        <v>1</v>
      </c>
      <c r="C3767" s="220" t="s">
        <v>2010</v>
      </c>
      <c r="D3767" s="220" t="s">
        <v>69</v>
      </c>
      <c r="E3767" s="165">
        <v>315</v>
      </c>
    </row>
    <row r="3768" spans="1:5" x14ac:dyDescent="0.25">
      <c r="A3768" s="216" t="s">
        <v>5324</v>
      </c>
      <c r="B3768" s="218">
        <v>1</v>
      </c>
      <c r="C3768" s="220" t="s">
        <v>342</v>
      </c>
      <c r="D3768" s="220" t="s">
        <v>277</v>
      </c>
      <c r="E3768" s="165">
        <v>315</v>
      </c>
    </row>
    <row r="3769" spans="1:5" x14ac:dyDescent="0.25">
      <c r="A3769" s="216" t="s">
        <v>5551</v>
      </c>
      <c r="B3769" s="218" t="s">
        <v>48</v>
      </c>
      <c r="C3769" s="220" t="s">
        <v>58</v>
      </c>
      <c r="D3769" s="220" t="s">
        <v>59</v>
      </c>
      <c r="E3769" s="165">
        <v>314</v>
      </c>
    </row>
    <row r="3770" spans="1:5" x14ac:dyDescent="0.25">
      <c r="A3770" s="216" t="s">
        <v>5316</v>
      </c>
      <c r="B3770" s="218">
        <v>1</v>
      </c>
      <c r="C3770" s="220" t="s">
        <v>11203</v>
      </c>
      <c r="D3770" s="220" t="s">
        <v>272</v>
      </c>
      <c r="E3770" s="165">
        <v>314</v>
      </c>
    </row>
    <row r="3771" spans="1:5" x14ac:dyDescent="0.25">
      <c r="A3771" s="216" t="s">
        <v>4846</v>
      </c>
      <c r="B3771" s="218" t="s">
        <v>48</v>
      </c>
      <c r="C3771" s="220" t="s">
        <v>4847</v>
      </c>
      <c r="D3771" s="220" t="s">
        <v>272</v>
      </c>
      <c r="E3771" s="165">
        <v>314</v>
      </c>
    </row>
    <row r="3772" spans="1:5" x14ac:dyDescent="0.25">
      <c r="A3772" s="216" t="s">
        <v>10774</v>
      </c>
      <c r="B3772" s="218">
        <v>1</v>
      </c>
      <c r="C3772" s="220" t="s">
        <v>11204</v>
      </c>
      <c r="D3772" s="220" t="s">
        <v>63</v>
      </c>
      <c r="E3772" s="165">
        <v>314</v>
      </c>
    </row>
    <row r="3773" spans="1:5" x14ac:dyDescent="0.25">
      <c r="A3773" s="216" t="s">
        <v>5389</v>
      </c>
      <c r="B3773" s="218">
        <v>1</v>
      </c>
      <c r="C3773" s="220" t="s">
        <v>5390</v>
      </c>
      <c r="D3773" s="220" t="s">
        <v>124</v>
      </c>
      <c r="E3773" s="165">
        <v>314</v>
      </c>
    </row>
    <row r="3774" spans="1:5" x14ac:dyDescent="0.25">
      <c r="A3774" s="216" t="s">
        <v>5450</v>
      </c>
      <c r="B3774" s="218">
        <v>1</v>
      </c>
      <c r="C3774" s="220" t="s">
        <v>2010</v>
      </c>
      <c r="D3774" s="220" t="s">
        <v>69</v>
      </c>
      <c r="E3774" s="165">
        <v>313</v>
      </c>
    </row>
    <row r="3775" spans="1:5" x14ac:dyDescent="0.25">
      <c r="A3775" s="216" t="s">
        <v>6512</v>
      </c>
      <c r="B3775" s="218" t="s">
        <v>48</v>
      </c>
      <c r="C3775" s="220" t="s">
        <v>6513</v>
      </c>
      <c r="D3775" s="220" t="s">
        <v>166</v>
      </c>
      <c r="E3775" s="165">
        <v>313</v>
      </c>
    </row>
    <row r="3776" spans="1:5" x14ac:dyDescent="0.25">
      <c r="A3776" s="216" t="s">
        <v>5356</v>
      </c>
      <c r="B3776" s="218">
        <v>1</v>
      </c>
      <c r="C3776" s="220" t="s">
        <v>5357</v>
      </c>
      <c r="D3776" s="220" t="s">
        <v>50</v>
      </c>
      <c r="E3776" s="165">
        <v>313</v>
      </c>
    </row>
    <row r="3777" spans="1:5" x14ac:dyDescent="0.25">
      <c r="A3777" s="216" t="s">
        <v>5445</v>
      </c>
      <c r="B3777" s="218" t="s">
        <v>48</v>
      </c>
      <c r="C3777" s="220" t="s">
        <v>5446</v>
      </c>
      <c r="D3777" s="220" t="s">
        <v>277</v>
      </c>
      <c r="E3777" s="165">
        <v>313</v>
      </c>
    </row>
    <row r="3778" spans="1:5" x14ac:dyDescent="0.25">
      <c r="A3778" s="216" t="s">
        <v>4933</v>
      </c>
      <c r="B3778" s="218" t="s">
        <v>48</v>
      </c>
      <c r="C3778" s="220" t="s">
        <v>4934</v>
      </c>
      <c r="D3778" s="220" t="s">
        <v>90</v>
      </c>
      <c r="E3778" s="165">
        <v>313</v>
      </c>
    </row>
    <row r="3779" spans="1:5" x14ac:dyDescent="0.25">
      <c r="A3779" s="216" t="s">
        <v>5583</v>
      </c>
      <c r="B3779" s="218">
        <v>1</v>
      </c>
      <c r="C3779" s="220" t="s">
        <v>5584</v>
      </c>
      <c r="D3779" s="220" t="s">
        <v>63</v>
      </c>
      <c r="E3779" s="165">
        <v>313</v>
      </c>
    </row>
    <row r="3780" spans="1:5" x14ac:dyDescent="0.25">
      <c r="A3780" s="216" t="s">
        <v>5440</v>
      </c>
      <c r="B3780" s="218">
        <v>1</v>
      </c>
      <c r="C3780" s="220" t="s">
        <v>4049</v>
      </c>
      <c r="D3780" s="220" t="s">
        <v>72</v>
      </c>
      <c r="E3780" s="165">
        <v>313</v>
      </c>
    </row>
    <row r="3781" spans="1:5" x14ac:dyDescent="0.25">
      <c r="A3781" s="216" t="s">
        <v>5694</v>
      </c>
      <c r="B3781" s="218">
        <v>1</v>
      </c>
      <c r="C3781" s="220" t="s">
        <v>2930</v>
      </c>
      <c r="D3781" s="220" t="s">
        <v>188</v>
      </c>
      <c r="E3781" s="165">
        <v>313</v>
      </c>
    </row>
    <row r="3782" spans="1:5" x14ac:dyDescent="0.25">
      <c r="A3782" s="216" t="s">
        <v>5442</v>
      </c>
      <c r="B3782" s="218">
        <v>1</v>
      </c>
      <c r="C3782" s="220" t="s">
        <v>2948</v>
      </c>
      <c r="D3782" s="220" t="s">
        <v>72</v>
      </c>
      <c r="E3782" s="165">
        <v>313</v>
      </c>
    </row>
    <row r="3783" spans="1:5" x14ac:dyDescent="0.25">
      <c r="A3783" s="216" t="s">
        <v>5505</v>
      </c>
      <c r="B3783" s="218">
        <v>1</v>
      </c>
      <c r="C3783" s="220" t="s">
        <v>5506</v>
      </c>
      <c r="D3783" s="220" t="s">
        <v>66</v>
      </c>
      <c r="E3783" s="165">
        <v>313</v>
      </c>
    </row>
    <row r="3784" spans="1:5" x14ac:dyDescent="0.25">
      <c r="A3784" s="216" t="s">
        <v>5280</v>
      </c>
      <c r="B3784" s="218">
        <v>1</v>
      </c>
      <c r="C3784" s="220" t="s">
        <v>5281</v>
      </c>
      <c r="D3784" s="220" t="s">
        <v>142</v>
      </c>
      <c r="E3784" s="165">
        <v>312</v>
      </c>
    </row>
    <row r="3785" spans="1:5" x14ac:dyDescent="0.25">
      <c r="A3785" s="216" t="s">
        <v>5635</v>
      </c>
      <c r="B3785" s="218" t="s">
        <v>48</v>
      </c>
      <c r="C3785" s="220" t="s">
        <v>5636</v>
      </c>
      <c r="D3785" s="220" t="s">
        <v>142</v>
      </c>
      <c r="E3785" s="165">
        <v>312</v>
      </c>
    </row>
    <row r="3786" spans="1:5" x14ac:dyDescent="0.25">
      <c r="A3786" s="216" t="s">
        <v>6170</v>
      </c>
      <c r="B3786" s="218" t="s">
        <v>48</v>
      </c>
      <c r="C3786" s="220" t="s">
        <v>6171</v>
      </c>
      <c r="D3786" s="220" t="s">
        <v>166</v>
      </c>
      <c r="E3786" s="165">
        <v>312</v>
      </c>
    </row>
    <row r="3787" spans="1:5" x14ac:dyDescent="0.25">
      <c r="A3787" s="216" t="s">
        <v>5661</v>
      </c>
      <c r="B3787" s="218" t="s">
        <v>48</v>
      </c>
      <c r="C3787" s="220" t="s">
        <v>3603</v>
      </c>
      <c r="D3787" s="220" t="s">
        <v>108</v>
      </c>
      <c r="E3787" s="165">
        <v>312</v>
      </c>
    </row>
    <row r="3788" spans="1:5" x14ac:dyDescent="0.25">
      <c r="A3788" s="216" t="s">
        <v>4666</v>
      </c>
      <c r="B3788" s="218" t="s">
        <v>48</v>
      </c>
      <c r="C3788" s="220" t="s">
        <v>4667</v>
      </c>
      <c r="D3788" s="220" t="s">
        <v>113</v>
      </c>
      <c r="E3788" s="165">
        <v>312</v>
      </c>
    </row>
    <row r="3789" spans="1:5" x14ac:dyDescent="0.25">
      <c r="A3789" s="216" t="s">
        <v>5441</v>
      </c>
      <c r="B3789" s="218">
        <v>1</v>
      </c>
      <c r="C3789" s="220" t="s">
        <v>3380</v>
      </c>
      <c r="D3789" s="220" t="s">
        <v>56</v>
      </c>
      <c r="E3789" s="165">
        <v>312</v>
      </c>
    </row>
    <row r="3790" spans="1:5" x14ac:dyDescent="0.25">
      <c r="A3790" s="216" t="s">
        <v>4610</v>
      </c>
      <c r="B3790" s="218" t="s">
        <v>48</v>
      </c>
      <c r="C3790" s="220" t="s">
        <v>3771</v>
      </c>
      <c r="D3790" s="220" t="s">
        <v>59</v>
      </c>
      <c r="E3790" s="165">
        <v>312</v>
      </c>
    </row>
    <row r="3791" spans="1:5" x14ac:dyDescent="0.25">
      <c r="A3791" s="216" t="s">
        <v>10512</v>
      </c>
      <c r="B3791" s="218">
        <v>1</v>
      </c>
      <c r="C3791" s="220" t="s">
        <v>11205</v>
      </c>
      <c r="D3791" s="220" t="s">
        <v>56</v>
      </c>
      <c r="E3791" s="165">
        <v>311</v>
      </c>
    </row>
    <row r="3792" spans="1:5" x14ac:dyDescent="0.25">
      <c r="A3792" s="216" t="s">
        <v>6457</v>
      </c>
      <c r="B3792" s="218" t="s">
        <v>48</v>
      </c>
      <c r="C3792" s="220" t="s">
        <v>1243</v>
      </c>
      <c r="D3792" s="220" t="s">
        <v>166</v>
      </c>
      <c r="E3792" s="165">
        <v>311</v>
      </c>
    </row>
    <row r="3793" spans="1:5" x14ac:dyDescent="0.25">
      <c r="A3793" s="216" t="s">
        <v>4912</v>
      </c>
      <c r="B3793" s="218" t="s">
        <v>48</v>
      </c>
      <c r="C3793" s="220" t="s">
        <v>501</v>
      </c>
      <c r="D3793" s="220" t="s">
        <v>59</v>
      </c>
      <c r="E3793" s="165">
        <v>311</v>
      </c>
    </row>
    <row r="3794" spans="1:5" x14ac:dyDescent="0.25">
      <c r="A3794" s="216" t="s">
        <v>4076</v>
      </c>
      <c r="B3794" s="218">
        <v>1</v>
      </c>
      <c r="C3794" s="220" t="s">
        <v>2824</v>
      </c>
      <c r="D3794" s="220" t="s">
        <v>56</v>
      </c>
      <c r="E3794" s="165">
        <v>311</v>
      </c>
    </row>
    <row r="3795" spans="1:5" x14ac:dyDescent="0.25">
      <c r="A3795" s="216" t="s">
        <v>6174</v>
      </c>
      <c r="B3795" s="218" t="s">
        <v>48</v>
      </c>
      <c r="C3795" s="220" t="s">
        <v>6175</v>
      </c>
      <c r="D3795" s="220" t="s">
        <v>93</v>
      </c>
      <c r="E3795" s="165">
        <v>310</v>
      </c>
    </row>
    <row r="3796" spans="1:5" x14ac:dyDescent="0.25">
      <c r="A3796" s="216" t="s">
        <v>10288</v>
      </c>
      <c r="B3796" s="218" t="s">
        <v>48</v>
      </c>
      <c r="C3796" s="220" t="s">
        <v>10289</v>
      </c>
      <c r="D3796" s="220" t="s">
        <v>394</v>
      </c>
      <c r="E3796" s="165">
        <v>310</v>
      </c>
    </row>
    <row r="3797" spans="1:5" x14ac:dyDescent="0.25">
      <c r="A3797" s="216" t="s">
        <v>11206</v>
      </c>
      <c r="B3797" s="218" t="s">
        <v>48</v>
      </c>
      <c r="C3797" s="220" t="s">
        <v>10289</v>
      </c>
      <c r="D3797" s="220" t="s">
        <v>394</v>
      </c>
      <c r="E3797" s="165">
        <v>310</v>
      </c>
    </row>
    <row r="3798" spans="1:5" x14ac:dyDescent="0.25">
      <c r="A3798" s="216" t="s">
        <v>5657</v>
      </c>
      <c r="B3798" s="218">
        <v>1</v>
      </c>
      <c r="C3798" s="220" t="s">
        <v>4321</v>
      </c>
      <c r="D3798" s="220" t="s">
        <v>69</v>
      </c>
      <c r="E3798" s="165">
        <v>310</v>
      </c>
    </row>
    <row r="3799" spans="1:5" x14ac:dyDescent="0.25">
      <c r="A3799" s="216" t="s">
        <v>5678</v>
      </c>
      <c r="B3799" s="218">
        <v>1</v>
      </c>
      <c r="C3799" s="220" t="s">
        <v>5679</v>
      </c>
      <c r="D3799" s="220" t="s">
        <v>188</v>
      </c>
      <c r="E3799" s="165">
        <v>310</v>
      </c>
    </row>
    <row r="3800" spans="1:5" x14ac:dyDescent="0.25">
      <c r="A3800" s="216" t="s">
        <v>5493</v>
      </c>
      <c r="B3800" s="218">
        <v>1</v>
      </c>
      <c r="C3800" s="220" t="s">
        <v>2345</v>
      </c>
      <c r="D3800" s="220" t="s">
        <v>192</v>
      </c>
      <c r="E3800" s="165">
        <v>310</v>
      </c>
    </row>
    <row r="3801" spans="1:5" x14ac:dyDescent="0.25">
      <c r="A3801" s="216" t="s">
        <v>4655</v>
      </c>
      <c r="B3801" s="218" t="s">
        <v>48</v>
      </c>
      <c r="C3801" s="220" t="s">
        <v>2091</v>
      </c>
      <c r="D3801" s="220" t="s">
        <v>188</v>
      </c>
      <c r="E3801" s="165">
        <v>310</v>
      </c>
    </row>
    <row r="3802" spans="1:5" x14ac:dyDescent="0.25">
      <c r="A3802" s="216" t="s">
        <v>5497</v>
      </c>
      <c r="B3802" s="218">
        <v>1</v>
      </c>
      <c r="C3802" s="220" t="s">
        <v>5498</v>
      </c>
      <c r="D3802" s="220" t="s">
        <v>172</v>
      </c>
      <c r="E3802" s="165">
        <v>310</v>
      </c>
    </row>
    <row r="3803" spans="1:5" x14ac:dyDescent="0.25">
      <c r="A3803" s="216" t="s">
        <v>5353</v>
      </c>
      <c r="B3803" s="218">
        <v>1</v>
      </c>
      <c r="C3803" s="220" t="s">
        <v>279</v>
      </c>
      <c r="D3803" s="220" t="s">
        <v>127</v>
      </c>
      <c r="E3803" s="165">
        <v>310</v>
      </c>
    </row>
    <row r="3804" spans="1:5" x14ac:dyDescent="0.25">
      <c r="A3804" s="216" t="s">
        <v>9590</v>
      </c>
      <c r="B3804" s="218" t="s">
        <v>48</v>
      </c>
      <c r="C3804" s="220" t="s">
        <v>11207</v>
      </c>
      <c r="D3804" s="220" t="s">
        <v>59</v>
      </c>
      <c r="E3804" s="165">
        <v>310</v>
      </c>
    </row>
    <row r="3805" spans="1:5" x14ac:dyDescent="0.25">
      <c r="A3805" s="216" t="s">
        <v>5434</v>
      </c>
      <c r="B3805" s="218" t="s">
        <v>48</v>
      </c>
      <c r="C3805" s="220" t="s">
        <v>1087</v>
      </c>
      <c r="D3805" s="220" t="s">
        <v>188</v>
      </c>
      <c r="E3805" s="165">
        <v>309</v>
      </c>
    </row>
    <row r="3806" spans="1:5" x14ac:dyDescent="0.25">
      <c r="A3806" s="216" t="s">
        <v>5428</v>
      </c>
      <c r="B3806" s="218" t="s">
        <v>48</v>
      </c>
      <c r="C3806" s="220" t="s">
        <v>5429</v>
      </c>
      <c r="D3806" s="220" t="s">
        <v>53</v>
      </c>
      <c r="E3806" s="165">
        <v>309</v>
      </c>
    </row>
    <row r="3807" spans="1:5" x14ac:dyDescent="0.25">
      <c r="A3807" s="216" t="s">
        <v>5539</v>
      </c>
      <c r="B3807" s="218">
        <v>1</v>
      </c>
      <c r="C3807" s="220" t="s">
        <v>5345</v>
      </c>
      <c r="D3807" s="220" t="s">
        <v>66</v>
      </c>
      <c r="E3807" s="165">
        <v>309</v>
      </c>
    </row>
    <row r="3808" spans="1:5" x14ac:dyDescent="0.25">
      <c r="A3808" s="216" t="s">
        <v>11208</v>
      </c>
      <c r="B3808" s="218" t="s">
        <v>48</v>
      </c>
      <c r="C3808" s="220" t="s">
        <v>956</v>
      </c>
      <c r="D3808" s="220" t="s">
        <v>69</v>
      </c>
      <c r="E3808" s="165">
        <v>309</v>
      </c>
    </row>
    <row r="3809" spans="1:5" x14ac:dyDescent="0.25">
      <c r="A3809" s="216" t="s">
        <v>5456</v>
      </c>
      <c r="B3809" s="218">
        <v>1</v>
      </c>
      <c r="C3809" s="220" t="s">
        <v>5457</v>
      </c>
      <c r="D3809" s="220" t="s">
        <v>188</v>
      </c>
      <c r="E3809" s="165">
        <v>309</v>
      </c>
    </row>
    <row r="3810" spans="1:5" x14ac:dyDescent="0.25">
      <c r="A3810" s="216" t="s">
        <v>5580</v>
      </c>
      <c r="B3810" s="218">
        <v>1</v>
      </c>
      <c r="C3810" s="220" t="s">
        <v>1275</v>
      </c>
      <c r="D3810" s="220" t="s">
        <v>78</v>
      </c>
      <c r="E3810" s="165">
        <v>309</v>
      </c>
    </row>
    <row r="3811" spans="1:5" x14ac:dyDescent="0.25">
      <c r="A3811" s="216" t="s">
        <v>4425</v>
      </c>
      <c r="B3811" s="218" t="s">
        <v>48</v>
      </c>
      <c r="C3811" s="220" t="s">
        <v>213</v>
      </c>
      <c r="D3811" s="220" t="s">
        <v>75</v>
      </c>
      <c r="E3811" s="165">
        <v>308</v>
      </c>
    </row>
    <row r="3812" spans="1:5" x14ac:dyDescent="0.25">
      <c r="A3812" s="216" t="s">
        <v>5115</v>
      </c>
      <c r="B3812" s="218" t="s">
        <v>48</v>
      </c>
      <c r="C3812" s="220" t="s">
        <v>5116</v>
      </c>
      <c r="D3812" s="220" t="s">
        <v>201</v>
      </c>
      <c r="E3812" s="165">
        <v>308</v>
      </c>
    </row>
    <row r="3813" spans="1:5" x14ac:dyDescent="0.25">
      <c r="A3813" s="216" t="s">
        <v>5508</v>
      </c>
      <c r="B3813" s="218">
        <v>1</v>
      </c>
      <c r="C3813" s="220" t="s">
        <v>3624</v>
      </c>
      <c r="D3813" s="220" t="s">
        <v>69</v>
      </c>
      <c r="E3813" s="165">
        <v>308</v>
      </c>
    </row>
    <row r="3814" spans="1:5" x14ac:dyDescent="0.25">
      <c r="A3814" s="216" t="s">
        <v>5063</v>
      </c>
      <c r="B3814" s="218">
        <v>1</v>
      </c>
      <c r="C3814" s="220" t="s">
        <v>5064</v>
      </c>
      <c r="D3814" s="220" t="s">
        <v>118</v>
      </c>
      <c r="E3814" s="165">
        <v>308</v>
      </c>
    </row>
    <row r="3815" spans="1:5" x14ac:dyDescent="0.25">
      <c r="A3815" s="216" t="s">
        <v>7691</v>
      </c>
      <c r="B3815" s="218" t="s">
        <v>48</v>
      </c>
      <c r="C3815" s="220" t="s">
        <v>89</v>
      </c>
      <c r="D3815" s="220" t="s">
        <v>90</v>
      </c>
      <c r="E3815" s="165">
        <v>308</v>
      </c>
    </row>
    <row r="3816" spans="1:5" x14ac:dyDescent="0.25">
      <c r="A3816" s="216" t="s">
        <v>4718</v>
      </c>
      <c r="B3816" s="218" t="s">
        <v>48</v>
      </c>
      <c r="C3816" s="220" t="s">
        <v>4719</v>
      </c>
      <c r="D3816" s="220" t="s">
        <v>63</v>
      </c>
      <c r="E3816" s="165">
        <v>308</v>
      </c>
    </row>
    <row r="3817" spans="1:5" x14ac:dyDescent="0.25">
      <c r="A3817" s="216" t="s">
        <v>11209</v>
      </c>
      <c r="B3817" s="218">
        <v>1</v>
      </c>
      <c r="C3817" s="220" t="s">
        <v>86</v>
      </c>
      <c r="D3817" s="220" t="s">
        <v>78</v>
      </c>
      <c r="E3817" s="165">
        <v>308</v>
      </c>
    </row>
    <row r="3818" spans="1:5" x14ac:dyDescent="0.25">
      <c r="A3818" s="216" t="s">
        <v>11210</v>
      </c>
      <c r="B3818" s="218">
        <v>1</v>
      </c>
      <c r="C3818" s="220" t="s">
        <v>3687</v>
      </c>
      <c r="D3818" s="220" t="s">
        <v>59</v>
      </c>
      <c r="E3818" s="165">
        <v>308</v>
      </c>
    </row>
    <row r="3819" spans="1:5" x14ac:dyDescent="0.25">
      <c r="A3819" s="216" t="s">
        <v>5396</v>
      </c>
      <c r="B3819" s="218">
        <v>1</v>
      </c>
      <c r="C3819" s="220" t="s">
        <v>2453</v>
      </c>
      <c r="D3819" s="220" t="s">
        <v>628</v>
      </c>
      <c r="E3819" s="165">
        <v>307</v>
      </c>
    </row>
    <row r="3820" spans="1:5" x14ac:dyDescent="0.25">
      <c r="A3820" s="216" t="s">
        <v>5642</v>
      </c>
      <c r="B3820" s="218">
        <v>1</v>
      </c>
      <c r="C3820" s="220" t="s">
        <v>5643</v>
      </c>
      <c r="D3820" s="220" t="s">
        <v>50</v>
      </c>
      <c r="E3820" s="165">
        <v>307</v>
      </c>
    </row>
    <row r="3821" spans="1:5" x14ac:dyDescent="0.25">
      <c r="A3821" s="216" t="s">
        <v>5335</v>
      </c>
      <c r="B3821" s="218">
        <v>1</v>
      </c>
      <c r="C3821" s="220" t="s">
        <v>5336</v>
      </c>
      <c r="D3821" s="220" t="s">
        <v>348</v>
      </c>
      <c r="E3821" s="165">
        <v>307</v>
      </c>
    </row>
    <row r="3822" spans="1:5" x14ac:dyDescent="0.25">
      <c r="A3822" s="216" t="s">
        <v>5698</v>
      </c>
      <c r="B3822" s="218" t="s">
        <v>48</v>
      </c>
      <c r="C3822" s="220" t="s">
        <v>615</v>
      </c>
      <c r="D3822" s="220" t="s">
        <v>108</v>
      </c>
      <c r="E3822" s="165">
        <v>307</v>
      </c>
    </row>
    <row r="3823" spans="1:5" x14ac:dyDescent="0.25">
      <c r="A3823" s="216" t="s">
        <v>5884</v>
      </c>
      <c r="B3823" s="218" t="s">
        <v>48</v>
      </c>
      <c r="C3823" s="220" t="s">
        <v>5885</v>
      </c>
      <c r="D3823" s="220" t="s">
        <v>108</v>
      </c>
      <c r="E3823" s="165">
        <v>306</v>
      </c>
    </row>
    <row r="3824" spans="1:5" x14ac:dyDescent="0.25">
      <c r="A3824" s="216" t="s">
        <v>9722</v>
      </c>
      <c r="B3824" s="218">
        <v>1</v>
      </c>
      <c r="C3824" s="220" t="s">
        <v>86</v>
      </c>
      <c r="D3824" s="220" t="s">
        <v>78</v>
      </c>
      <c r="E3824" s="165">
        <v>306</v>
      </c>
    </row>
    <row r="3825" spans="1:5" x14ac:dyDescent="0.25">
      <c r="A3825" s="216" t="s">
        <v>9564</v>
      </c>
      <c r="B3825" s="218">
        <v>1</v>
      </c>
      <c r="C3825" s="220" t="s">
        <v>279</v>
      </c>
      <c r="D3825" s="220" t="s">
        <v>127</v>
      </c>
      <c r="E3825" s="165">
        <v>306</v>
      </c>
    </row>
    <row r="3826" spans="1:5" x14ac:dyDescent="0.25">
      <c r="A3826" s="216" t="s">
        <v>5731</v>
      </c>
      <c r="B3826" s="218">
        <v>1</v>
      </c>
      <c r="C3826" s="220" t="s">
        <v>5732</v>
      </c>
      <c r="D3826" s="220" t="s">
        <v>56</v>
      </c>
      <c r="E3826" s="165">
        <v>306</v>
      </c>
    </row>
    <row r="3827" spans="1:5" x14ac:dyDescent="0.25">
      <c r="A3827" s="216" t="s">
        <v>2424</v>
      </c>
      <c r="B3827" s="218">
        <v>1</v>
      </c>
      <c r="C3827" s="220" t="s">
        <v>522</v>
      </c>
      <c r="D3827" s="220" t="s">
        <v>523</v>
      </c>
      <c r="E3827" s="165">
        <v>306</v>
      </c>
    </row>
    <row r="3828" spans="1:5" x14ac:dyDescent="0.25">
      <c r="A3828" s="216" t="s">
        <v>7508</v>
      </c>
      <c r="B3828" s="218">
        <v>1</v>
      </c>
      <c r="C3828" s="220" t="s">
        <v>179</v>
      </c>
      <c r="D3828" s="220" t="s">
        <v>66</v>
      </c>
      <c r="E3828" s="165">
        <v>306</v>
      </c>
    </row>
    <row r="3829" spans="1:5" x14ac:dyDescent="0.25">
      <c r="A3829" s="216" t="s">
        <v>8471</v>
      </c>
      <c r="B3829" s="218">
        <v>1</v>
      </c>
      <c r="C3829" s="220" t="s">
        <v>306</v>
      </c>
      <c r="D3829" s="220" t="s">
        <v>63</v>
      </c>
      <c r="E3829" s="165">
        <v>306</v>
      </c>
    </row>
    <row r="3830" spans="1:5" x14ac:dyDescent="0.25">
      <c r="A3830" s="216" t="s">
        <v>2825</v>
      </c>
      <c r="B3830" s="218" t="s">
        <v>48</v>
      </c>
      <c r="C3830" s="220" t="s">
        <v>2826</v>
      </c>
      <c r="D3830" s="220" t="s">
        <v>90</v>
      </c>
      <c r="E3830" s="165">
        <v>306</v>
      </c>
    </row>
    <row r="3831" spans="1:5" x14ac:dyDescent="0.25">
      <c r="A3831" s="216" t="s">
        <v>5420</v>
      </c>
      <c r="B3831" s="218">
        <v>1</v>
      </c>
      <c r="C3831" s="220" t="s">
        <v>5421</v>
      </c>
      <c r="D3831" s="220" t="s">
        <v>50</v>
      </c>
      <c r="E3831" s="165">
        <v>305</v>
      </c>
    </row>
    <row r="3832" spans="1:5" x14ac:dyDescent="0.25">
      <c r="A3832" s="216" t="s">
        <v>11211</v>
      </c>
      <c r="B3832" s="218">
        <v>1</v>
      </c>
      <c r="C3832" s="220" t="s">
        <v>11126</v>
      </c>
      <c r="D3832" s="220" t="s">
        <v>394</v>
      </c>
      <c r="E3832" s="165">
        <v>305</v>
      </c>
    </row>
    <row r="3833" spans="1:5" x14ac:dyDescent="0.25">
      <c r="A3833" s="216" t="s">
        <v>5305</v>
      </c>
      <c r="B3833" s="218">
        <v>1</v>
      </c>
      <c r="C3833" s="220" t="s">
        <v>5306</v>
      </c>
      <c r="D3833" s="220" t="s">
        <v>523</v>
      </c>
      <c r="E3833" s="165">
        <v>305</v>
      </c>
    </row>
    <row r="3834" spans="1:5" x14ac:dyDescent="0.25">
      <c r="A3834" s="216" t="s">
        <v>4869</v>
      </c>
      <c r="B3834" s="218">
        <v>1</v>
      </c>
      <c r="C3834" s="220" t="s">
        <v>4870</v>
      </c>
      <c r="D3834" s="220" t="s">
        <v>277</v>
      </c>
      <c r="E3834" s="165">
        <v>305</v>
      </c>
    </row>
    <row r="3835" spans="1:5" x14ac:dyDescent="0.25">
      <c r="A3835" s="216" t="s">
        <v>5492</v>
      </c>
      <c r="B3835" s="218">
        <v>1</v>
      </c>
      <c r="C3835" s="220" t="s">
        <v>86</v>
      </c>
      <c r="D3835" s="220" t="s">
        <v>78</v>
      </c>
      <c r="E3835" s="165">
        <v>305</v>
      </c>
    </row>
    <row r="3836" spans="1:5" x14ac:dyDescent="0.25">
      <c r="A3836" s="216" t="s">
        <v>6010</v>
      </c>
      <c r="B3836" s="218" t="s">
        <v>48</v>
      </c>
      <c r="C3836" s="220" t="s">
        <v>6011</v>
      </c>
      <c r="D3836" s="220" t="s">
        <v>50</v>
      </c>
      <c r="E3836" s="165">
        <v>305</v>
      </c>
    </row>
    <row r="3837" spans="1:5" x14ac:dyDescent="0.25">
      <c r="A3837" s="216" t="s">
        <v>3916</v>
      </c>
      <c r="B3837" s="218">
        <v>1</v>
      </c>
      <c r="C3837" s="220" t="s">
        <v>86</v>
      </c>
      <c r="D3837" s="220" t="s">
        <v>78</v>
      </c>
      <c r="E3837" s="165">
        <v>305</v>
      </c>
    </row>
    <row r="3838" spans="1:5" x14ac:dyDescent="0.25">
      <c r="A3838" s="216" t="s">
        <v>5576</v>
      </c>
      <c r="B3838" s="218">
        <v>1</v>
      </c>
      <c r="C3838" s="220" t="s">
        <v>814</v>
      </c>
      <c r="D3838" s="220" t="s">
        <v>66</v>
      </c>
      <c r="E3838" s="165">
        <v>305</v>
      </c>
    </row>
    <row r="3839" spans="1:5" x14ac:dyDescent="0.25">
      <c r="A3839" s="216" t="s">
        <v>4124</v>
      </c>
      <c r="B3839" s="218" t="s">
        <v>48</v>
      </c>
      <c r="C3839" s="220" t="s">
        <v>4125</v>
      </c>
      <c r="D3839" s="220" t="s">
        <v>166</v>
      </c>
      <c r="E3839" s="165">
        <v>305</v>
      </c>
    </row>
    <row r="3840" spans="1:5" x14ac:dyDescent="0.25">
      <c r="A3840" s="216" t="s">
        <v>5816</v>
      </c>
      <c r="B3840" s="218">
        <v>1</v>
      </c>
      <c r="C3840" s="220" t="s">
        <v>185</v>
      </c>
      <c r="D3840" s="220" t="s">
        <v>63</v>
      </c>
      <c r="E3840" s="165">
        <v>304</v>
      </c>
    </row>
    <row r="3841" spans="1:5" x14ac:dyDescent="0.25">
      <c r="A3841" s="216" t="s">
        <v>4640</v>
      </c>
      <c r="B3841" s="218" t="s">
        <v>48</v>
      </c>
      <c r="C3841" s="220" t="s">
        <v>4641</v>
      </c>
      <c r="D3841" s="220" t="s">
        <v>93</v>
      </c>
      <c r="E3841" s="165">
        <v>304</v>
      </c>
    </row>
    <row r="3842" spans="1:5" x14ac:dyDescent="0.25">
      <c r="A3842" s="216" t="s">
        <v>11212</v>
      </c>
      <c r="B3842" s="218">
        <v>1</v>
      </c>
      <c r="C3842" s="220" t="s">
        <v>120</v>
      </c>
      <c r="D3842" s="220" t="s">
        <v>72</v>
      </c>
      <c r="E3842" s="165">
        <v>303</v>
      </c>
    </row>
    <row r="3843" spans="1:5" x14ac:dyDescent="0.25">
      <c r="A3843" s="216" t="s">
        <v>5565</v>
      </c>
      <c r="B3843" s="218">
        <v>1</v>
      </c>
      <c r="C3843" s="220" t="s">
        <v>289</v>
      </c>
      <c r="D3843" s="220" t="s">
        <v>69</v>
      </c>
      <c r="E3843" s="165">
        <v>303</v>
      </c>
    </row>
    <row r="3844" spans="1:5" x14ac:dyDescent="0.25">
      <c r="A3844" s="216" t="s">
        <v>5380</v>
      </c>
      <c r="B3844" s="218">
        <v>1</v>
      </c>
      <c r="C3844" s="220" t="s">
        <v>640</v>
      </c>
      <c r="D3844" s="220" t="s">
        <v>69</v>
      </c>
      <c r="E3844" s="165">
        <v>303</v>
      </c>
    </row>
    <row r="3845" spans="1:5" x14ac:dyDescent="0.25">
      <c r="A3845" s="216" t="s">
        <v>4465</v>
      </c>
      <c r="B3845" s="218" t="s">
        <v>48</v>
      </c>
      <c r="C3845" s="220" t="s">
        <v>4466</v>
      </c>
      <c r="D3845" s="220" t="s">
        <v>75</v>
      </c>
      <c r="E3845" s="165">
        <v>303</v>
      </c>
    </row>
    <row r="3846" spans="1:5" x14ac:dyDescent="0.25">
      <c r="A3846" s="216" t="s">
        <v>5155</v>
      </c>
      <c r="B3846" s="218">
        <v>1</v>
      </c>
      <c r="C3846" s="220" t="s">
        <v>5156</v>
      </c>
      <c r="D3846" s="220" t="s">
        <v>93</v>
      </c>
      <c r="E3846" s="165">
        <v>303</v>
      </c>
    </row>
    <row r="3847" spans="1:5" x14ac:dyDescent="0.25">
      <c r="A3847" s="216" t="s">
        <v>5795</v>
      </c>
      <c r="B3847" s="218">
        <v>1</v>
      </c>
      <c r="C3847" s="220" t="s">
        <v>2374</v>
      </c>
      <c r="D3847" s="220" t="s">
        <v>188</v>
      </c>
      <c r="E3847" s="165">
        <v>303</v>
      </c>
    </row>
    <row r="3848" spans="1:5" x14ac:dyDescent="0.25">
      <c r="A3848" s="216" t="s">
        <v>4882</v>
      </c>
      <c r="B3848" s="218">
        <v>1</v>
      </c>
      <c r="C3848" s="220" t="s">
        <v>4883</v>
      </c>
      <c r="D3848" s="220" t="s">
        <v>201</v>
      </c>
      <c r="E3848" s="165">
        <v>303</v>
      </c>
    </row>
    <row r="3849" spans="1:5" x14ac:dyDescent="0.25">
      <c r="A3849" s="216" t="s">
        <v>5822</v>
      </c>
      <c r="B3849" s="218">
        <v>1</v>
      </c>
      <c r="C3849" s="220" t="s">
        <v>5823</v>
      </c>
      <c r="D3849" s="220" t="s">
        <v>87</v>
      </c>
      <c r="E3849" s="165">
        <v>303</v>
      </c>
    </row>
    <row r="3850" spans="1:5" x14ac:dyDescent="0.25">
      <c r="A3850" s="216" t="s">
        <v>6614</v>
      </c>
      <c r="B3850" s="218" t="s">
        <v>48</v>
      </c>
      <c r="C3850" s="220" t="s">
        <v>2641</v>
      </c>
      <c r="D3850" s="220" t="s">
        <v>50</v>
      </c>
      <c r="E3850" s="165">
        <v>303</v>
      </c>
    </row>
    <row r="3851" spans="1:5" x14ac:dyDescent="0.25">
      <c r="A3851" s="216" t="s">
        <v>7489</v>
      </c>
      <c r="B3851" s="218">
        <v>1</v>
      </c>
      <c r="C3851" s="220" t="s">
        <v>1583</v>
      </c>
      <c r="D3851" s="220" t="s">
        <v>188</v>
      </c>
      <c r="E3851" s="165">
        <v>303</v>
      </c>
    </row>
    <row r="3852" spans="1:5" x14ac:dyDescent="0.25">
      <c r="A3852" s="216" t="s">
        <v>5511</v>
      </c>
      <c r="B3852" s="218">
        <v>1</v>
      </c>
      <c r="C3852" s="220" t="s">
        <v>3728</v>
      </c>
      <c r="D3852" s="220" t="s">
        <v>188</v>
      </c>
      <c r="E3852" s="165">
        <v>303</v>
      </c>
    </row>
    <row r="3853" spans="1:5" x14ac:dyDescent="0.25">
      <c r="A3853" s="216" t="s">
        <v>5530</v>
      </c>
      <c r="B3853" s="218">
        <v>1</v>
      </c>
      <c r="C3853" s="220" t="s">
        <v>3830</v>
      </c>
      <c r="D3853" s="220" t="s">
        <v>56</v>
      </c>
      <c r="E3853" s="165">
        <v>303</v>
      </c>
    </row>
    <row r="3854" spans="1:5" x14ac:dyDescent="0.25">
      <c r="A3854" s="216" t="s">
        <v>5680</v>
      </c>
      <c r="B3854" s="218" t="s">
        <v>48</v>
      </c>
      <c r="C3854" s="220" t="s">
        <v>5681</v>
      </c>
      <c r="D3854" s="220" t="s">
        <v>98</v>
      </c>
      <c r="E3854" s="165">
        <v>303</v>
      </c>
    </row>
    <row r="3855" spans="1:5" x14ac:dyDescent="0.25">
      <c r="A3855" s="216" t="s">
        <v>5531</v>
      </c>
      <c r="B3855" s="218">
        <v>1</v>
      </c>
      <c r="C3855" s="220" t="s">
        <v>4504</v>
      </c>
      <c r="D3855" s="220" t="s">
        <v>56</v>
      </c>
      <c r="E3855" s="165">
        <v>303</v>
      </c>
    </row>
    <row r="3856" spans="1:5" x14ac:dyDescent="0.25">
      <c r="A3856" s="216" t="s">
        <v>5607</v>
      </c>
      <c r="B3856" s="218">
        <v>1</v>
      </c>
      <c r="C3856" s="220" t="s">
        <v>5608</v>
      </c>
      <c r="D3856" s="220" t="s">
        <v>192</v>
      </c>
      <c r="E3856" s="165">
        <v>303</v>
      </c>
    </row>
    <row r="3857" spans="1:5" x14ac:dyDescent="0.25">
      <c r="A3857" s="216" t="s">
        <v>5673</v>
      </c>
      <c r="B3857" s="218">
        <v>1</v>
      </c>
      <c r="C3857" s="220" t="s">
        <v>5674</v>
      </c>
      <c r="D3857" s="220" t="s">
        <v>63</v>
      </c>
      <c r="E3857" s="165">
        <v>303</v>
      </c>
    </row>
    <row r="3858" spans="1:5" x14ac:dyDescent="0.25">
      <c r="A3858" s="216" t="s">
        <v>5609</v>
      </c>
      <c r="B3858" s="218">
        <v>1</v>
      </c>
      <c r="C3858" s="220" t="s">
        <v>1647</v>
      </c>
      <c r="D3858" s="220" t="s">
        <v>98</v>
      </c>
      <c r="E3858" s="165">
        <v>302</v>
      </c>
    </row>
    <row r="3859" spans="1:5" x14ac:dyDescent="0.25">
      <c r="A3859" s="216" t="s">
        <v>6113</v>
      </c>
      <c r="B3859" s="218">
        <v>1</v>
      </c>
      <c r="C3859" s="220" t="s">
        <v>3346</v>
      </c>
      <c r="D3859" s="220" t="s">
        <v>236</v>
      </c>
      <c r="E3859" s="165">
        <v>302</v>
      </c>
    </row>
    <row r="3860" spans="1:5" x14ac:dyDescent="0.25">
      <c r="A3860" s="216" t="s">
        <v>11213</v>
      </c>
      <c r="B3860" s="218">
        <v>1</v>
      </c>
      <c r="C3860" s="220" t="s">
        <v>891</v>
      </c>
      <c r="D3860" s="220" t="s">
        <v>56</v>
      </c>
      <c r="E3860" s="165">
        <v>302</v>
      </c>
    </row>
    <row r="3861" spans="1:5" x14ac:dyDescent="0.25">
      <c r="A3861" s="216" t="s">
        <v>5921</v>
      </c>
      <c r="B3861" s="218" t="s">
        <v>48</v>
      </c>
      <c r="C3861" s="220" t="s">
        <v>5922</v>
      </c>
      <c r="D3861" s="220" t="s">
        <v>59</v>
      </c>
      <c r="E3861" s="165">
        <v>302</v>
      </c>
    </row>
    <row r="3862" spans="1:5" x14ac:dyDescent="0.25">
      <c r="A3862" s="216" t="s">
        <v>11214</v>
      </c>
      <c r="B3862" s="218">
        <v>1</v>
      </c>
      <c r="C3862" s="220" t="s">
        <v>270</v>
      </c>
      <c r="D3862" s="220" t="s">
        <v>177</v>
      </c>
      <c r="E3862" s="165">
        <v>302</v>
      </c>
    </row>
    <row r="3863" spans="1:5" x14ac:dyDescent="0.25">
      <c r="A3863" s="216" t="s">
        <v>5554</v>
      </c>
      <c r="B3863" s="218">
        <v>1</v>
      </c>
      <c r="C3863" s="220" t="s">
        <v>5555</v>
      </c>
      <c r="D3863" s="220" t="s">
        <v>72</v>
      </c>
      <c r="E3863" s="165">
        <v>302</v>
      </c>
    </row>
    <row r="3864" spans="1:5" x14ac:dyDescent="0.25">
      <c r="A3864" s="216" t="s">
        <v>5330</v>
      </c>
      <c r="B3864" s="218">
        <v>1</v>
      </c>
      <c r="C3864" s="220" t="s">
        <v>5331</v>
      </c>
      <c r="D3864" s="220" t="s">
        <v>63</v>
      </c>
      <c r="E3864" s="165">
        <v>302</v>
      </c>
    </row>
    <row r="3865" spans="1:5" x14ac:dyDescent="0.25">
      <c r="A3865" s="216" t="s">
        <v>4801</v>
      </c>
      <c r="B3865" s="218" t="s">
        <v>48</v>
      </c>
      <c r="C3865" s="220" t="s">
        <v>92</v>
      </c>
      <c r="D3865" s="220" t="s">
        <v>93</v>
      </c>
      <c r="E3865" s="165">
        <v>302</v>
      </c>
    </row>
    <row r="3866" spans="1:5" x14ac:dyDescent="0.25">
      <c r="A3866" s="216" t="s">
        <v>11215</v>
      </c>
      <c r="B3866" s="218">
        <v>1</v>
      </c>
      <c r="C3866" s="220" t="s">
        <v>179</v>
      </c>
      <c r="D3866" s="220" t="s">
        <v>66</v>
      </c>
      <c r="E3866" s="165">
        <v>301</v>
      </c>
    </row>
    <row r="3867" spans="1:5" x14ac:dyDescent="0.25">
      <c r="A3867" s="216" t="s">
        <v>5685</v>
      </c>
      <c r="B3867" s="218">
        <v>1</v>
      </c>
      <c r="C3867" s="220" t="s">
        <v>5686</v>
      </c>
      <c r="D3867" s="220" t="s">
        <v>63</v>
      </c>
      <c r="E3867" s="165">
        <v>301</v>
      </c>
    </row>
    <row r="3868" spans="1:5" x14ac:dyDescent="0.25">
      <c r="A3868" s="216" t="s">
        <v>5231</v>
      </c>
      <c r="B3868" s="218" t="s">
        <v>48</v>
      </c>
      <c r="C3868" s="220" t="s">
        <v>466</v>
      </c>
      <c r="D3868" s="220" t="s">
        <v>206</v>
      </c>
      <c r="E3868" s="165">
        <v>301</v>
      </c>
    </row>
    <row r="3869" spans="1:5" x14ac:dyDescent="0.25">
      <c r="A3869" s="216" t="s">
        <v>5775</v>
      </c>
      <c r="B3869" s="218">
        <v>1</v>
      </c>
      <c r="C3869" s="220" t="s">
        <v>154</v>
      </c>
      <c r="D3869" s="220" t="s">
        <v>56</v>
      </c>
      <c r="E3869" s="165">
        <v>301</v>
      </c>
    </row>
    <row r="3870" spans="1:5" x14ac:dyDescent="0.25">
      <c r="A3870" s="216" t="s">
        <v>5596</v>
      </c>
      <c r="B3870" s="218">
        <v>1</v>
      </c>
      <c r="C3870" s="220" t="s">
        <v>5597</v>
      </c>
      <c r="D3870" s="220" t="s">
        <v>66</v>
      </c>
      <c r="E3870" s="165">
        <v>301</v>
      </c>
    </row>
    <row r="3871" spans="1:5" x14ac:dyDescent="0.25">
      <c r="A3871" s="216" t="s">
        <v>5236</v>
      </c>
      <c r="B3871" s="218">
        <v>1</v>
      </c>
      <c r="C3871" s="220" t="s">
        <v>5237</v>
      </c>
      <c r="D3871" s="220" t="s">
        <v>272</v>
      </c>
      <c r="E3871" s="165">
        <v>301</v>
      </c>
    </row>
    <row r="3872" spans="1:5" x14ac:dyDescent="0.25">
      <c r="A3872" s="216" t="s">
        <v>5743</v>
      </c>
      <c r="B3872" s="218" t="s">
        <v>48</v>
      </c>
      <c r="C3872" s="220" t="s">
        <v>5744</v>
      </c>
      <c r="D3872" s="220" t="s">
        <v>1200</v>
      </c>
      <c r="E3872" s="165">
        <v>301</v>
      </c>
    </row>
    <row r="3873" spans="1:5" x14ac:dyDescent="0.25">
      <c r="A3873" s="216" t="s">
        <v>6443</v>
      </c>
      <c r="B3873" s="218">
        <v>1</v>
      </c>
      <c r="C3873" s="220" t="s">
        <v>6444</v>
      </c>
      <c r="D3873" s="220" t="s">
        <v>130</v>
      </c>
      <c r="E3873" s="165">
        <v>301</v>
      </c>
    </row>
    <row r="3874" spans="1:5" x14ac:dyDescent="0.25">
      <c r="A3874" s="216" t="s">
        <v>5776</v>
      </c>
      <c r="B3874" s="218">
        <v>1</v>
      </c>
      <c r="C3874" s="220" t="s">
        <v>5777</v>
      </c>
      <c r="D3874" s="220" t="s">
        <v>56</v>
      </c>
      <c r="E3874" s="165">
        <v>301</v>
      </c>
    </row>
    <row r="3875" spans="1:5" x14ac:dyDescent="0.25">
      <c r="A3875" s="216" t="s">
        <v>11216</v>
      </c>
      <c r="B3875" s="218">
        <v>1</v>
      </c>
      <c r="C3875" s="220" t="s">
        <v>409</v>
      </c>
      <c r="D3875" s="220" t="s">
        <v>72</v>
      </c>
      <c r="E3875" s="165">
        <v>301</v>
      </c>
    </row>
    <row r="3876" spans="1:5" x14ac:dyDescent="0.25">
      <c r="A3876" s="216" t="s">
        <v>6155</v>
      </c>
      <c r="B3876" s="218">
        <v>1</v>
      </c>
      <c r="C3876" s="220" t="s">
        <v>2404</v>
      </c>
      <c r="D3876" s="220" t="s">
        <v>264</v>
      </c>
      <c r="E3876" s="165">
        <v>301</v>
      </c>
    </row>
    <row r="3877" spans="1:5" x14ac:dyDescent="0.25">
      <c r="A3877" s="216" t="s">
        <v>5585</v>
      </c>
      <c r="B3877" s="218">
        <v>1</v>
      </c>
      <c r="C3877" s="220" t="s">
        <v>65</v>
      </c>
      <c r="D3877" s="220" t="s">
        <v>66</v>
      </c>
      <c r="E3877" s="165">
        <v>301</v>
      </c>
    </row>
    <row r="3878" spans="1:5" x14ac:dyDescent="0.25">
      <c r="A3878" s="216" t="s">
        <v>11217</v>
      </c>
      <c r="B3878" s="218">
        <v>1</v>
      </c>
      <c r="C3878" s="220" t="s">
        <v>1909</v>
      </c>
      <c r="D3878" s="220" t="s">
        <v>56</v>
      </c>
      <c r="E3878" s="165">
        <v>301</v>
      </c>
    </row>
    <row r="3879" spans="1:5" x14ac:dyDescent="0.25">
      <c r="A3879" s="216" t="s">
        <v>5374</v>
      </c>
      <c r="B3879" s="218">
        <v>1</v>
      </c>
      <c r="C3879" s="220" t="s">
        <v>5375</v>
      </c>
      <c r="D3879" s="220" t="s">
        <v>142</v>
      </c>
      <c r="E3879" s="165">
        <v>301</v>
      </c>
    </row>
    <row r="3880" spans="1:5" x14ac:dyDescent="0.25">
      <c r="A3880" s="216" t="s">
        <v>5999</v>
      </c>
      <c r="B3880" s="218" t="s">
        <v>48</v>
      </c>
      <c r="C3880" s="220" t="s">
        <v>6000</v>
      </c>
      <c r="D3880" s="220" t="s">
        <v>63</v>
      </c>
      <c r="E3880" s="165">
        <v>300</v>
      </c>
    </row>
    <row r="3881" spans="1:5" x14ac:dyDescent="0.25">
      <c r="A3881" s="216" t="s">
        <v>3962</v>
      </c>
      <c r="B3881" s="218" t="s">
        <v>48</v>
      </c>
      <c r="C3881" s="220" t="s">
        <v>1614</v>
      </c>
      <c r="D3881" s="220" t="s">
        <v>93</v>
      </c>
      <c r="E3881" s="165">
        <v>300</v>
      </c>
    </row>
    <row r="3882" spans="1:5" x14ac:dyDescent="0.25">
      <c r="A3882" s="216" t="s">
        <v>4968</v>
      </c>
      <c r="B3882" s="218" t="s">
        <v>48</v>
      </c>
      <c r="C3882" s="220" t="s">
        <v>593</v>
      </c>
      <c r="D3882" s="220" t="s">
        <v>206</v>
      </c>
      <c r="E3882" s="165">
        <v>300</v>
      </c>
    </row>
    <row r="3883" spans="1:5" x14ac:dyDescent="0.25">
      <c r="A3883" s="216" t="s">
        <v>5073</v>
      </c>
      <c r="B3883" s="218" t="s">
        <v>48</v>
      </c>
      <c r="C3883" s="220" t="s">
        <v>988</v>
      </c>
      <c r="D3883" s="220" t="s">
        <v>69</v>
      </c>
      <c r="E3883" s="165">
        <v>300</v>
      </c>
    </row>
    <row r="3884" spans="1:5" x14ac:dyDescent="0.25">
      <c r="A3884" s="216" t="s">
        <v>7158</v>
      </c>
      <c r="B3884" s="218" t="s">
        <v>48</v>
      </c>
      <c r="C3884" s="220" t="s">
        <v>5941</v>
      </c>
      <c r="D3884" s="220" t="s">
        <v>348</v>
      </c>
      <c r="E3884" s="165">
        <v>300</v>
      </c>
    </row>
    <row r="3885" spans="1:5" x14ac:dyDescent="0.25">
      <c r="A3885" s="216" t="s">
        <v>7237</v>
      </c>
      <c r="B3885" s="218" t="s">
        <v>48</v>
      </c>
      <c r="C3885" s="220" t="s">
        <v>11218</v>
      </c>
      <c r="D3885" s="220" t="s">
        <v>139</v>
      </c>
      <c r="E3885" s="165">
        <v>300</v>
      </c>
    </row>
    <row r="3886" spans="1:5" x14ac:dyDescent="0.25">
      <c r="A3886" s="216" t="s">
        <v>11219</v>
      </c>
      <c r="B3886" s="218" t="s">
        <v>48</v>
      </c>
      <c r="C3886" s="220" t="s">
        <v>251</v>
      </c>
      <c r="D3886" s="220" t="s">
        <v>98</v>
      </c>
      <c r="E3886" s="165">
        <v>300</v>
      </c>
    </row>
    <row r="3887" spans="1:5" x14ac:dyDescent="0.25">
      <c r="A3887" s="216" t="s">
        <v>4617</v>
      </c>
      <c r="B3887" s="218" t="s">
        <v>48</v>
      </c>
      <c r="C3887" s="220" t="s">
        <v>1551</v>
      </c>
      <c r="D3887" s="220" t="s">
        <v>50</v>
      </c>
      <c r="E3887" s="165">
        <v>300</v>
      </c>
    </row>
    <row r="3888" spans="1:5" x14ac:dyDescent="0.25">
      <c r="A3888" s="216" t="s">
        <v>10569</v>
      </c>
      <c r="B3888" s="218" t="s">
        <v>48</v>
      </c>
      <c r="C3888" s="220" t="s">
        <v>90</v>
      </c>
      <c r="D3888" s="220" t="s">
        <v>166</v>
      </c>
      <c r="E3888" s="165">
        <v>300</v>
      </c>
    </row>
    <row r="3889" spans="1:5" x14ac:dyDescent="0.25">
      <c r="A3889" s="216" t="s">
        <v>6243</v>
      </c>
      <c r="B3889" s="218" t="s">
        <v>48</v>
      </c>
      <c r="C3889" s="220" t="s">
        <v>6244</v>
      </c>
      <c r="D3889" s="220" t="s">
        <v>188</v>
      </c>
      <c r="E3889" s="165">
        <v>300</v>
      </c>
    </row>
    <row r="3890" spans="1:5" x14ac:dyDescent="0.25">
      <c r="A3890" s="216" t="s">
        <v>7993</v>
      </c>
      <c r="B3890" s="218" t="s">
        <v>48</v>
      </c>
      <c r="C3890" s="220" t="s">
        <v>5001</v>
      </c>
      <c r="D3890" s="220" t="s">
        <v>166</v>
      </c>
      <c r="E3890" s="165">
        <v>300</v>
      </c>
    </row>
    <row r="3891" spans="1:5" x14ac:dyDescent="0.25">
      <c r="A3891" s="216" t="s">
        <v>11220</v>
      </c>
      <c r="B3891" s="218" t="s">
        <v>48</v>
      </c>
      <c r="C3891" s="220" t="s">
        <v>6641</v>
      </c>
      <c r="D3891" s="220" t="s">
        <v>523</v>
      </c>
      <c r="E3891" s="165">
        <v>300</v>
      </c>
    </row>
    <row r="3892" spans="1:5" x14ac:dyDescent="0.25">
      <c r="A3892" s="216" t="s">
        <v>4006</v>
      </c>
      <c r="B3892" s="218" t="s">
        <v>48</v>
      </c>
      <c r="C3892" s="220" t="s">
        <v>4007</v>
      </c>
      <c r="D3892" s="220" t="s">
        <v>56</v>
      </c>
      <c r="E3892" s="165">
        <v>300</v>
      </c>
    </row>
    <row r="3893" spans="1:5" x14ac:dyDescent="0.25">
      <c r="A3893" s="216" t="s">
        <v>5946</v>
      </c>
      <c r="B3893" s="218" t="s">
        <v>48</v>
      </c>
      <c r="C3893" s="220" t="s">
        <v>5947</v>
      </c>
      <c r="D3893" s="220" t="s">
        <v>192</v>
      </c>
      <c r="E3893" s="165">
        <v>300</v>
      </c>
    </row>
    <row r="3894" spans="1:5" x14ac:dyDescent="0.25">
      <c r="A3894" s="216" t="s">
        <v>4600</v>
      </c>
      <c r="B3894" s="218">
        <v>1</v>
      </c>
      <c r="C3894" s="220" t="s">
        <v>4601</v>
      </c>
      <c r="D3894" s="220" t="s">
        <v>166</v>
      </c>
      <c r="E3894" s="165">
        <v>300</v>
      </c>
    </row>
    <row r="3895" spans="1:5" x14ac:dyDescent="0.25">
      <c r="A3895" s="216" t="s">
        <v>11221</v>
      </c>
      <c r="B3895" s="218" t="s">
        <v>48</v>
      </c>
      <c r="C3895" s="220" t="s">
        <v>9942</v>
      </c>
      <c r="D3895" s="220" t="s">
        <v>277</v>
      </c>
      <c r="E3895" s="165">
        <v>300</v>
      </c>
    </row>
    <row r="3896" spans="1:5" x14ac:dyDescent="0.25">
      <c r="A3896" s="216" t="s">
        <v>5602</v>
      </c>
      <c r="B3896" s="218" t="s">
        <v>48</v>
      </c>
      <c r="C3896" s="220" t="s">
        <v>627</v>
      </c>
      <c r="D3896" s="220" t="s">
        <v>93</v>
      </c>
      <c r="E3896" s="165">
        <v>300</v>
      </c>
    </row>
    <row r="3897" spans="1:5" x14ac:dyDescent="0.25">
      <c r="A3897" s="216" t="s">
        <v>6079</v>
      </c>
      <c r="B3897" s="218" t="s">
        <v>48</v>
      </c>
      <c r="C3897" s="220" t="s">
        <v>6080</v>
      </c>
      <c r="D3897" s="220" t="s">
        <v>236</v>
      </c>
      <c r="E3897" s="165">
        <v>300</v>
      </c>
    </row>
    <row r="3898" spans="1:5" x14ac:dyDescent="0.25">
      <c r="A3898" s="216" t="s">
        <v>4001</v>
      </c>
      <c r="B3898" s="218" t="s">
        <v>48</v>
      </c>
      <c r="C3898" s="220" t="s">
        <v>3423</v>
      </c>
      <c r="D3898" s="220" t="s">
        <v>69</v>
      </c>
      <c r="E3898" s="165">
        <v>300</v>
      </c>
    </row>
    <row r="3899" spans="1:5" x14ac:dyDescent="0.25">
      <c r="A3899" s="216" t="s">
        <v>10216</v>
      </c>
      <c r="B3899" s="218" t="s">
        <v>48</v>
      </c>
      <c r="C3899" s="220" t="s">
        <v>1420</v>
      </c>
      <c r="D3899" s="220" t="s">
        <v>98</v>
      </c>
      <c r="E3899" s="165">
        <v>300</v>
      </c>
    </row>
    <row r="3900" spans="1:5" x14ac:dyDescent="0.25">
      <c r="A3900" s="216" t="s">
        <v>5796</v>
      </c>
      <c r="B3900" s="218" t="s">
        <v>48</v>
      </c>
      <c r="C3900" s="220" t="s">
        <v>2347</v>
      </c>
      <c r="D3900" s="220" t="s">
        <v>72</v>
      </c>
      <c r="E3900" s="165">
        <v>300</v>
      </c>
    </row>
    <row r="3901" spans="1:5" x14ac:dyDescent="0.25">
      <c r="A3901" s="216" t="s">
        <v>8524</v>
      </c>
      <c r="B3901" s="218" t="s">
        <v>48</v>
      </c>
      <c r="C3901" s="220" t="s">
        <v>2978</v>
      </c>
      <c r="D3901" s="220" t="s">
        <v>66</v>
      </c>
      <c r="E3901" s="165">
        <v>300</v>
      </c>
    </row>
    <row r="3902" spans="1:5" x14ac:dyDescent="0.25">
      <c r="A3902" s="216" t="s">
        <v>4544</v>
      </c>
      <c r="B3902" s="218" t="s">
        <v>48</v>
      </c>
      <c r="C3902" s="220" t="s">
        <v>4545</v>
      </c>
      <c r="D3902" s="220" t="s">
        <v>188</v>
      </c>
      <c r="E3902" s="165">
        <v>300</v>
      </c>
    </row>
    <row r="3903" spans="1:5" x14ac:dyDescent="0.25">
      <c r="A3903" s="216" t="s">
        <v>6668</v>
      </c>
      <c r="B3903" s="218" t="s">
        <v>48</v>
      </c>
      <c r="C3903" s="220" t="s">
        <v>6669</v>
      </c>
      <c r="D3903" s="220" t="s">
        <v>486</v>
      </c>
      <c r="E3903" s="165">
        <v>300</v>
      </c>
    </row>
    <row r="3904" spans="1:5" x14ac:dyDescent="0.25">
      <c r="A3904" s="216" t="s">
        <v>5133</v>
      </c>
      <c r="B3904" s="218" t="s">
        <v>48</v>
      </c>
      <c r="C3904" s="220" t="s">
        <v>522</v>
      </c>
      <c r="D3904" s="220" t="s">
        <v>523</v>
      </c>
      <c r="E3904" s="165">
        <v>300</v>
      </c>
    </row>
    <row r="3905" spans="1:5" x14ac:dyDescent="0.25">
      <c r="A3905" s="216" t="s">
        <v>5754</v>
      </c>
      <c r="B3905" s="218">
        <v>1</v>
      </c>
      <c r="C3905" s="220" t="s">
        <v>3970</v>
      </c>
      <c r="D3905" s="220" t="s">
        <v>166</v>
      </c>
      <c r="E3905" s="165">
        <v>300</v>
      </c>
    </row>
    <row r="3906" spans="1:5" x14ac:dyDescent="0.25">
      <c r="A3906" s="216" t="s">
        <v>5724</v>
      </c>
      <c r="B3906" s="218" t="s">
        <v>48</v>
      </c>
      <c r="C3906" s="220" t="s">
        <v>5725</v>
      </c>
      <c r="D3906" s="220" t="s">
        <v>63</v>
      </c>
      <c r="E3906" s="165">
        <v>300</v>
      </c>
    </row>
    <row r="3907" spans="1:5" x14ac:dyDescent="0.25">
      <c r="A3907" s="216" t="s">
        <v>7519</v>
      </c>
      <c r="B3907" s="218" t="s">
        <v>48</v>
      </c>
      <c r="C3907" s="220" t="s">
        <v>7215</v>
      </c>
      <c r="D3907" s="220" t="s">
        <v>188</v>
      </c>
      <c r="E3907" s="165">
        <v>300</v>
      </c>
    </row>
    <row r="3908" spans="1:5" x14ac:dyDescent="0.25">
      <c r="A3908" s="216" t="s">
        <v>11222</v>
      </c>
      <c r="B3908" s="218" t="s">
        <v>48</v>
      </c>
      <c r="C3908" s="220" t="s">
        <v>1111</v>
      </c>
      <c r="D3908" s="220" t="s">
        <v>118</v>
      </c>
      <c r="E3908" s="165">
        <v>300</v>
      </c>
    </row>
    <row r="3909" spans="1:5" x14ac:dyDescent="0.25">
      <c r="A3909" s="216" t="s">
        <v>5981</v>
      </c>
      <c r="B3909" s="218" t="s">
        <v>48</v>
      </c>
      <c r="C3909" s="220" t="s">
        <v>5982</v>
      </c>
      <c r="D3909" s="220" t="s">
        <v>139</v>
      </c>
      <c r="E3909" s="165">
        <v>300</v>
      </c>
    </row>
    <row r="3910" spans="1:5" x14ac:dyDescent="0.25">
      <c r="A3910" s="216" t="s">
        <v>5631</v>
      </c>
      <c r="B3910" s="218">
        <v>1</v>
      </c>
      <c r="C3910" s="220" t="s">
        <v>5632</v>
      </c>
      <c r="D3910" s="220" t="s">
        <v>192</v>
      </c>
      <c r="E3910" s="165">
        <v>300</v>
      </c>
    </row>
    <row r="3911" spans="1:5" x14ac:dyDescent="0.25">
      <c r="A3911" s="216" t="s">
        <v>7572</v>
      </c>
      <c r="B3911" s="218" t="s">
        <v>48</v>
      </c>
      <c r="C3911" s="220" t="s">
        <v>5713</v>
      </c>
      <c r="D3911" s="220" t="s">
        <v>50</v>
      </c>
      <c r="E3911" s="165">
        <v>300</v>
      </c>
    </row>
    <row r="3912" spans="1:5" x14ac:dyDescent="0.25">
      <c r="A3912" s="216" t="s">
        <v>5756</v>
      </c>
      <c r="B3912" s="218" t="s">
        <v>48</v>
      </c>
      <c r="C3912" s="220" t="s">
        <v>4483</v>
      </c>
      <c r="D3912" s="220" t="s">
        <v>72</v>
      </c>
      <c r="E3912" s="165">
        <v>300</v>
      </c>
    </row>
    <row r="3913" spans="1:5" x14ac:dyDescent="0.25">
      <c r="A3913" s="216" t="s">
        <v>10829</v>
      </c>
      <c r="B3913" s="218" t="s">
        <v>48</v>
      </c>
      <c r="C3913" s="220" t="s">
        <v>2784</v>
      </c>
      <c r="D3913" s="220" t="s">
        <v>53</v>
      </c>
      <c r="E3913" s="165">
        <v>300</v>
      </c>
    </row>
    <row r="3914" spans="1:5" x14ac:dyDescent="0.25">
      <c r="A3914" s="216" t="s">
        <v>7714</v>
      </c>
      <c r="B3914" s="218" t="s">
        <v>48</v>
      </c>
      <c r="C3914" s="220" t="s">
        <v>7715</v>
      </c>
      <c r="D3914" s="220" t="s">
        <v>98</v>
      </c>
      <c r="E3914" s="165">
        <v>300</v>
      </c>
    </row>
    <row r="3915" spans="1:5" x14ac:dyDescent="0.25">
      <c r="A3915" s="216" t="s">
        <v>11223</v>
      </c>
      <c r="B3915" s="218" t="s">
        <v>48</v>
      </c>
      <c r="C3915" s="220" t="s">
        <v>11224</v>
      </c>
      <c r="D3915" s="220" t="s">
        <v>93</v>
      </c>
      <c r="E3915" s="165">
        <v>300</v>
      </c>
    </row>
    <row r="3916" spans="1:5" x14ac:dyDescent="0.25">
      <c r="A3916" s="216" t="s">
        <v>5577</v>
      </c>
      <c r="B3916" s="218">
        <v>1</v>
      </c>
      <c r="C3916" s="220" t="s">
        <v>1247</v>
      </c>
      <c r="D3916" s="220" t="s">
        <v>56</v>
      </c>
      <c r="E3916" s="165">
        <v>299</v>
      </c>
    </row>
    <row r="3917" spans="1:5" x14ac:dyDescent="0.25">
      <c r="A3917" s="216" t="s">
        <v>11225</v>
      </c>
      <c r="B3917" s="218" t="s">
        <v>48</v>
      </c>
      <c r="C3917" s="220" t="s">
        <v>11226</v>
      </c>
      <c r="D3917" s="220" t="s">
        <v>192</v>
      </c>
      <c r="E3917" s="165">
        <v>299</v>
      </c>
    </row>
    <row r="3918" spans="1:5" x14ac:dyDescent="0.25">
      <c r="A3918" s="216" t="s">
        <v>4730</v>
      </c>
      <c r="B3918" s="218" t="s">
        <v>48</v>
      </c>
      <c r="C3918" s="220" t="s">
        <v>4731</v>
      </c>
      <c r="D3918" s="220" t="s">
        <v>348</v>
      </c>
      <c r="E3918" s="165">
        <v>299</v>
      </c>
    </row>
    <row r="3919" spans="1:5" x14ac:dyDescent="0.25">
      <c r="A3919" s="216" t="s">
        <v>5560</v>
      </c>
      <c r="B3919" s="218" t="s">
        <v>48</v>
      </c>
      <c r="C3919" s="220" t="s">
        <v>11227</v>
      </c>
      <c r="D3919" s="220" t="s">
        <v>66</v>
      </c>
      <c r="E3919" s="165">
        <v>299</v>
      </c>
    </row>
    <row r="3920" spans="1:5" x14ac:dyDescent="0.25">
      <c r="A3920" s="216" t="s">
        <v>5581</v>
      </c>
      <c r="B3920" s="218">
        <v>1</v>
      </c>
      <c r="C3920" s="220" t="s">
        <v>5582</v>
      </c>
      <c r="D3920" s="220" t="s">
        <v>56</v>
      </c>
      <c r="E3920" s="165">
        <v>299</v>
      </c>
    </row>
    <row r="3921" spans="1:5" x14ac:dyDescent="0.25">
      <c r="A3921" s="216" t="s">
        <v>5166</v>
      </c>
      <c r="B3921" s="218">
        <v>1</v>
      </c>
      <c r="C3921" s="220" t="s">
        <v>5167</v>
      </c>
      <c r="D3921" s="220" t="s">
        <v>139</v>
      </c>
      <c r="E3921" s="165">
        <v>299</v>
      </c>
    </row>
    <row r="3922" spans="1:5" x14ac:dyDescent="0.25">
      <c r="A3922" s="216" t="s">
        <v>6454</v>
      </c>
      <c r="B3922" s="218">
        <v>1</v>
      </c>
      <c r="C3922" s="220" t="s">
        <v>5416</v>
      </c>
      <c r="D3922" s="220" t="s">
        <v>523</v>
      </c>
      <c r="E3922" s="165">
        <v>299</v>
      </c>
    </row>
    <row r="3923" spans="1:5" x14ac:dyDescent="0.25">
      <c r="A3923" s="216" t="s">
        <v>2544</v>
      </c>
      <c r="B3923" s="218" t="s">
        <v>48</v>
      </c>
      <c r="C3923" s="220" t="s">
        <v>58</v>
      </c>
      <c r="D3923" s="220" t="s">
        <v>59</v>
      </c>
      <c r="E3923" s="165">
        <v>299</v>
      </c>
    </row>
    <row r="3924" spans="1:5" x14ac:dyDescent="0.25">
      <c r="A3924" s="216" t="s">
        <v>5527</v>
      </c>
      <c r="B3924" s="218" t="s">
        <v>48</v>
      </c>
      <c r="C3924" s="220" t="s">
        <v>5528</v>
      </c>
      <c r="D3924" s="220" t="s">
        <v>72</v>
      </c>
      <c r="E3924" s="165">
        <v>298</v>
      </c>
    </row>
    <row r="3925" spans="1:5" x14ac:dyDescent="0.25">
      <c r="A3925" s="216" t="s">
        <v>5427</v>
      </c>
      <c r="B3925" s="218">
        <v>1</v>
      </c>
      <c r="C3925" s="220" t="s">
        <v>347</v>
      </c>
      <c r="D3925" s="220" t="s">
        <v>348</v>
      </c>
      <c r="E3925" s="165">
        <v>298</v>
      </c>
    </row>
    <row r="3926" spans="1:5" x14ac:dyDescent="0.25">
      <c r="A3926" s="216" t="s">
        <v>5718</v>
      </c>
      <c r="B3926" s="218">
        <v>1</v>
      </c>
      <c r="C3926" s="220" t="s">
        <v>5719</v>
      </c>
      <c r="D3926" s="220" t="s">
        <v>63</v>
      </c>
      <c r="E3926" s="165">
        <v>298</v>
      </c>
    </row>
    <row r="3927" spans="1:5" x14ac:dyDescent="0.25">
      <c r="A3927" s="216" t="s">
        <v>5720</v>
      </c>
      <c r="B3927" s="218">
        <v>1</v>
      </c>
      <c r="C3927" s="220" t="s">
        <v>5721</v>
      </c>
      <c r="D3927" s="220" t="s">
        <v>63</v>
      </c>
      <c r="E3927" s="165">
        <v>298</v>
      </c>
    </row>
    <row r="3928" spans="1:5" x14ac:dyDescent="0.25">
      <c r="A3928" s="216" t="s">
        <v>5387</v>
      </c>
      <c r="B3928" s="218">
        <v>1</v>
      </c>
      <c r="C3928" s="220" t="s">
        <v>1826</v>
      </c>
      <c r="D3928" s="220" t="s">
        <v>394</v>
      </c>
      <c r="E3928" s="165">
        <v>298</v>
      </c>
    </row>
    <row r="3929" spans="1:5" x14ac:dyDescent="0.25">
      <c r="A3929" s="216" t="s">
        <v>5630</v>
      </c>
      <c r="B3929" s="218" t="s">
        <v>48</v>
      </c>
      <c r="C3929" s="220" t="s">
        <v>4560</v>
      </c>
      <c r="D3929" s="220" t="s">
        <v>82</v>
      </c>
      <c r="E3929" s="165">
        <v>298</v>
      </c>
    </row>
    <row r="3930" spans="1:5" x14ac:dyDescent="0.25">
      <c r="A3930" s="216" t="s">
        <v>5726</v>
      </c>
      <c r="B3930" s="218">
        <v>1</v>
      </c>
      <c r="C3930" s="220" t="s">
        <v>1431</v>
      </c>
      <c r="D3930" s="220" t="s">
        <v>63</v>
      </c>
      <c r="E3930" s="165">
        <v>298</v>
      </c>
    </row>
    <row r="3931" spans="1:5" x14ac:dyDescent="0.25">
      <c r="A3931" s="216" t="s">
        <v>3731</v>
      </c>
      <c r="B3931" s="218">
        <v>1</v>
      </c>
      <c r="C3931" s="220" t="s">
        <v>300</v>
      </c>
      <c r="D3931" s="220" t="s">
        <v>69</v>
      </c>
      <c r="E3931" s="165">
        <v>298</v>
      </c>
    </row>
    <row r="3932" spans="1:5" x14ac:dyDescent="0.25">
      <c r="A3932" s="216" t="s">
        <v>4303</v>
      </c>
      <c r="B3932" s="218">
        <v>1</v>
      </c>
      <c r="C3932" s="220" t="s">
        <v>4304</v>
      </c>
      <c r="D3932" s="220" t="s">
        <v>56</v>
      </c>
      <c r="E3932" s="165">
        <v>297</v>
      </c>
    </row>
    <row r="3933" spans="1:5" x14ac:dyDescent="0.25">
      <c r="A3933" s="216" t="s">
        <v>5284</v>
      </c>
      <c r="B3933" s="218" t="s">
        <v>48</v>
      </c>
      <c r="C3933" s="220" t="s">
        <v>5285</v>
      </c>
      <c r="D3933" s="220" t="s">
        <v>108</v>
      </c>
      <c r="E3933" s="165">
        <v>297</v>
      </c>
    </row>
    <row r="3934" spans="1:5" x14ac:dyDescent="0.25">
      <c r="A3934" s="216" t="s">
        <v>5489</v>
      </c>
      <c r="B3934" s="218">
        <v>1</v>
      </c>
      <c r="C3934" s="220" t="s">
        <v>5490</v>
      </c>
      <c r="D3934" s="220" t="s">
        <v>50</v>
      </c>
      <c r="E3934" s="165">
        <v>297</v>
      </c>
    </row>
    <row r="3935" spans="1:5" x14ac:dyDescent="0.25">
      <c r="A3935" s="216" t="s">
        <v>5502</v>
      </c>
      <c r="B3935" s="218">
        <v>1</v>
      </c>
      <c r="C3935" s="220" t="s">
        <v>5503</v>
      </c>
      <c r="D3935" s="220" t="s">
        <v>50</v>
      </c>
      <c r="E3935" s="165">
        <v>297</v>
      </c>
    </row>
    <row r="3936" spans="1:5" x14ac:dyDescent="0.25">
      <c r="A3936" s="216" t="s">
        <v>5616</v>
      </c>
      <c r="B3936" s="218">
        <v>1</v>
      </c>
      <c r="C3936" s="220" t="s">
        <v>2908</v>
      </c>
      <c r="D3936" s="220" t="s">
        <v>192</v>
      </c>
      <c r="E3936" s="165">
        <v>297</v>
      </c>
    </row>
    <row r="3937" spans="1:5" x14ac:dyDescent="0.25">
      <c r="A3937" s="216" t="s">
        <v>7297</v>
      </c>
      <c r="B3937" s="218" t="s">
        <v>48</v>
      </c>
      <c r="C3937" s="220" t="s">
        <v>7199</v>
      </c>
      <c r="D3937" s="220" t="s">
        <v>166</v>
      </c>
      <c r="E3937" s="165">
        <v>296</v>
      </c>
    </row>
    <row r="3938" spans="1:5" x14ac:dyDescent="0.25">
      <c r="A3938" s="216" t="s">
        <v>9629</v>
      </c>
      <c r="B3938" s="218">
        <v>1</v>
      </c>
      <c r="C3938" s="220" t="s">
        <v>1768</v>
      </c>
      <c r="D3938" s="220" t="s">
        <v>130</v>
      </c>
      <c r="E3938" s="165">
        <v>296</v>
      </c>
    </row>
    <row r="3939" spans="1:5" x14ac:dyDescent="0.25">
      <c r="A3939" s="216" t="s">
        <v>5810</v>
      </c>
      <c r="B3939" s="218">
        <v>1</v>
      </c>
      <c r="C3939" s="220" t="s">
        <v>270</v>
      </c>
      <c r="D3939" s="220" t="s">
        <v>177</v>
      </c>
      <c r="E3939" s="165">
        <v>296</v>
      </c>
    </row>
    <row r="3940" spans="1:5" x14ac:dyDescent="0.25">
      <c r="A3940" s="216" t="s">
        <v>5811</v>
      </c>
      <c r="B3940" s="218">
        <v>1</v>
      </c>
      <c r="C3940" s="220" t="s">
        <v>270</v>
      </c>
      <c r="D3940" s="220" t="s">
        <v>177</v>
      </c>
      <c r="E3940" s="165">
        <v>296</v>
      </c>
    </row>
    <row r="3941" spans="1:5" x14ac:dyDescent="0.25">
      <c r="A3941" s="216" t="s">
        <v>5454</v>
      </c>
      <c r="B3941" s="218">
        <v>1</v>
      </c>
      <c r="C3941" s="220" t="s">
        <v>5455</v>
      </c>
      <c r="D3941" s="220" t="s">
        <v>201</v>
      </c>
      <c r="E3941" s="165">
        <v>296</v>
      </c>
    </row>
    <row r="3942" spans="1:5" x14ac:dyDescent="0.25">
      <c r="A3942" s="216" t="s">
        <v>6354</v>
      </c>
      <c r="B3942" s="218" t="s">
        <v>48</v>
      </c>
      <c r="C3942" s="220" t="s">
        <v>3154</v>
      </c>
      <c r="D3942" s="220" t="s">
        <v>166</v>
      </c>
      <c r="E3942" s="165">
        <v>296</v>
      </c>
    </row>
    <row r="3943" spans="1:5" x14ac:dyDescent="0.25">
      <c r="A3943" s="216" t="s">
        <v>5056</v>
      </c>
      <c r="B3943" s="218">
        <v>1</v>
      </c>
      <c r="C3943" s="220" t="s">
        <v>5057</v>
      </c>
      <c r="D3943" s="220" t="s">
        <v>82</v>
      </c>
      <c r="E3943" s="165">
        <v>296</v>
      </c>
    </row>
    <row r="3944" spans="1:5" x14ac:dyDescent="0.25">
      <c r="A3944" s="216" t="s">
        <v>2966</v>
      </c>
      <c r="B3944" s="218" t="s">
        <v>48</v>
      </c>
      <c r="C3944" s="220" t="s">
        <v>1017</v>
      </c>
      <c r="D3944" s="220" t="s">
        <v>337</v>
      </c>
      <c r="E3944" s="165">
        <v>296</v>
      </c>
    </row>
    <row r="3945" spans="1:5" x14ac:dyDescent="0.25">
      <c r="A3945" s="216" t="s">
        <v>5621</v>
      </c>
      <c r="B3945" s="218">
        <v>1</v>
      </c>
      <c r="C3945" s="220" t="s">
        <v>640</v>
      </c>
      <c r="D3945" s="220" t="s">
        <v>69</v>
      </c>
      <c r="E3945" s="165">
        <v>295</v>
      </c>
    </row>
    <row r="3946" spans="1:5" x14ac:dyDescent="0.25">
      <c r="A3946" s="216" t="s">
        <v>5956</v>
      </c>
      <c r="B3946" s="218" t="s">
        <v>48</v>
      </c>
      <c r="C3946" s="220" t="s">
        <v>1293</v>
      </c>
      <c r="D3946" s="220" t="s">
        <v>166</v>
      </c>
      <c r="E3946" s="165">
        <v>295</v>
      </c>
    </row>
    <row r="3947" spans="1:5" x14ac:dyDescent="0.25">
      <c r="A3947" s="216" t="s">
        <v>5622</v>
      </c>
      <c r="B3947" s="218">
        <v>1</v>
      </c>
      <c r="C3947" s="220" t="s">
        <v>289</v>
      </c>
      <c r="D3947" s="220" t="s">
        <v>69</v>
      </c>
      <c r="E3947" s="165">
        <v>295</v>
      </c>
    </row>
    <row r="3948" spans="1:5" x14ac:dyDescent="0.25">
      <c r="A3948" s="216" t="s">
        <v>5121</v>
      </c>
      <c r="B3948" s="218">
        <v>1</v>
      </c>
      <c r="C3948" s="220" t="s">
        <v>5122</v>
      </c>
      <c r="D3948" s="220" t="s">
        <v>59</v>
      </c>
      <c r="E3948" s="165">
        <v>295</v>
      </c>
    </row>
    <row r="3949" spans="1:5" x14ac:dyDescent="0.25">
      <c r="A3949" s="216" t="s">
        <v>11228</v>
      </c>
      <c r="B3949" s="218">
        <v>1</v>
      </c>
      <c r="C3949" s="220" t="s">
        <v>138</v>
      </c>
      <c r="D3949" s="220" t="s">
        <v>139</v>
      </c>
      <c r="E3949" s="165">
        <v>295</v>
      </c>
    </row>
    <row r="3950" spans="1:5" x14ac:dyDescent="0.25">
      <c r="A3950" s="216" t="s">
        <v>5762</v>
      </c>
      <c r="B3950" s="218">
        <v>1</v>
      </c>
      <c r="C3950" s="220" t="s">
        <v>1847</v>
      </c>
      <c r="D3950" s="220" t="s">
        <v>63</v>
      </c>
      <c r="E3950" s="165">
        <v>295</v>
      </c>
    </row>
    <row r="3951" spans="1:5" x14ac:dyDescent="0.25">
      <c r="A3951" s="216" t="s">
        <v>5504</v>
      </c>
      <c r="B3951" s="218">
        <v>1</v>
      </c>
      <c r="C3951" s="220" t="s">
        <v>1565</v>
      </c>
      <c r="D3951" s="220" t="s">
        <v>236</v>
      </c>
      <c r="E3951" s="165">
        <v>295</v>
      </c>
    </row>
    <row r="3952" spans="1:5" x14ac:dyDescent="0.25">
      <c r="A3952" s="216" t="s">
        <v>5422</v>
      </c>
      <c r="B3952" s="218">
        <v>1</v>
      </c>
      <c r="C3952" s="220" t="s">
        <v>670</v>
      </c>
      <c r="D3952" s="220" t="s">
        <v>142</v>
      </c>
      <c r="E3952" s="165">
        <v>294</v>
      </c>
    </row>
    <row r="3953" spans="1:5" x14ac:dyDescent="0.25">
      <c r="A3953" s="216" t="s">
        <v>5471</v>
      </c>
      <c r="B3953" s="218" t="s">
        <v>48</v>
      </c>
      <c r="C3953" s="220" t="s">
        <v>1705</v>
      </c>
      <c r="D3953" s="220" t="s">
        <v>166</v>
      </c>
      <c r="E3953" s="165">
        <v>294</v>
      </c>
    </row>
    <row r="3954" spans="1:5" x14ac:dyDescent="0.25">
      <c r="A3954" s="216" t="s">
        <v>9789</v>
      </c>
      <c r="B3954" s="218" t="s">
        <v>48</v>
      </c>
      <c r="C3954" s="220" t="s">
        <v>5734</v>
      </c>
      <c r="D3954" s="220" t="s">
        <v>575</v>
      </c>
      <c r="E3954" s="165">
        <v>294</v>
      </c>
    </row>
    <row r="3955" spans="1:5" x14ac:dyDescent="0.25">
      <c r="A3955" s="216" t="s">
        <v>4636</v>
      </c>
      <c r="B3955" s="218" t="s">
        <v>48</v>
      </c>
      <c r="C3955" s="220" t="s">
        <v>733</v>
      </c>
      <c r="D3955" s="220" t="s">
        <v>82</v>
      </c>
      <c r="E3955" s="165">
        <v>294</v>
      </c>
    </row>
    <row r="3956" spans="1:5" x14ac:dyDescent="0.25">
      <c r="A3956" s="216" t="s">
        <v>11229</v>
      </c>
      <c r="B3956" s="218">
        <v>1</v>
      </c>
      <c r="C3956" s="220" t="s">
        <v>2487</v>
      </c>
      <c r="D3956" s="220" t="s">
        <v>66</v>
      </c>
      <c r="E3956" s="165">
        <v>294</v>
      </c>
    </row>
    <row r="3957" spans="1:5" x14ac:dyDescent="0.25">
      <c r="A3957" s="216" t="s">
        <v>3618</v>
      </c>
      <c r="B3957" s="218" t="s">
        <v>48</v>
      </c>
      <c r="C3957" s="220" t="s">
        <v>3619</v>
      </c>
      <c r="D3957" s="220" t="s">
        <v>90</v>
      </c>
      <c r="E3957" s="165">
        <v>294</v>
      </c>
    </row>
    <row r="3958" spans="1:5" x14ac:dyDescent="0.25">
      <c r="A3958" s="216" t="s">
        <v>5514</v>
      </c>
      <c r="B3958" s="218">
        <v>1</v>
      </c>
      <c r="C3958" s="220" t="s">
        <v>390</v>
      </c>
      <c r="D3958" s="220" t="s">
        <v>75</v>
      </c>
      <c r="E3958" s="165">
        <v>294</v>
      </c>
    </row>
    <row r="3959" spans="1:5" x14ac:dyDescent="0.25">
      <c r="A3959" s="216" t="s">
        <v>5706</v>
      </c>
      <c r="B3959" s="218" t="s">
        <v>48</v>
      </c>
      <c r="C3959" s="220" t="s">
        <v>2443</v>
      </c>
      <c r="D3959" s="220" t="s">
        <v>59</v>
      </c>
      <c r="E3959" s="165">
        <v>294</v>
      </c>
    </row>
    <row r="3960" spans="1:5" x14ac:dyDescent="0.25">
      <c r="A3960" s="216" t="s">
        <v>6092</v>
      </c>
      <c r="B3960" s="218">
        <v>1</v>
      </c>
      <c r="C3960" s="220" t="s">
        <v>393</v>
      </c>
      <c r="D3960" s="220" t="s">
        <v>201</v>
      </c>
      <c r="E3960" s="165">
        <v>294</v>
      </c>
    </row>
    <row r="3961" spans="1:5" x14ac:dyDescent="0.25">
      <c r="A3961" s="216" t="s">
        <v>5659</v>
      </c>
      <c r="B3961" s="218">
        <v>1</v>
      </c>
      <c r="C3961" s="220" t="s">
        <v>735</v>
      </c>
      <c r="D3961" s="220" t="s">
        <v>105</v>
      </c>
      <c r="E3961" s="165">
        <v>293</v>
      </c>
    </row>
    <row r="3962" spans="1:5" x14ac:dyDescent="0.25">
      <c r="A3962" s="216" t="s">
        <v>8043</v>
      </c>
      <c r="B3962" s="218" t="s">
        <v>48</v>
      </c>
      <c r="C3962" s="220" t="s">
        <v>270</v>
      </c>
      <c r="D3962" s="220" t="s">
        <v>177</v>
      </c>
      <c r="E3962" s="165">
        <v>293</v>
      </c>
    </row>
    <row r="3963" spans="1:5" x14ac:dyDescent="0.25">
      <c r="A3963" s="216" t="s">
        <v>5662</v>
      </c>
      <c r="B3963" s="218">
        <v>1</v>
      </c>
      <c r="C3963" s="220" t="s">
        <v>5663</v>
      </c>
      <c r="D3963" s="220" t="s">
        <v>192</v>
      </c>
      <c r="E3963" s="165">
        <v>293</v>
      </c>
    </row>
    <row r="3964" spans="1:5" x14ac:dyDescent="0.25">
      <c r="A3964" s="216" t="s">
        <v>10843</v>
      </c>
      <c r="B3964" s="218">
        <v>1</v>
      </c>
      <c r="C3964" s="220" t="s">
        <v>505</v>
      </c>
      <c r="D3964" s="220" t="s">
        <v>130</v>
      </c>
      <c r="E3964" s="165">
        <v>293</v>
      </c>
    </row>
    <row r="3965" spans="1:5" x14ac:dyDescent="0.25">
      <c r="A3965" s="216" t="s">
        <v>5781</v>
      </c>
      <c r="B3965" s="218">
        <v>1</v>
      </c>
      <c r="C3965" s="220" t="s">
        <v>5782</v>
      </c>
      <c r="D3965" s="220" t="s">
        <v>63</v>
      </c>
      <c r="E3965" s="165">
        <v>293</v>
      </c>
    </row>
    <row r="3966" spans="1:5" x14ac:dyDescent="0.25">
      <c r="A3966" s="216" t="s">
        <v>5675</v>
      </c>
      <c r="B3966" s="218">
        <v>1</v>
      </c>
      <c r="C3966" s="220" t="s">
        <v>11230</v>
      </c>
      <c r="D3966" s="220" t="s">
        <v>105</v>
      </c>
      <c r="E3966" s="165">
        <v>293</v>
      </c>
    </row>
    <row r="3967" spans="1:5" x14ac:dyDescent="0.25">
      <c r="A3967" s="216" t="s">
        <v>5930</v>
      </c>
      <c r="B3967" s="218">
        <v>1</v>
      </c>
      <c r="C3967" s="220" t="s">
        <v>1087</v>
      </c>
      <c r="D3967" s="220" t="s">
        <v>188</v>
      </c>
      <c r="E3967" s="165">
        <v>293</v>
      </c>
    </row>
    <row r="3968" spans="1:5" x14ac:dyDescent="0.25">
      <c r="A3968" s="216" t="s">
        <v>10496</v>
      </c>
      <c r="B3968" s="218" t="s">
        <v>48</v>
      </c>
      <c r="C3968" s="220" t="s">
        <v>3119</v>
      </c>
      <c r="D3968" s="220" t="s">
        <v>277</v>
      </c>
      <c r="E3968" s="165">
        <v>292</v>
      </c>
    </row>
    <row r="3969" spans="1:5" x14ac:dyDescent="0.25">
      <c r="A3969" s="216" t="s">
        <v>5307</v>
      </c>
      <c r="B3969" s="218">
        <v>1</v>
      </c>
      <c r="C3969" s="220" t="s">
        <v>5308</v>
      </c>
      <c r="D3969" s="220" t="s">
        <v>142</v>
      </c>
      <c r="E3969" s="165">
        <v>292</v>
      </c>
    </row>
    <row r="3970" spans="1:5" x14ac:dyDescent="0.25">
      <c r="A3970" s="216" t="s">
        <v>5510</v>
      </c>
      <c r="B3970" s="218">
        <v>1</v>
      </c>
      <c r="C3970" s="220" t="s">
        <v>1199</v>
      </c>
      <c r="D3970" s="220" t="s">
        <v>1200</v>
      </c>
      <c r="E3970" s="165">
        <v>292</v>
      </c>
    </row>
    <row r="3971" spans="1:5" x14ac:dyDescent="0.25">
      <c r="A3971" s="216" t="s">
        <v>5753</v>
      </c>
      <c r="B3971" s="218">
        <v>1</v>
      </c>
      <c r="C3971" s="220" t="s">
        <v>86</v>
      </c>
      <c r="D3971" s="220" t="s">
        <v>78</v>
      </c>
      <c r="E3971" s="165">
        <v>292</v>
      </c>
    </row>
    <row r="3972" spans="1:5" x14ac:dyDescent="0.25">
      <c r="A3972" s="216" t="s">
        <v>5687</v>
      </c>
      <c r="B3972" s="218">
        <v>1</v>
      </c>
      <c r="C3972" s="220" t="s">
        <v>1186</v>
      </c>
      <c r="D3972" s="220" t="s">
        <v>66</v>
      </c>
      <c r="E3972" s="165">
        <v>291</v>
      </c>
    </row>
    <row r="3973" spans="1:5" x14ac:dyDescent="0.25">
      <c r="A3973" s="216" t="s">
        <v>6942</v>
      </c>
      <c r="B3973" s="218" t="s">
        <v>48</v>
      </c>
      <c r="C3973" s="220" t="s">
        <v>6943</v>
      </c>
      <c r="D3973" s="220" t="s">
        <v>575</v>
      </c>
      <c r="E3973" s="165">
        <v>291</v>
      </c>
    </row>
    <row r="3974" spans="1:5" x14ac:dyDescent="0.25">
      <c r="A3974" s="216" t="s">
        <v>6061</v>
      </c>
      <c r="B3974" s="218">
        <v>1</v>
      </c>
      <c r="C3974" s="220" t="s">
        <v>2718</v>
      </c>
      <c r="D3974" s="220" t="s">
        <v>575</v>
      </c>
      <c r="E3974" s="165">
        <v>291</v>
      </c>
    </row>
    <row r="3975" spans="1:5" x14ac:dyDescent="0.25">
      <c r="A3975" s="216" t="s">
        <v>5896</v>
      </c>
      <c r="B3975" s="218">
        <v>1</v>
      </c>
      <c r="C3975" s="220" t="s">
        <v>5897</v>
      </c>
      <c r="D3975" s="220" t="s">
        <v>56</v>
      </c>
      <c r="E3975" s="165">
        <v>291</v>
      </c>
    </row>
    <row r="3976" spans="1:5" x14ac:dyDescent="0.25">
      <c r="A3976" s="216" t="s">
        <v>6104</v>
      </c>
      <c r="B3976" s="218" t="s">
        <v>48</v>
      </c>
      <c r="C3976" s="220" t="s">
        <v>1889</v>
      </c>
      <c r="D3976" s="220" t="s">
        <v>78</v>
      </c>
      <c r="E3976" s="165">
        <v>291</v>
      </c>
    </row>
    <row r="3977" spans="1:5" x14ac:dyDescent="0.25">
      <c r="A3977" s="216" t="s">
        <v>5077</v>
      </c>
      <c r="B3977" s="218">
        <v>1</v>
      </c>
      <c r="C3977" s="220" t="s">
        <v>3779</v>
      </c>
      <c r="D3977" s="220" t="s">
        <v>53</v>
      </c>
      <c r="E3977" s="165">
        <v>291</v>
      </c>
    </row>
    <row r="3978" spans="1:5" x14ac:dyDescent="0.25">
      <c r="A3978" s="216" t="s">
        <v>5618</v>
      </c>
      <c r="B3978" s="218">
        <v>1</v>
      </c>
      <c r="C3978" s="220" t="s">
        <v>274</v>
      </c>
      <c r="D3978" s="220" t="s">
        <v>188</v>
      </c>
      <c r="E3978" s="165">
        <v>291</v>
      </c>
    </row>
    <row r="3979" spans="1:5" x14ac:dyDescent="0.25">
      <c r="A3979" s="216" t="s">
        <v>5515</v>
      </c>
      <c r="B3979" s="218">
        <v>1</v>
      </c>
      <c r="C3979" s="220" t="s">
        <v>5516</v>
      </c>
      <c r="D3979" s="220" t="s">
        <v>337</v>
      </c>
      <c r="E3979" s="165">
        <v>290</v>
      </c>
    </row>
    <row r="3980" spans="1:5" x14ac:dyDescent="0.25">
      <c r="A3980" s="216" t="s">
        <v>8700</v>
      </c>
      <c r="B3980" s="218" t="s">
        <v>48</v>
      </c>
      <c r="C3980" s="220" t="s">
        <v>4339</v>
      </c>
      <c r="D3980" s="220" t="s">
        <v>56</v>
      </c>
      <c r="E3980" s="165">
        <v>290</v>
      </c>
    </row>
    <row r="3981" spans="1:5" x14ac:dyDescent="0.25">
      <c r="A3981" s="216" t="s">
        <v>5552</v>
      </c>
      <c r="B3981" s="218" t="s">
        <v>48</v>
      </c>
      <c r="C3981" s="220" t="s">
        <v>135</v>
      </c>
      <c r="D3981" s="220" t="s">
        <v>108</v>
      </c>
      <c r="E3981" s="165">
        <v>290</v>
      </c>
    </row>
    <row r="3982" spans="1:5" x14ac:dyDescent="0.25">
      <c r="A3982" s="216" t="s">
        <v>11231</v>
      </c>
      <c r="B3982" s="218">
        <v>1</v>
      </c>
      <c r="C3982" s="220" t="s">
        <v>205</v>
      </c>
      <c r="D3982" s="220" t="s">
        <v>206</v>
      </c>
      <c r="E3982" s="165">
        <v>290</v>
      </c>
    </row>
    <row r="3983" spans="1:5" x14ac:dyDescent="0.25">
      <c r="A3983" s="216" t="s">
        <v>5812</v>
      </c>
      <c r="B3983" s="218">
        <v>1</v>
      </c>
      <c r="C3983" s="220" t="s">
        <v>5813</v>
      </c>
      <c r="D3983" s="220" t="s">
        <v>63</v>
      </c>
      <c r="E3983" s="165">
        <v>290</v>
      </c>
    </row>
    <row r="3984" spans="1:5" x14ac:dyDescent="0.25">
      <c r="A3984" s="216" t="s">
        <v>5215</v>
      </c>
      <c r="B3984" s="218">
        <v>1</v>
      </c>
      <c r="C3984" s="220" t="s">
        <v>2165</v>
      </c>
      <c r="D3984" s="220" t="s">
        <v>93</v>
      </c>
      <c r="E3984" s="165">
        <v>290</v>
      </c>
    </row>
    <row r="3985" spans="1:5" x14ac:dyDescent="0.25">
      <c r="A3985" s="216" t="s">
        <v>6400</v>
      </c>
      <c r="B3985" s="218">
        <v>1</v>
      </c>
      <c r="C3985" s="220" t="s">
        <v>735</v>
      </c>
      <c r="D3985" s="220" t="s">
        <v>105</v>
      </c>
      <c r="E3985" s="165">
        <v>290</v>
      </c>
    </row>
    <row r="3986" spans="1:5" x14ac:dyDescent="0.25">
      <c r="A3986" s="216" t="s">
        <v>5883</v>
      </c>
      <c r="B3986" s="218">
        <v>1</v>
      </c>
      <c r="C3986" s="220" t="s">
        <v>289</v>
      </c>
      <c r="D3986" s="220" t="s">
        <v>69</v>
      </c>
      <c r="E3986" s="165">
        <v>290</v>
      </c>
    </row>
    <row r="3987" spans="1:5" x14ac:dyDescent="0.25">
      <c r="A3987" s="216" t="s">
        <v>6135</v>
      </c>
      <c r="B3987" s="218">
        <v>1</v>
      </c>
      <c r="C3987" s="220" t="s">
        <v>1562</v>
      </c>
      <c r="D3987" s="220" t="s">
        <v>201</v>
      </c>
      <c r="E3987" s="165">
        <v>290</v>
      </c>
    </row>
    <row r="3988" spans="1:5" x14ac:dyDescent="0.25">
      <c r="A3988" s="216" t="s">
        <v>5803</v>
      </c>
      <c r="B3988" s="218" t="s">
        <v>48</v>
      </c>
      <c r="C3988" s="220" t="s">
        <v>3423</v>
      </c>
      <c r="D3988" s="220" t="s">
        <v>69</v>
      </c>
      <c r="E3988" s="165">
        <v>290</v>
      </c>
    </row>
    <row r="3989" spans="1:5" x14ac:dyDescent="0.25">
      <c r="A3989" s="216" t="s">
        <v>5807</v>
      </c>
      <c r="B3989" s="218" t="s">
        <v>48</v>
      </c>
      <c r="C3989" s="220" t="s">
        <v>5808</v>
      </c>
      <c r="D3989" s="220" t="s">
        <v>201</v>
      </c>
      <c r="E3989" s="165">
        <v>290</v>
      </c>
    </row>
    <row r="3990" spans="1:5" x14ac:dyDescent="0.25">
      <c r="A3990" s="216" t="s">
        <v>5633</v>
      </c>
      <c r="B3990" s="218">
        <v>1</v>
      </c>
      <c r="C3990" s="220" t="s">
        <v>3317</v>
      </c>
      <c r="D3990" s="220" t="s">
        <v>188</v>
      </c>
      <c r="E3990" s="165">
        <v>289</v>
      </c>
    </row>
    <row r="3991" spans="1:5" x14ac:dyDescent="0.25">
      <c r="A3991" s="216" t="s">
        <v>5449</v>
      </c>
      <c r="B3991" s="218">
        <v>1</v>
      </c>
      <c r="C3991" s="220" t="s">
        <v>159</v>
      </c>
      <c r="D3991" s="220" t="s">
        <v>130</v>
      </c>
      <c r="E3991" s="165">
        <v>289</v>
      </c>
    </row>
    <row r="3992" spans="1:5" x14ac:dyDescent="0.25">
      <c r="A3992" s="216" t="s">
        <v>5949</v>
      </c>
      <c r="B3992" s="218">
        <v>1</v>
      </c>
      <c r="C3992" s="220" t="s">
        <v>665</v>
      </c>
      <c r="D3992" s="220" t="s">
        <v>188</v>
      </c>
      <c r="E3992" s="165">
        <v>289</v>
      </c>
    </row>
    <row r="3993" spans="1:5" x14ac:dyDescent="0.25">
      <c r="A3993" s="216" t="s">
        <v>9330</v>
      </c>
      <c r="B3993" s="218" t="s">
        <v>48</v>
      </c>
      <c r="C3993" s="220" t="s">
        <v>8255</v>
      </c>
      <c r="D3993" s="220" t="s">
        <v>59</v>
      </c>
      <c r="E3993" s="165">
        <v>289</v>
      </c>
    </row>
    <row r="3994" spans="1:5" x14ac:dyDescent="0.25">
      <c r="A3994" s="216" t="s">
        <v>5666</v>
      </c>
      <c r="B3994" s="218">
        <v>1</v>
      </c>
      <c r="C3994" s="220" t="s">
        <v>121</v>
      </c>
      <c r="D3994" s="220" t="s">
        <v>56</v>
      </c>
      <c r="E3994" s="165">
        <v>289</v>
      </c>
    </row>
    <row r="3995" spans="1:5" x14ac:dyDescent="0.25">
      <c r="A3995" s="216" t="s">
        <v>7290</v>
      </c>
      <c r="B3995" s="218" t="s">
        <v>48</v>
      </c>
      <c r="C3995" s="220" t="s">
        <v>7291</v>
      </c>
      <c r="D3995" s="220" t="s">
        <v>118</v>
      </c>
      <c r="E3995" s="165">
        <v>289</v>
      </c>
    </row>
    <row r="3996" spans="1:5" x14ac:dyDescent="0.25">
      <c r="A3996" s="216" t="s">
        <v>10495</v>
      </c>
      <c r="B3996" s="218">
        <v>1</v>
      </c>
      <c r="C3996" s="220" t="s">
        <v>11232</v>
      </c>
      <c r="D3996" s="220" t="s">
        <v>63</v>
      </c>
      <c r="E3996" s="165">
        <v>288</v>
      </c>
    </row>
    <row r="3997" spans="1:5" x14ac:dyDescent="0.25">
      <c r="A3997" s="216" t="s">
        <v>5830</v>
      </c>
      <c r="B3997" s="218">
        <v>1</v>
      </c>
      <c r="C3997" s="220" t="s">
        <v>1220</v>
      </c>
      <c r="D3997" s="220" t="s">
        <v>63</v>
      </c>
      <c r="E3997" s="165">
        <v>288</v>
      </c>
    </row>
    <row r="3998" spans="1:5" x14ac:dyDescent="0.25">
      <c r="A3998" s="216" t="s">
        <v>11233</v>
      </c>
      <c r="B3998" s="218">
        <v>1</v>
      </c>
      <c r="C3998" s="220" t="s">
        <v>7495</v>
      </c>
      <c r="D3998" s="220" t="s">
        <v>394</v>
      </c>
      <c r="E3998" s="165">
        <v>288</v>
      </c>
    </row>
    <row r="3999" spans="1:5" x14ac:dyDescent="0.25">
      <c r="A3999" s="216" t="s">
        <v>5268</v>
      </c>
      <c r="B3999" s="218" t="s">
        <v>48</v>
      </c>
      <c r="C3999" s="220" t="s">
        <v>5269</v>
      </c>
      <c r="D3999" s="220" t="s">
        <v>53</v>
      </c>
      <c r="E3999" s="165">
        <v>288</v>
      </c>
    </row>
    <row r="4000" spans="1:5" x14ac:dyDescent="0.25">
      <c r="A4000" s="216" t="s">
        <v>6278</v>
      </c>
      <c r="B4000" s="218">
        <v>1</v>
      </c>
      <c r="C4000" s="220" t="s">
        <v>6279</v>
      </c>
      <c r="D4000" s="220" t="s">
        <v>63</v>
      </c>
      <c r="E4000" s="165">
        <v>288</v>
      </c>
    </row>
    <row r="4001" spans="1:5" x14ac:dyDescent="0.25">
      <c r="A4001" s="216" t="s">
        <v>5699</v>
      </c>
      <c r="B4001" s="218" t="s">
        <v>48</v>
      </c>
      <c r="C4001" s="220" t="s">
        <v>4838</v>
      </c>
      <c r="D4001" s="220" t="s">
        <v>348</v>
      </c>
      <c r="E4001" s="165">
        <v>288</v>
      </c>
    </row>
    <row r="4002" spans="1:5" x14ac:dyDescent="0.25">
      <c r="A4002" s="216" t="s">
        <v>4562</v>
      </c>
      <c r="B4002" s="218" t="s">
        <v>48</v>
      </c>
      <c r="C4002" s="220" t="s">
        <v>283</v>
      </c>
      <c r="D4002" s="220" t="s">
        <v>59</v>
      </c>
      <c r="E4002" s="165">
        <v>288</v>
      </c>
    </row>
    <row r="4003" spans="1:5" x14ac:dyDescent="0.25">
      <c r="A4003" s="216" t="s">
        <v>4169</v>
      </c>
      <c r="B4003" s="218" t="s">
        <v>48</v>
      </c>
      <c r="C4003" s="220" t="s">
        <v>377</v>
      </c>
      <c r="D4003" s="220" t="s">
        <v>378</v>
      </c>
      <c r="E4003" s="165">
        <v>288</v>
      </c>
    </row>
    <row r="4004" spans="1:5" x14ac:dyDescent="0.25">
      <c r="A4004" s="216" t="s">
        <v>5376</v>
      </c>
      <c r="B4004" s="218">
        <v>1</v>
      </c>
      <c r="C4004" s="220" t="s">
        <v>5377</v>
      </c>
      <c r="D4004" s="220" t="s">
        <v>277</v>
      </c>
      <c r="E4004" s="165">
        <v>288</v>
      </c>
    </row>
    <row r="4005" spans="1:5" x14ac:dyDescent="0.25">
      <c r="A4005" s="216" t="s">
        <v>5282</v>
      </c>
      <c r="B4005" s="218">
        <v>1</v>
      </c>
      <c r="C4005" s="220" t="s">
        <v>5283</v>
      </c>
      <c r="D4005" s="220" t="s">
        <v>139</v>
      </c>
      <c r="E4005" s="165">
        <v>287</v>
      </c>
    </row>
    <row r="4006" spans="1:5" x14ac:dyDescent="0.25">
      <c r="A4006" s="216" t="s">
        <v>5864</v>
      </c>
      <c r="B4006" s="218">
        <v>1</v>
      </c>
      <c r="C4006" s="220" t="s">
        <v>11234</v>
      </c>
      <c r="D4006" s="220" t="s">
        <v>63</v>
      </c>
      <c r="E4006" s="165">
        <v>287</v>
      </c>
    </row>
    <row r="4007" spans="1:5" x14ac:dyDescent="0.25">
      <c r="A4007" s="216" t="s">
        <v>5979</v>
      </c>
      <c r="B4007" s="218">
        <v>1</v>
      </c>
      <c r="C4007" s="220" t="s">
        <v>1688</v>
      </c>
      <c r="D4007" s="220" t="s">
        <v>188</v>
      </c>
      <c r="E4007" s="165">
        <v>287</v>
      </c>
    </row>
    <row r="4008" spans="1:5" x14ac:dyDescent="0.25">
      <c r="A4008" s="216" t="s">
        <v>6381</v>
      </c>
      <c r="B4008" s="218" t="s">
        <v>48</v>
      </c>
      <c r="C4008" s="220" t="s">
        <v>1109</v>
      </c>
      <c r="D4008" s="220" t="s">
        <v>166</v>
      </c>
      <c r="E4008" s="165">
        <v>287</v>
      </c>
    </row>
    <row r="4009" spans="1:5" x14ac:dyDescent="0.25">
      <c r="A4009" s="216" t="s">
        <v>5065</v>
      </c>
      <c r="B4009" s="218">
        <v>1</v>
      </c>
      <c r="C4009" s="220" t="s">
        <v>5066</v>
      </c>
      <c r="D4009" s="220" t="s">
        <v>277</v>
      </c>
      <c r="E4009" s="165">
        <v>287</v>
      </c>
    </row>
    <row r="4010" spans="1:5" x14ac:dyDescent="0.25">
      <c r="A4010" s="216" t="s">
        <v>5872</v>
      </c>
      <c r="B4010" s="218">
        <v>1</v>
      </c>
      <c r="C4010" s="220" t="s">
        <v>5873</v>
      </c>
      <c r="D4010" s="220" t="s">
        <v>63</v>
      </c>
      <c r="E4010" s="165">
        <v>287</v>
      </c>
    </row>
    <row r="4011" spans="1:5" x14ac:dyDescent="0.25">
      <c r="A4011" s="216" t="s">
        <v>5069</v>
      </c>
      <c r="B4011" s="218">
        <v>1</v>
      </c>
      <c r="C4011" s="220" t="s">
        <v>5070</v>
      </c>
      <c r="D4011" s="220" t="s">
        <v>277</v>
      </c>
      <c r="E4011" s="165">
        <v>287</v>
      </c>
    </row>
    <row r="4012" spans="1:5" x14ac:dyDescent="0.25">
      <c r="A4012" s="216" t="s">
        <v>6415</v>
      </c>
      <c r="B4012" s="218" t="s">
        <v>48</v>
      </c>
      <c r="C4012" s="220" t="s">
        <v>3685</v>
      </c>
      <c r="D4012" s="220" t="s">
        <v>90</v>
      </c>
      <c r="E4012" s="165">
        <v>286</v>
      </c>
    </row>
    <row r="4013" spans="1:5" x14ac:dyDescent="0.25">
      <c r="A4013" s="216" t="s">
        <v>5568</v>
      </c>
      <c r="B4013" s="218">
        <v>1</v>
      </c>
      <c r="C4013" s="220" t="s">
        <v>5569</v>
      </c>
      <c r="D4013" s="220" t="s">
        <v>201</v>
      </c>
      <c r="E4013" s="165">
        <v>286</v>
      </c>
    </row>
    <row r="4014" spans="1:5" x14ac:dyDescent="0.25">
      <c r="A4014" s="216" t="s">
        <v>6348</v>
      </c>
      <c r="B4014" s="218" t="s">
        <v>48</v>
      </c>
      <c r="C4014" s="220" t="s">
        <v>6349</v>
      </c>
      <c r="D4014" s="220" t="s">
        <v>124</v>
      </c>
      <c r="E4014" s="165">
        <v>286</v>
      </c>
    </row>
    <row r="4015" spans="1:5" x14ac:dyDescent="0.25">
      <c r="A4015" s="216" t="s">
        <v>5962</v>
      </c>
      <c r="B4015" s="218">
        <v>1</v>
      </c>
      <c r="C4015" s="220" t="s">
        <v>1250</v>
      </c>
      <c r="D4015" s="220" t="s">
        <v>56</v>
      </c>
      <c r="E4015" s="165">
        <v>286</v>
      </c>
    </row>
    <row r="4016" spans="1:5" x14ac:dyDescent="0.25">
      <c r="A4016" s="216" t="s">
        <v>4597</v>
      </c>
      <c r="B4016" s="218" t="s">
        <v>48</v>
      </c>
      <c r="C4016" s="220" t="s">
        <v>283</v>
      </c>
      <c r="D4016" s="220" t="s">
        <v>59</v>
      </c>
      <c r="E4016" s="165">
        <v>286</v>
      </c>
    </row>
    <row r="4017" spans="1:5" x14ac:dyDescent="0.25">
      <c r="A4017" s="216" t="s">
        <v>6736</v>
      </c>
      <c r="B4017" s="218" t="s">
        <v>48</v>
      </c>
      <c r="C4017" s="220" t="s">
        <v>6737</v>
      </c>
      <c r="D4017" s="220" t="s">
        <v>378</v>
      </c>
      <c r="E4017" s="165">
        <v>286</v>
      </c>
    </row>
    <row r="4018" spans="1:5" x14ac:dyDescent="0.25">
      <c r="A4018" s="216" t="s">
        <v>5317</v>
      </c>
      <c r="B4018" s="218">
        <v>1</v>
      </c>
      <c r="C4018" s="220" t="s">
        <v>138</v>
      </c>
      <c r="D4018" s="220" t="s">
        <v>139</v>
      </c>
      <c r="E4018" s="165">
        <v>286</v>
      </c>
    </row>
    <row r="4019" spans="1:5" x14ac:dyDescent="0.25">
      <c r="A4019" s="216" t="s">
        <v>6295</v>
      </c>
      <c r="B4019" s="218">
        <v>1</v>
      </c>
      <c r="C4019" s="220" t="s">
        <v>235</v>
      </c>
      <c r="D4019" s="220" t="s">
        <v>236</v>
      </c>
      <c r="E4019" s="165">
        <v>286</v>
      </c>
    </row>
    <row r="4020" spans="1:5" x14ac:dyDescent="0.25">
      <c r="A4020" s="216" t="s">
        <v>5476</v>
      </c>
      <c r="B4020" s="218" t="s">
        <v>48</v>
      </c>
      <c r="C4020" s="220" t="s">
        <v>3899</v>
      </c>
      <c r="D4020" s="220" t="s">
        <v>575</v>
      </c>
      <c r="E4020" s="165">
        <v>286</v>
      </c>
    </row>
    <row r="4021" spans="1:5" x14ac:dyDescent="0.25">
      <c r="A4021" s="216" t="s">
        <v>6674</v>
      </c>
      <c r="B4021" s="218">
        <v>1</v>
      </c>
      <c r="C4021" s="220" t="s">
        <v>6675</v>
      </c>
      <c r="D4021" s="220" t="s">
        <v>72</v>
      </c>
      <c r="E4021" s="165">
        <v>286</v>
      </c>
    </row>
    <row r="4022" spans="1:5" x14ac:dyDescent="0.25">
      <c r="A4022" s="216" t="s">
        <v>5970</v>
      </c>
      <c r="B4022" s="218">
        <v>1</v>
      </c>
      <c r="C4022" s="220" t="s">
        <v>1856</v>
      </c>
      <c r="D4022" s="220" t="s">
        <v>56</v>
      </c>
      <c r="E4022" s="165">
        <v>286</v>
      </c>
    </row>
    <row r="4023" spans="1:5" x14ac:dyDescent="0.25">
      <c r="A4023" s="216" t="s">
        <v>5936</v>
      </c>
      <c r="B4023" s="218">
        <v>1</v>
      </c>
      <c r="C4023" s="220" t="s">
        <v>5937</v>
      </c>
      <c r="D4023" s="220" t="s">
        <v>69</v>
      </c>
      <c r="E4023" s="165">
        <v>285</v>
      </c>
    </row>
    <row r="4024" spans="1:5" x14ac:dyDescent="0.25">
      <c r="A4024" s="216" t="s">
        <v>5957</v>
      </c>
      <c r="B4024" s="218">
        <v>1</v>
      </c>
      <c r="C4024" s="220" t="s">
        <v>5958</v>
      </c>
      <c r="D4024" s="220" t="s">
        <v>188</v>
      </c>
      <c r="E4024" s="165">
        <v>285</v>
      </c>
    </row>
    <row r="4025" spans="1:5" x14ac:dyDescent="0.25">
      <c r="A4025" s="216" t="s">
        <v>5760</v>
      </c>
      <c r="B4025" s="218">
        <v>1</v>
      </c>
      <c r="C4025" s="220" t="s">
        <v>5128</v>
      </c>
      <c r="D4025" s="220" t="s">
        <v>1200</v>
      </c>
      <c r="E4025" s="165">
        <v>285</v>
      </c>
    </row>
    <row r="4026" spans="1:5" x14ac:dyDescent="0.25">
      <c r="A4026" s="216" t="s">
        <v>7065</v>
      </c>
      <c r="B4026" s="218" t="s">
        <v>48</v>
      </c>
      <c r="C4026" s="220" t="s">
        <v>7066</v>
      </c>
      <c r="D4026" s="220" t="s">
        <v>87</v>
      </c>
      <c r="E4026" s="165">
        <v>285</v>
      </c>
    </row>
    <row r="4027" spans="1:5" x14ac:dyDescent="0.25">
      <c r="A4027" s="216" t="s">
        <v>5692</v>
      </c>
      <c r="B4027" s="218">
        <v>1</v>
      </c>
      <c r="C4027" s="220" t="s">
        <v>984</v>
      </c>
      <c r="D4027" s="220" t="s">
        <v>56</v>
      </c>
      <c r="E4027" s="165">
        <v>285</v>
      </c>
    </row>
    <row r="4028" spans="1:5" x14ac:dyDescent="0.25">
      <c r="A4028" s="216" t="s">
        <v>5717</v>
      </c>
      <c r="B4028" s="218">
        <v>1</v>
      </c>
      <c r="C4028" s="220" t="s">
        <v>1525</v>
      </c>
      <c r="D4028" s="220" t="s">
        <v>56</v>
      </c>
      <c r="E4028" s="165">
        <v>285</v>
      </c>
    </row>
    <row r="4029" spans="1:5" x14ac:dyDescent="0.25">
      <c r="A4029" s="216" t="s">
        <v>6099</v>
      </c>
      <c r="B4029" s="218" t="s">
        <v>48</v>
      </c>
      <c r="C4029" s="220" t="s">
        <v>6100</v>
      </c>
      <c r="D4029" s="220" t="s">
        <v>63</v>
      </c>
      <c r="E4029" s="165">
        <v>285</v>
      </c>
    </row>
    <row r="4030" spans="1:5" x14ac:dyDescent="0.25">
      <c r="A4030" s="216" t="s">
        <v>6022</v>
      </c>
      <c r="B4030" s="218" t="s">
        <v>48</v>
      </c>
      <c r="C4030" s="220" t="s">
        <v>6023</v>
      </c>
      <c r="D4030" s="220" t="s">
        <v>59</v>
      </c>
      <c r="E4030" s="165">
        <v>285</v>
      </c>
    </row>
    <row r="4031" spans="1:5" x14ac:dyDescent="0.25">
      <c r="A4031" s="216" t="s">
        <v>5303</v>
      </c>
      <c r="B4031" s="218">
        <v>1</v>
      </c>
      <c r="C4031" s="220" t="s">
        <v>161</v>
      </c>
      <c r="D4031" s="220" t="s">
        <v>118</v>
      </c>
      <c r="E4031" s="165">
        <v>285</v>
      </c>
    </row>
    <row r="4032" spans="1:5" x14ac:dyDescent="0.25">
      <c r="A4032" s="216" t="s">
        <v>6238</v>
      </c>
      <c r="B4032" s="218" t="s">
        <v>48</v>
      </c>
      <c r="C4032" s="220" t="s">
        <v>6239</v>
      </c>
      <c r="D4032" s="220" t="s">
        <v>69</v>
      </c>
      <c r="E4032" s="165">
        <v>285</v>
      </c>
    </row>
    <row r="4033" spans="1:5" x14ac:dyDescent="0.25">
      <c r="A4033" s="216" t="s">
        <v>7533</v>
      </c>
      <c r="B4033" s="218" t="s">
        <v>48</v>
      </c>
      <c r="C4033" s="220" t="s">
        <v>1788</v>
      </c>
      <c r="D4033" s="220" t="s">
        <v>59</v>
      </c>
      <c r="E4033" s="165">
        <v>285</v>
      </c>
    </row>
    <row r="4034" spans="1:5" x14ac:dyDescent="0.25">
      <c r="A4034" s="216" t="s">
        <v>4105</v>
      </c>
      <c r="B4034" s="218">
        <v>1</v>
      </c>
      <c r="C4034" s="220" t="s">
        <v>1113</v>
      </c>
      <c r="D4034" s="220" t="s">
        <v>50</v>
      </c>
      <c r="E4034" s="165">
        <v>284</v>
      </c>
    </row>
    <row r="4035" spans="1:5" x14ac:dyDescent="0.25">
      <c r="A4035" s="216" t="s">
        <v>5590</v>
      </c>
      <c r="B4035" s="218" t="s">
        <v>48</v>
      </c>
      <c r="C4035" s="220" t="s">
        <v>5446</v>
      </c>
      <c r="D4035" s="220" t="s">
        <v>277</v>
      </c>
      <c r="E4035" s="165">
        <v>284</v>
      </c>
    </row>
    <row r="4036" spans="1:5" x14ac:dyDescent="0.25">
      <c r="A4036" s="216" t="s">
        <v>5890</v>
      </c>
      <c r="B4036" s="218" t="s">
        <v>48</v>
      </c>
      <c r="C4036" s="220" t="s">
        <v>5891</v>
      </c>
      <c r="D4036" s="220" t="s">
        <v>108</v>
      </c>
      <c r="E4036" s="165">
        <v>284</v>
      </c>
    </row>
    <row r="4037" spans="1:5" x14ac:dyDescent="0.25">
      <c r="A4037" s="216" t="s">
        <v>5349</v>
      </c>
      <c r="B4037" s="218" t="s">
        <v>48</v>
      </c>
      <c r="C4037" s="220" t="s">
        <v>5350</v>
      </c>
      <c r="D4037" s="220" t="s">
        <v>93</v>
      </c>
      <c r="E4037" s="165">
        <v>284</v>
      </c>
    </row>
    <row r="4038" spans="1:5" x14ac:dyDescent="0.25">
      <c r="A4038" s="216" t="s">
        <v>5852</v>
      </c>
      <c r="B4038" s="218">
        <v>1</v>
      </c>
      <c r="C4038" s="220" t="s">
        <v>511</v>
      </c>
      <c r="D4038" s="220" t="s">
        <v>394</v>
      </c>
      <c r="E4038" s="165">
        <v>284</v>
      </c>
    </row>
    <row r="4039" spans="1:5" x14ac:dyDescent="0.25">
      <c r="A4039" s="216" t="s">
        <v>7335</v>
      </c>
      <c r="B4039" s="218">
        <v>1</v>
      </c>
      <c r="C4039" s="220" t="s">
        <v>7336</v>
      </c>
      <c r="D4039" s="220" t="s">
        <v>378</v>
      </c>
      <c r="E4039" s="165">
        <v>284</v>
      </c>
    </row>
    <row r="4040" spans="1:5" x14ac:dyDescent="0.25">
      <c r="A4040" s="216" t="s">
        <v>11235</v>
      </c>
      <c r="B4040" s="218" t="s">
        <v>48</v>
      </c>
      <c r="C4040" s="220" t="s">
        <v>3135</v>
      </c>
      <c r="D4040" s="220" t="s">
        <v>75</v>
      </c>
      <c r="E4040" s="165">
        <v>284</v>
      </c>
    </row>
    <row r="4041" spans="1:5" x14ac:dyDescent="0.25">
      <c r="A4041" s="216" t="s">
        <v>6015</v>
      </c>
      <c r="B4041" s="218" t="s">
        <v>48</v>
      </c>
      <c r="C4041" s="220" t="s">
        <v>6016</v>
      </c>
      <c r="D4041" s="220" t="s">
        <v>710</v>
      </c>
      <c r="E4041" s="165">
        <v>284</v>
      </c>
    </row>
    <row r="4042" spans="1:5" x14ac:dyDescent="0.25">
      <c r="A4042" s="216" t="s">
        <v>5898</v>
      </c>
      <c r="B4042" s="218" t="s">
        <v>48</v>
      </c>
      <c r="C4042" s="220" t="s">
        <v>4957</v>
      </c>
      <c r="D4042" s="220" t="s">
        <v>108</v>
      </c>
      <c r="E4042" s="165">
        <v>284</v>
      </c>
    </row>
    <row r="4043" spans="1:5" x14ac:dyDescent="0.25">
      <c r="A4043" s="216" t="s">
        <v>6602</v>
      </c>
      <c r="B4043" s="218">
        <v>1</v>
      </c>
      <c r="C4043" s="220" t="s">
        <v>6603</v>
      </c>
      <c r="D4043" s="220" t="s">
        <v>130</v>
      </c>
      <c r="E4043" s="165">
        <v>284</v>
      </c>
    </row>
    <row r="4044" spans="1:5" x14ac:dyDescent="0.25">
      <c r="A4044" s="216" t="s">
        <v>5047</v>
      </c>
      <c r="B4044" s="218">
        <v>1</v>
      </c>
      <c r="C4044" s="220" t="s">
        <v>179</v>
      </c>
      <c r="D4044" s="220" t="s">
        <v>66</v>
      </c>
      <c r="E4044" s="165">
        <v>284</v>
      </c>
    </row>
    <row r="4045" spans="1:5" x14ac:dyDescent="0.25">
      <c r="A4045" s="216" t="s">
        <v>6312</v>
      </c>
      <c r="B4045" s="218" t="s">
        <v>48</v>
      </c>
      <c r="C4045" s="220" t="s">
        <v>6313</v>
      </c>
      <c r="D4045" s="220" t="s">
        <v>90</v>
      </c>
      <c r="E4045" s="165">
        <v>284</v>
      </c>
    </row>
    <row r="4046" spans="1:5" x14ac:dyDescent="0.25">
      <c r="A4046" s="216" t="s">
        <v>5058</v>
      </c>
      <c r="B4046" s="218" t="s">
        <v>48</v>
      </c>
      <c r="C4046" s="220" t="s">
        <v>89</v>
      </c>
      <c r="D4046" s="220" t="s">
        <v>90</v>
      </c>
      <c r="E4046" s="165">
        <v>284</v>
      </c>
    </row>
    <row r="4047" spans="1:5" x14ac:dyDescent="0.25">
      <c r="A4047" s="216" t="s">
        <v>5824</v>
      </c>
      <c r="B4047" s="218">
        <v>1</v>
      </c>
      <c r="C4047" s="220" t="s">
        <v>1849</v>
      </c>
      <c r="D4047" s="220" t="s">
        <v>264</v>
      </c>
      <c r="E4047" s="165">
        <v>283</v>
      </c>
    </row>
    <row r="4048" spans="1:5" x14ac:dyDescent="0.25">
      <c r="A4048" s="216" t="s">
        <v>6596</v>
      </c>
      <c r="B4048" s="218">
        <v>1</v>
      </c>
      <c r="C4048" s="220" t="s">
        <v>964</v>
      </c>
      <c r="D4048" s="220" t="s">
        <v>523</v>
      </c>
      <c r="E4048" s="165">
        <v>283</v>
      </c>
    </row>
    <row r="4049" spans="1:5" x14ac:dyDescent="0.25">
      <c r="A4049" s="216" t="s">
        <v>5533</v>
      </c>
      <c r="B4049" s="218" t="s">
        <v>48</v>
      </c>
      <c r="C4049" s="220" t="s">
        <v>257</v>
      </c>
      <c r="D4049" s="220" t="s">
        <v>108</v>
      </c>
      <c r="E4049" s="165">
        <v>282</v>
      </c>
    </row>
    <row r="4050" spans="1:5" x14ac:dyDescent="0.25">
      <c r="A4050" s="216" t="s">
        <v>6342</v>
      </c>
      <c r="B4050" s="218">
        <v>1</v>
      </c>
      <c r="C4050" s="220" t="s">
        <v>219</v>
      </c>
      <c r="D4050" s="220" t="s">
        <v>56</v>
      </c>
      <c r="E4050" s="165">
        <v>282</v>
      </c>
    </row>
    <row r="4051" spans="1:5" x14ac:dyDescent="0.25">
      <c r="A4051" s="216" t="s">
        <v>6343</v>
      </c>
      <c r="B4051" s="218" t="s">
        <v>48</v>
      </c>
      <c r="C4051" s="220" t="s">
        <v>1875</v>
      </c>
      <c r="D4051" s="220" t="s">
        <v>188</v>
      </c>
      <c r="E4051" s="165">
        <v>282</v>
      </c>
    </row>
    <row r="4052" spans="1:5" x14ac:dyDescent="0.25">
      <c r="A4052" s="216" t="s">
        <v>11236</v>
      </c>
      <c r="B4052" s="218">
        <v>1</v>
      </c>
      <c r="C4052" s="220" t="s">
        <v>65</v>
      </c>
      <c r="D4052" s="220" t="s">
        <v>66</v>
      </c>
      <c r="E4052" s="165">
        <v>282</v>
      </c>
    </row>
    <row r="4053" spans="1:5" x14ac:dyDescent="0.25">
      <c r="A4053" s="216" t="s">
        <v>4813</v>
      </c>
      <c r="B4053" s="218" t="s">
        <v>48</v>
      </c>
      <c r="C4053" s="220" t="s">
        <v>4814</v>
      </c>
      <c r="D4053" s="220" t="s">
        <v>166</v>
      </c>
      <c r="E4053" s="165">
        <v>282</v>
      </c>
    </row>
    <row r="4054" spans="1:5" x14ac:dyDescent="0.25">
      <c r="A4054" s="216" t="s">
        <v>5735</v>
      </c>
      <c r="B4054" s="218">
        <v>1</v>
      </c>
      <c r="C4054" s="220" t="s">
        <v>2514</v>
      </c>
      <c r="D4054" s="220" t="s">
        <v>177</v>
      </c>
      <c r="E4054" s="165">
        <v>282</v>
      </c>
    </row>
    <row r="4055" spans="1:5" x14ac:dyDescent="0.25">
      <c r="A4055" s="216" t="s">
        <v>5177</v>
      </c>
      <c r="B4055" s="218" t="s">
        <v>48</v>
      </c>
      <c r="C4055" s="220" t="s">
        <v>5178</v>
      </c>
      <c r="D4055" s="220" t="s">
        <v>59</v>
      </c>
      <c r="E4055" s="165">
        <v>282</v>
      </c>
    </row>
    <row r="4056" spans="1:5" x14ac:dyDescent="0.25">
      <c r="A4056" s="216" t="s">
        <v>5804</v>
      </c>
      <c r="B4056" s="218">
        <v>1</v>
      </c>
      <c r="C4056" s="220" t="s">
        <v>5805</v>
      </c>
      <c r="D4056" s="220" t="s">
        <v>192</v>
      </c>
      <c r="E4056" s="165">
        <v>282</v>
      </c>
    </row>
    <row r="4057" spans="1:5" x14ac:dyDescent="0.25">
      <c r="A4057" s="216" t="s">
        <v>5433</v>
      </c>
      <c r="B4057" s="218">
        <v>1</v>
      </c>
      <c r="C4057" s="220" t="s">
        <v>1006</v>
      </c>
      <c r="D4057" s="220" t="s">
        <v>277</v>
      </c>
      <c r="E4057" s="165">
        <v>282</v>
      </c>
    </row>
    <row r="4058" spans="1:5" x14ac:dyDescent="0.25">
      <c r="A4058" s="216" t="s">
        <v>5655</v>
      </c>
      <c r="B4058" s="218">
        <v>1</v>
      </c>
      <c r="C4058" s="220" t="s">
        <v>5656</v>
      </c>
      <c r="D4058" s="220" t="s">
        <v>50</v>
      </c>
      <c r="E4058" s="165">
        <v>281</v>
      </c>
    </row>
    <row r="4059" spans="1:5" x14ac:dyDescent="0.25">
      <c r="A4059" s="216" t="s">
        <v>5644</v>
      </c>
      <c r="B4059" s="218">
        <v>1</v>
      </c>
      <c r="C4059" s="220" t="s">
        <v>627</v>
      </c>
      <c r="D4059" s="220" t="s">
        <v>272</v>
      </c>
      <c r="E4059" s="165">
        <v>281</v>
      </c>
    </row>
    <row r="4060" spans="1:5" x14ac:dyDescent="0.25">
      <c r="A4060" s="216" t="s">
        <v>5658</v>
      </c>
      <c r="B4060" s="218">
        <v>1</v>
      </c>
      <c r="C4060" s="220" t="s">
        <v>2223</v>
      </c>
      <c r="D4060" s="220" t="s">
        <v>277</v>
      </c>
      <c r="E4060" s="165">
        <v>281</v>
      </c>
    </row>
    <row r="4061" spans="1:5" x14ac:dyDescent="0.25">
      <c r="A4061" s="216" t="s">
        <v>5660</v>
      </c>
      <c r="B4061" s="218">
        <v>1</v>
      </c>
      <c r="C4061" s="220" t="s">
        <v>259</v>
      </c>
      <c r="D4061" s="220" t="s">
        <v>50</v>
      </c>
      <c r="E4061" s="165">
        <v>281</v>
      </c>
    </row>
    <row r="4062" spans="1:5" x14ac:dyDescent="0.25">
      <c r="A4062" s="216" t="s">
        <v>5040</v>
      </c>
      <c r="B4062" s="218" t="s">
        <v>48</v>
      </c>
      <c r="C4062" s="220" t="s">
        <v>2999</v>
      </c>
      <c r="D4062" s="220" t="s">
        <v>90</v>
      </c>
      <c r="E4062" s="165">
        <v>281</v>
      </c>
    </row>
    <row r="4063" spans="1:5" x14ac:dyDescent="0.25">
      <c r="A4063" s="216" t="s">
        <v>6003</v>
      </c>
      <c r="B4063" s="218" t="s">
        <v>48</v>
      </c>
      <c r="C4063" s="220" t="s">
        <v>6004</v>
      </c>
      <c r="D4063" s="220" t="s">
        <v>82</v>
      </c>
      <c r="E4063" s="165">
        <v>281</v>
      </c>
    </row>
    <row r="4064" spans="1:5" x14ac:dyDescent="0.25">
      <c r="A4064" s="216" t="s">
        <v>5637</v>
      </c>
      <c r="B4064" s="218" t="s">
        <v>48</v>
      </c>
      <c r="C4064" s="220" t="s">
        <v>1285</v>
      </c>
      <c r="D4064" s="220" t="s">
        <v>59</v>
      </c>
      <c r="E4064" s="165">
        <v>281</v>
      </c>
    </row>
    <row r="4065" spans="1:5" x14ac:dyDescent="0.25">
      <c r="A4065" s="216" t="s">
        <v>5846</v>
      </c>
      <c r="B4065" s="218">
        <v>1</v>
      </c>
      <c r="C4065" s="220" t="s">
        <v>5847</v>
      </c>
      <c r="D4065" s="220" t="s">
        <v>192</v>
      </c>
      <c r="E4065" s="165">
        <v>281</v>
      </c>
    </row>
    <row r="4066" spans="1:5" x14ac:dyDescent="0.25">
      <c r="A4066" s="216" t="s">
        <v>5745</v>
      </c>
      <c r="B4066" s="218">
        <v>1</v>
      </c>
      <c r="C4066" s="220" t="s">
        <v>5582</v>
      </c>
      <c r="D4066" s="220" t="s">
        <v>56</v>
      </c>
      <c r="E4066" s="165">
        <v>281</v>
      </c>
    </row>
    <row r="4067" spans="1:5" x14ac:dyDescent="0.25">
      <c r="A4067" s="216" t="s">
        <v>5850</v>
      </c>
      <c r="B4067" s="218">
        <v>1</v>
      </c>
      <c r="C4067" s="220" t="s">
        <v>4172</v>
      </c>
      <c r="D4067" s="220" t="s">
        <v>192</v>
      </c>
      <c r="E4067" s="165">
        <v>281</v>
      </c>
    </row>
    <row r="4068" spans="1:5" x14ac:dyDescent="0.25">
      <c r="A4068" s="216" t="s">
        <v>5664</v>
      </c>
      <c r="B4068" s="218">
        <v>1</v>
      </c>
      <c r="C4068" s="220" t="s">
        <v>3439</v>
      </c>
      <c r="D4068" s="220" t="s">
        <v>50</v>
      </c>
      <c r="E4068" s="165">
        <v>281</v>
      </c>
    </row>
    <row r="4069" spans="1:5" x14ac:dyDescent="0.25">
      <c r="A4069" s="216" t="s">
        <v>5604</v>
      </c>
      <c r="B4069" s="218">
        <v>1</v>
      </c>
      <c r="C4069" s="220" t="s">
        <v>5605</v>
      </c>
      <c r="D4069" s="220" t="s">
        <v>113</v>
      </c>
      <c r="E4069" s="165">
        <v>281</v>
      </c>
    </row>
    <row r="4070" spans="1:5" x14ac:dyDescent="0.25">
      <c r="A4070" s="216" t="s">
        <v>5854</v>
      </c>
      <c r="B4070" s="218">
        <v>1</v>
      </c>
      <c r="C4070" s="220" t="s">
        <v>3991</v>
      </c>
      <c r="D4070" s="220" t="s">
        <v>192</v>
      </c>
      <c r="E4070" s="165">
        <v>281</v>
      </c>
    </row>
    <row r="4071" spans="1:5" x14ac:dyDescent="0.25">
      <c r="A4071" s="216" t="s">
        <v>5667</v>
      </c>
      <c r="B4071" s="218">
        <v>1</v>
      </c>
      <c r="C4071" s="220" t="s">
        <v>5668</v>
      </c>
      <c r="D4071" s="220" t="s">
        <v>50</v>
      </c>
      <c r="E4071" s="165">
        <v>281</v>
      </c>
    </row>
    <row r="4072" spans="1:5" x14ac:dyDescent="0.25">
      <c r="A4072" s="216" t="s">
        <v>5763</v>
      </c>
      <c r="B4072" s="218">
        <v>1</v>
      </c>
      <c r="C4072" s="220" t="s">
        <v>654</v>
      </c>
      <c r="D4072" s="220" t="s">
        <v>78</v>
      </c>
      <c r="E4072" s="165">
        <v>281</v>
      </c>
    </row>
    <row r="4073" spans="1:5" x14ac:dyDescent="0.25">
      <c r="A4073" s="216" t="s">
        <v>5857</v>
      </c>
      <c r="B4073" s="218">
        <v>1</v>
      </c>
      <c r="C4073" s="220" t="s">
        <v>5858</v>
      </c>
      <c r="D4073" s="220" t="s">
        <v>192</v>
      </c>
      <c r="E4073" s="165">
        <v>281</v>
      </c>
    </row>
    <row r="4074" spans="1:5" x14ac:dyDescent="0.25">
      <c r="A4074" s="216" t="s">
        <v>2956</v>
      </c>
      <c r="B4074" s="218" t="s">
        <v>48</v>
      </c>
      <c r="C4074" s="220" t="s">
        <v>1641</v>
      </c>
      <c r="D4074" s="220" t="s">
        <v>90</v>
      </c>
      <c r="E4074" s="165">
        <v>281</v>
      </c>
    </row>
    <row r="4075" spans="1:5" x14ac:dyDescent="0.25">
      <c r="A4075" s="216" t="s">
        <v>6886</v>
      </c>
      <c r="B4075" s="218">
        <v>1</v>
      </c>
      <c r="C4075" s="220" t="s">
        <v>6887</v>
      </c>
      <c r="D4075" s="220" t="s">
        <v>348</v>
      </c>
      <c r="E4075" s="165">
        <v>281</v>
      </c>
    </row>
    <row r="4076" spans="1:5" x14ac:dyDescent="0.25">
      <c r="A4076" s="216" t="s">
        <v>10880</v>
      </c>
      <c r="B4076" s="218">
        <v>1</v>
      </c>
      <c r="C4076" s="220" t="s">
        <v>877</v>
      </c>
      <c r="D4076" s="220" t="s">
        <v>78</v>
      </c>
      <c r="E4076" s="165">
        <v>281</v>
      </c>
    </row>
    <row r="4077" spans="1:5" x14ac:dyDescent="0.25">
      <c r="A4077" s="216" t="s">
        <v>5765</v>
      </c>
      <c r="B4077" s="218">
        <v>1</v>
      </c>
      <c r="C4077" s="220" t="s">
        <v>477</v>
      </c>
      <c r="D4077" s="220" t="s">
        <v>56</v>
      </c>
      <c r="E4077" s="165">
        <v>280</v>
      </c>
    </row>
    <row r="4078" spans="1:5" x14ac:dyDescent="0.25">
      <c r="A4078" s="216" t="s">
        <v>5766</v>
      </c>
      <c r="B4078" s="218">
        <v>1</v>
      </c>
      <c r="C4078" s="220" t="s">
        <v>5767</v>
      </c>
      <c r="D4078" s="220" t="s">
        <v>56</v>
      </c>
      <c r="E4078" s="165">
        <v>280</v>
      </c>
    </row>
    <row r="4079" spans="1:5" x14ac:dyDescent="0.25">
      <c r="A4079" s="216" t="s">
        <v>5435</v>
      </c>
      <c r="B4079" s="218" t="s">
        <v>48</v>
      </c>
      <c r="C4079" s="220" t="s">
        <v>5436</v>
      </c>
      <c r="D4079" s="220" t="s">
        <v>53</v>
      </c>
      <c r="E4079" s="165">
        <v>280</v>
      </c>
    </row>
    <row r="4080" spans="1:5" x14ac:dyDescent="0.25">
      <c r="A4080" s="216" t="s">
        <v>5992</v>
      </c>
      <c r="B4080" s="218" t="s">
        <v>48</v>
      </c>
      <c r="C4080" s="220" t="s">
        <v>5122</v>
      </c>
      <c r="D4080" s="220" t="s">
        <v>59</v>
      </c>
      <c r="E4080" s="165">
        <v>280</v>
      </c>
    </row>
    <row r="4081" spans="1:5" x14ac:dyDescent="0.25">
      <c r="A4081" s="216" t="s">
        <v>4824</v>
      </c>
      <c r="B4081" s="218" t="s">
        <v>48</v>
      </c>
      <c r="C4081" s="220" t="s">
        <v>4825</v>
      </c>
      <c r="D4081" s="220" t="s">
        <v>192</v>
      </c>
      <c r="E4081" s="165">
        <v>280</v>
      </c>
    </row>
    <row r="4082" spans="1:5" x14ac:dyDescent="0.25">
      <c r="A4082" s="216" t="s">
        <v>7255</v>
      </c>
      <c r="B4082" s="218" t="s">
        <v>48</v>
      </c>
      <c r="C4082" s="220" t="s">
        <v>313</v>
      </c>
      <c r="D4082" s="220" t="s">
        <v>90</v>
      </c>
      <c r="E4082" s="165">
        <v>280</v>
      </c>
    </row>
    <row r="4083" spans="1:5" x14ac:dyDescent="0.25">
      <c r="A4083" s="216" t="s">
        <v>5792</v>
      </c>
      <c r="B4083" s="218">
        <v>1</v>
      </c>
      <c r="C4083" s="220" t="s">
        <v>956</v>
      </c>
      <c r="D4083" s="220" t="s">
        <v>69</v>
      </c>
      <c r="E4083" s="165">
        <v>280</v>
      </c>
    </row>
    <row r="4084" spans="1:5" x14ac:dyDescent="0.25">
      <c r="A4084" s="216" t="s">
        <v>6040</v>
      </c>
      <c r="B4084" s="218" t="s">
        <v>48</v>
      </c>
      <c r="C4084" s="220" t="s">
        <v>4194</v>
      </c>
      <c r="D4084" s="220" t="s">
        <v>66</v>
      </c>
      <c r="E4084" s="165">
        <v>280</v>
      </c>
    </row>
    <row r="4085" spans="1:5" x14ac:dyDescent="0.25">
      <c r="A4085" s="216" t="s">
        <v>5770</v>
      </c>
      <c r="B4085" s="218">
        <v>1</v>
      </c>
      <c r="C4085" s="220" t="s">
        <v>157</v>
      </c>
      <c r="D4085" s="220" t="s">
        <v>56</v>
      </c>
      <c r="E4085" s="165">
        <v>280</v>
      </c>
    </row>
    <row r="4086" spans="1:5" x14ac:dyDescent="0.25">
      <c r="A4086" s="216" t="s">
        <v>10217</v>
      </c>
      <c r="B4086" s="218" t="s">
        <v>48</v>
      </c>
      <c r="C4086" s="220" t="s">
        <v>3194</v>
      </c>
      <c r="D4086" s="220" t="s">
        <v>75</v>
      </c>
      <c r="E4086" s="165">
        <v>280</v>
      </c>
    </row>
    <row r="4087" spans="1:5" x14ac:dyDescent="0.25">
      <c r="A4087" s="216" t="s">
        <v>5746</v>
      </c>
      <c r="B4087" s="218" t="s">
        <v>48</v>
      </c>
      <c r="C4087" s="220" t="s">
        <v>5747</v>
      </c>
      <c r="D4087" s="220" t="s">
        <v>192</v>
      </c>
      <c r="E4087" s="165">
        <v>280</v>
      </c>
    </row>
    <row r="4088" spans="1:5" x14ac:dyDescent="0.25">
      <c r="A4088" s="216" t="s">
        <v>5834</v>
      </c>
      <c r="B4088" s="218">
        <v>1</v>
      </c>
      <c r="C4088" s="220" t="s">
        <v>5835</v>
      </c>
      <c r="D4088" s="220" t="s">
        <v>66</v>
      </c>
      <c r="E4088" s="165">
        <v>280</v>
      </c>
    </row>
    <row r="4089" spans="1:5" x14ac:dyDescent="0.25">
      <c r="A4089" s="216" t="s">
        <v>5772</v>
      </c>
      <c r="B4089" s="218">
        <v>1</v>
      </c>
      <c r="C4089" s="220" t="s">
        <v>477</v>
      </c>
      <c r="D4089" s="220" t="s">
        <v>56</v>
      </c>
      <c r="E4089" s="165">
        <v>280</v>
      </c>
    </row>
    <row r="4090" spans="1:5" x14ac:dyDescent="0.25">
      <c r="A4090" s="216" t="s">
        <v>5054</v>
      </c>
      <c r="B4090" s="218" t="s">
        <v>48</v>
      </c>
      <c r="C4090" s="220" t="s">
        <v>4786</v>
      </c>
      <c r="D4090" s="220" t="s">
        <v>59</v>
      </c>
      <c r="E4090" s="165">
        <v>280</v>
      </c>
    </row>
    <row r="4091" spans="1:5" x14ac:dyDescent="0.25">
      <c r="A4091" s="216" t="s">
        <v>5773</v>
      </c>
      <c r="B4091" s="218">
        <v>1</v>
      </c>
      <c r="C4091" s="220" t="s">
        <v>4334</v>
      </c>
      <c r="D4091" s="220" t="s">
        <v>56</v>
      </c>
      <c r="E4091" s="165">
        <v>280</v>
      </c>
    </row>
    <row r="4092" spans="1:5" x14ac:dyDescent="0.25">
      <c r="A4092" s="216" t="s">
        <v>5134</v>
      </c>
      <c r="B4092" s="218">
        <v>1</v>
      </c>
      <c r="C4092" s="220" t="s">
        <v>5135</v>
      </c>
      <c r="D4092" s="220" t="s">
        <v>277</v>
      </c>
      <c r="E4092" s="165">
        <v>280</v>
      </c>
    </row>
    <row r="4093" spans="1:5" x14ac:dyDescent="0.25">
      <c r="A4093" s="216" t="s">
        <v>5197</v>
      </c>
      <c r="B4093" s="218">
        <v>1</v>
      </c>
      <c r="C4093" s="220" t="s">
        <v>4204</v>
      </c>
      <c r="D4093" s="220" t="s">
        <v>124</v>
      </c>
      <c r="E4093" s="165">
        <v>280</v>
      </c>
    </row>
    <row r="4094" spans="1:5" x14ac:dyDescent="0.25">
      <c r="A4094" s="216" t="s">
        <v>5139</v>
      </c>
      <c r="B4094" s="218">
        <v>1</v>
      </c>
      <c r="C4094" s="220" t="s">
        <v>5140</v>
      </c>
      <c r="D4094" s="220" t="s">
        <v>277</v>
      </c>
      <c r="E4094" s="165">
        <v>280</v>
      </c>
    </row>
    <row r="4095" spans="1:5" x14ac:dyDescent="0.25">
      <c r="A4095" s="216" t="s">
        <v>5899</v>
      </c>
      <c r="B4095" s="218">
        <v>1</v>
      </c>
      <c r="C4095" s="220" t="s">
        <v>86</v>
      </c>
      <c r="D4095" s="220" t="s">
        <v>78</v>
      </c>
      <c r="E4095" s="165">
        <v>279</v>
      </c>
    </row>
    <row r="4096" spans="1:5" x14ac:dyDescent="0.25">
      <c r="A4096" s="216" t="s">
        <v>6376</v>
      </c>
      <c r="B4096" s="218">
        <v>1</v>
      </c>
      <c r="C4096" s="220" t="s">
        <v>4914</v>
      </c>
      <c r="D4096" s="220" t="s">
        <v>72</v>
      </c>
      <c r="E4096" s="165">
        <v>279</v>
      </c>
    </row>
    <row r="4097" spans="1:5" x14ac:dyDescent="0.25">
      <c r="A4097" s="216" t="s">
        <v>9570</v>
      </c>
      <c r="B4097" s="218" t="s">
        <v>48</v>
      </c>
      <c r="C4097" s="220" t="s">
        <v>584</v>
      </c>
      <c r="D4097" s="220" t="s">
        <v>585</v>
      </c>
      <c r="E4097" s="165">
        <v>279</v>
      </c>
    </row>
    <row r="4098" spans="1:5" x14ac:dyDescent="0.25">
      <c r="A4098" s="216" t="s">
        <v>8953</v>
      </c>
      <c r="B4098" s="218" t="s">
        <v>48</v>
      </c>
      <c r="C4098" s="220" t="s">
        <v>1075</v>
      </c>
      <c r="D4098" s="220" t="s">
        <v>63</v>
      </c>
      <c r="E4098" s="165">
        <v>279</v>
      </c>
    </row>
    <row r="4099" spans="1:5" x14ac:dyDescent="0.25">
      <c r="A4099" s="216" t="s">
        <v>4800</v>
      </c>
      <c r="B4099" s="218" t="s">
        <v>48</v>
      </c>
      <c r="C4099" s="220" t="s">
        <v>733</v>
      </c>
      <c r="D4099" s="220" t="s">
        <v>78</v>
      </c>
      <c r="E4099" s="165">
        <v>279</v>
      </c>
    </row>
    <row r="4100" spans="1:5" x14ac:dyDescent="0.25">
      <c r="A4100" s="216" t="s">
        <v>9511</v>
      </c>
      <c r="B4100" s="218">
        <v>1</v>
      </c>
      <c r="C4100" s="220" t="s">
        <v>342</v>
      </c>
      <c r="D4100" s="220" t="s">
        <v>277</v>
      </c>
      <c r="E4100" s="165">
        <v>279</v>
      </c>
    </row>
    <row r="4101" spans="1:5" x14ac:dyDescent="0.25">
      <c r="A4101" s="216" t="s">
        <v>7107</v>
      </c>
      <c r="B4101" s="218" t="s">
        <v>48</v>
      </c>
      <c r="C4101" s="220" t="s">
        <v>58</v>
      </c>
      <c r="D4101" s="220" t="s">
        <v>59</v>
      </c>
      <c r="E4101" s="165">
        <v>279</v>
      </c>
    </row>
    <row r="4102" spans="1:5" x14ac:dyDescent="0.25">
      <c r="A4102" s="216" t="s">
        <v>5332</v>
      </c>
      <c r="B4102" s="218">
        <v>1</v>
      </c>
      <c r="C4102" s="220" t="s">
        <v>582</v>
      </c>
      <c r="D4102" s="220" t="s">
        <v>59</v>
      </c>
      <c r="E4102" s="165">
        <v>278</v>
      </c>
    </row>
    <row r="4103" spans="1:5" x14ac:dyDescent="0.25">
      <c r="A4103" s="216" t="s">
        <v>6472</v>
      </c>
      <c r="B4103" s="218" t="s">
        <v>48</v>
      </c>
      <c r="C4103" s="220" t="s">
        <v>6242</v>
      </c>
      <c r="D4103" s="220" t="s">
        <v>50</v>
      </c>
      <c r="E4103" s="165">
        <v>278</v>
      </c>
    </row>
    <row r="4104" spans="1:5" x14ac:dyDescent="0.25">
      <c r="A4104" s="216" t="s">
        <v>7156</v>
      </c>
      <c r="B4104" s="218">
        <v>1</v>
      </c>
      <c r="C4104" s="220" t="s">
        <v>7157</v>
      </c>
      <c r="D4104" s="220" t="s">
        <v>192</v>
      </c>
      <c r="E4104" s="165">
        <v>278</v>
      </c>
    </row>
    <row r="4105" spans="1:5" x14ac:dyDescent="0.25">
      <c r="A4105" s="216" t="s">
        <v>8831</v>
      </c>
      <c r="B4105" s="218">
        <v>1</v>
      </c>
      <c r="C4105" s="220" t="s">
        <v>511</v>
      </c>
      <c r="D4105" s="220" t="s">
        <v>394</v>
      </c>
      <c r="E4105" s="165">
        <v>278</v>
      </c>
    </row>
    <row r="4106" spans="1:5" x14ac:dyDescent="0.25">
      <c r="A4106" s="216" t="s">
        <v>8763</v>
      </c>
      <c r="B4106" s="218">
        <v>1</v>
      </c>
      <c r="C4106" s="220" t="s">
        <v>8764</v>
      </c>
      <c r="D4106" s="220" t="s">
        <v>56</v>
      </c>
      <c r="E4106" s="165">
        <v>278</v>
      </c>
    </row>
    <row r="4107" spans="1:5" x14ac:dyDescent="0.25">
      <c r="A4107" s="216" t="s">
        <v>6465</v>
      </c>
      <c r="B4107" s="218">
        <v>1</v>
      </c>
      <c r="C4107" s="220" t="s">
        <v>470</v>
      </c>
      <c r="D4107" s="220" t="s">
        <v>108</v>
      </c>
      <c r="E4107" s="165">
        <v>278</v>
      </c>
    </row>
    <row r="4108" spans="1:5" x14ac:dyDescent="0.25">
      <c r="A4108" s="216" t="s">
        <v>5904</v>
      </c>
      <c r="B4108" s="218">
        <v>1</v>
      </c>
      <c r="C4108" s="220" t="s">
        <v>251</v>
      </c>
      <c r="D4108" s="220" t="s">
        <v>98</v>
      </c>
      <c r="E4108" s="165">
        <v>278</v>
      </c>
    </row>
    <row r="4109" spans="1:5" x14ac:dyDescent="0.25">
      <c r="A4109" s="216" t="s">
        <v>10624</v>
      </c>
      <c r="B4109" s="218">
        <v>1</v>
      </c>
      <c r="C4109" s="220" t="s">
        <v>417</v>
      </c>
      <c r="D4109" s="220" t="s">
        <v>66</v>
      </c>
      <c r="E4109" s="165">
        <v>278</v>
      </c>
    </row>
    <row r="4110" spans="1:5" x14ac:dyDescent="0.25">
      <c r="A4110" s="216" t="s">
        <v>6303</v>
      </c>
      <c r="B4110" s="218">
        <v>1</v>
      </c>
      <c r="C4110" s="220" t="s">
        <v>6304</v>
      </c>
      <c r="D4110" s="220" t="s">
        <v>63</v>
      </c>
      <c r="E4110" s="165">
        <v>278</v>
      </c>
    </row>
    <row r="4111" spans="1:5" x14ac:dyDescent="0.25">
      <c r="A4111" s="216" t="s">
        <v>9401</v>
      </c>
      <c r="B4111" s="218">
        <v>1</v>
      </c>
      <c r="C4111" s="220" t="s">
        <v>925</v>
      </c>
      <c r="D4111" s="220" t="s">
        <v>394</v>
      </c>
      <c r="E4111" s="165">
        <v>278</v>
      </c>
    </row>
    <row r="4112" spans="1:5" x14ac:dyDescent="0.25">
      <c r="A4112" s="216" t="s">
        <v>9183</v>
      </c>
      <c r="B4112" s="218">
        <v>1</v>
      </c>
      <c r="C4112" s="220" t="s">
        <v>9184</v>
      </c>
      <c r="D4112" s="220" t="s">
        <v>66</v>
      </c>
      <c r="E4112" s="165">
        <v>278</v>
      </c>
    </row>
    <row r="4113" spans="1:5" x14ac:dyDescent="0.25">
      <c r="A4113" s="216" t="s">
        <v>5950</v>
      </c>
      <c r="B4113" s="218">
        <v>1</v>
      </c>
      <c r="C4113" s="220" t="s">
        <v>5951</v>
      </c>
      <c r="D4113" s="220" t="s">
        <v>63</v>
      </c>
      <c r="E4113" s="165">
        <v>278</v>
      </c>
    </row>
    <row r="4114" spans="1:5" x14ac:dyDescent="0.25">
      <c r="A4114" s="216" t="s">
        <v>6502</v>
      </c>
      <c r="B4114" s="218" t="s">
        <v>48</v>
      </c>
      <c r="C4114" s="220" t="s">
        <v>845</v>
      </c>
      <c r="D4114" s="220" t="s">
        <v>66</v>
      </c>
      <c r="E4114" s="165">
        <v>278</v>
      </c>
    </row>
    <row r="4115" spans="1:5" x14ac:dyDescent="0.25">
      <c r="A4115" s="216" t="s">
        <v>7944</v>
      </c>
      <c r="B4115" s="218">
        <v>1</v>
      </c>
      <c r="C4115" s="220" t="s">
        <v>7945</v>
      </c>
      <c r="D4115" s="220" t="s">
        <v>63</v>
      </c>
      <c r="E4115" s="165">
        <v>278</v>
      </c>
    </row>
    <row r="4116" spans="1:5" x14ac:dyDescent="0.25">
      <c r="A4116" s="216" t="s">
        <v>5589</v>
      </c>
      <c r="B4116" s="218">
        <v>1</v>
      </c>
      <c r="C4116" s="220" t="s">
        <v>289</v>
      </c>
      <c r="D4116" s="220" t="s">
        <v>69</v>
      </c>
      <c r="E4116" s="165">
        <v>278</v>
      </c>
    </row>
    <row r="4117" spans="1:5" x14ac:dyDescent="0.25">
      <c r="A4117" s="216" t="s">
        <v>7078</v>
      </c>
      <c r="B4117" s="218">
        <v>1</v>
      </c>
      <c r="C4117" s="220" t="s">
        <v>1365</v>
      </c>
      <c r="D4117" s="220" t="s">
        <v>192</v>
      </c>
      <c r="E4117" s="165">
        <v>278</v>
      </c>
    </row>
    <row r="4118" spans="1:5" x14ac:dyDescent="0.25">
      <c r="A4118" s="216" t="s">
        <v>7946</v>
      </c>
      <c r="B4118" s="218">
        <v>1</v>
      </c>
      <c r="C4118" s="220" t="s">
        <v>3344</v>
      </c>
      <c r="D4118" s="220" t="s">
        <v>222</v>
      </c>
      <c r="E4118" s="165">
        <v>278</v>
      </c>
    </row>
    <row r="4119" spans="1:5" x14ac:dyDescent="0.25">
      <c r="A4119" s="216" t="s">
        <v>5071</v>
      </c>
      <c r="B4119" s="218" t="s">
        <v>48</v>
      </c>
      <c r="C4119" s="220" t="s">
        <v>5072</v>
      </c>
      <c r="D4119" s="220" t="s">
        <v>59</v>
      </c>
      <c r="E4119" s="165">
        <v>277</v>
      </c>
    </row>
    <row r="4120" spans="1:5" x14ac:dyDescent="0.25">
      <c r="A4120" s="216" t="s">
        <v>6925</v>
      </c>
      <c r="B4120" s="218" t="s">
        <v>48</v>
      </c>
      <c r="C4120" s="220" t="s">
        <v>1259</v>
      </c>
      <c r="D4120" s="220" t="s">
        <v>1200</v>
      </c>
      <c r="E4120" s="165">
        <v>277</v>
      </c>
    </row>
    <row r="4121" spans="1:5" x14ac:dyDescent="0.25">
      <c r="A4121" s="216" t="s">
        <v>5227</v>
      </c>
      <c r="B4121" s="218" t="s">
        <v>48</v>
      </c>
      <c r="C4121" s="220" t="s">
        <v>1174</v>
      </c>
      <c r="D4121" s="220" t="s">
        <v>236</v>
      </c>
      <c r="E4121" s="165">
        <v>277</v>
      </c>
    </row>
    <row r="4122" spans="1:5" x14ac:dyDescent="0.25">
      <c r="A4122" s="216" t="s">
        <v>5712</v>
      </c>
      <c r="B4122" s="218">
        <v>1</v>
      </c>
      <c r="C4122" s="220" t="s">
        <v>5713</v>
      </c>
      <c r="D4122" s="220" t="s">
        <v>50</v>
      </c>
      <c r="E4122" s="165">
        <v>277</v>
      </c>
    </row>
    <row r="4123" spans="1:5" x14ac:dyDescent="0.25">
      <c r="A4123" s="216" t="s">
        <v>6082</v>
      </c>
      <c r="B4123" s="218" t="s">
        <v>48</v>
      </c>
      <c r="C4123" s="220" t="s">
        <v>6083</v>
      </c>
      <c r="D4123" s="220" t="s">
        <v>108</v>
      </c>
      <c r="E4123" s="165">
        <v>277</v>
      </c>
    </row>
    <row r="4124" spans="1:5" x14ac:dyDescent="0.25">
      <c r="A4124" s="216" t="s">
        <v>5614</v>
      </c>
      <c r="B4124" s="218" t="s">
        <v>48</v>
      </c>
      <c r="C4124" s="220" t="s">
        <v>144</v>
      </c>
      <c r="D4124" s="220" t="s">
        <v>59</v>
      </c>
      <c r="E4124" s="165">
        <v>277</v>
      </c>
    </row>
    <row r="4125" spans="1:5" x14ac:dyDescent="0.25">
      <c r="A4125" s="216" t="s">
        <v>4476</v>
      </c>
      <c r="B4125" s="218">
        <v>1</v>
      </c>
      <c r="C4125" s="220" t="s">
        <v>4477</v>
      </c>
      <c r="D4125" s="220" t="s">
        <v>188</v>
      </c>
      <c r="E4125" s="165">
        <v>277</v>
      </c>
    </row>
    <row r="4126" spans="1:5" x14ac:dyDescent="0.25">
      <c r="A4126" s="216" t="s">
        <v>5451</v>
      </c>
      <c r="B4126" s="218" t="s">
        <v>48</v>
      </c>
      <c r="C4126" s="220" t="s">
        <v>1610</v>
      </c>
      <c r="D4126" s="220" t="s">
        <v>166</v>
      </c>
      <c r="E4126" s="165">
        <v>276</v>
      </c>
    </row>
    <row r="4127" spans="1:5" x14ac:dyDescent="0.25">
      <c r="A4127" s="216" t="s">
        <v>4784</v>
      </c>
      <c r="B4127" s="218" t="s">
        <v>48</v>
      </c>
      <c r="C4127" s="220" t="s">
        <v>681</v>
      </c>
      <c r="D4127" s="220" t="s">
        <v>90</v>
      </c>
      <c r="E4127" s="165">
        <v>276</v>
      </c>
    </row>
    <row r="4128" spans="1:5" x14ac:dyDescent="0.25">
      <c r="A4128" s="216" t="s">
        <v>5221</v>
      </c>
      <c r="B4128" s="218">
        <v>1</v>
      </c>
      <c r="C4128" s="220" t="s">
        <v>5222</v>
      </c>
      <c r="D4128" s="220" t="s">
        <v>264</v>
      </c>
      <c r="E4128" s="165">
        <v>276</v>
      </c>
    </row>
    <row r="4129" spans="1:5" x14ac:dyDescent="0.25">
      <c r="A4129" s="216" t="s">
        <v>5833</v>
      </c>
      <c r="B4129" s="218">
        <v>1</v>
      </c>
      <c r="C4129" s="220" t="s">
        <v>388</v>
      </c>
      <c r="D4129" s="220" t="s">
        <v>56</v>
      </c>
      <c r="E4129" s="165">
        <v>276</v>
      </c>
    </row>
    <row r="4130" spans="1:5" x14ac:dyDescent="0.25">
      <c r="A4130" s="216" t="s">
        <v>5881</v>
      </c>
      <c r="B4130" s="218" t="s">
        <v>48</v>
      </c>
      <c r="C4130" s="220" t="s">
        <v>2559</v>
      </c>
      <c r="D4130" s="220" t="s">
        <v>93</v>
      </c>
      <c r="E4130" s="165">
        <v>276</v>
      </c>
    </row>
    <row r="4131" spans="1:5" x14ac:dyDescent="0.25">
      <c r="A4131" s="216" t="s">
        <v>5611</v>
      </c>
      <c r="B4131" s="218">
        <v>1</v>
      </c>
      <c r="C4131" s="220" t="s">
        <v>5612</v>
      </c>
      <c r="D4131" s="220" t="s">
        <v>172</v>
      </c>
      <c r="E4131" s="165">
        <v>276</v>
      </c>
    </row>
    <row r="4132" spans="1:5" x14ac:dyDescent="0.25">
      <c r="A4132" s="216" t="s">
        <v>5112</v>
      </c>
      <c r="B4132" s="218" t="s">
        <v>48</v>
      </c>
      <c r="C4132" s="220" t="s">
        <v>3326</v>
      </c>
      <c r="D4132" s="220" t="s">
        <v>206</v>
      </c>
      <c r="E4132" s="165">
        <v>276</v>
      </c>
    </row>
    <row r="4133" spans="1:5" x14ac:dyDescent="0.25">
      <c r="A4133" s="216" t="s">
        <v>5653</v>
      </c>
      <c r="B4133" s="218">
        <v>1</v>
      </c>
      <c r="C4133" s="220" t="s">
        <v>5654</v>
      </c>
      <c r="D4133" s="220" t="s">
        <v>201</v>
      </c>
      <c r="E4133" s="165">
        <v>276</v>
      </c>
    </row>
    <row r="4134" spans="1:5" x14ac:dyDescent="0.25">
      <c r="A4134" s="216" t="s">
        <v>5809</v>
      </c>
      <c r="B4134" s="218">
        <v>1</v>
      </c>
      <c r="C4134" s="220" t="s">
        <v>2172</v>
      </c>
      <c r="D4134" s="220" t="s">
        <v>188</v>
      </c>
      <c r="E4134" s="165">
        <v>275</v>
      </c>
    </row>
    <row r="4135" spans="1:5" x14ac:dyDescent="0.25">
      <c r="A4135" s="216" t="s">
        <v>10556</v>
      </c>
      <c r="B4135" s="218">
        <v>1</v>
      </c>
      <c r="C4135" s="220" t="s">
        <v>11237</v>
      </c>
      <c r="D4135" s="220" t="s">
        <v>139</v>
      </c>
      <c r="E4135" s="165">
        <v>275</v>
      </c>
    </row>
    <row r="4136" spans="1:5" x14ac:dyDescent="0.25">
      <c r="A4136" s="216" t="s">
        <v>5923</v>
      </c>
      <c r="B4136" s="218" t="s">
        <v>48</v>
      </c>
      <c r="C4136" s="220" t="s">
        <v>5924</v>
      </c>
      <c r="D4136" s="220" t="s">
        <v>188</v>
      </c>
      <c r="E4136" s="165">
        <v>275</v>
      </c>
    </row>
    <row r="4137" spans="1:5" x14ac:dyDescent="0.25">
      <c r="A4137" s="216" t="s">
        <v>7242</v>
      </c>
      <c r="B4137" s="218" t="s">
        <v>48</v>
      </c>
      <c r="C4137" s="220" t="s">
        <v>7243</v>
      </c>
      <c r="D4137" s="220" t="s">
        <v>78</v>
      </c>
      <c r="E4137" s="165">
        <v>275</v>
      </c>
    </row>
    <row r="4138" spans="1:5" x14ac:dyDescent="0.25">
      <c r="A4138" s="216" t="s">
        <v>5591</v>
      </c>
      <c r="B4138" s="218">
        <v>1</v>
      </c>
      <c r="C4138" s="220" t="s">
        <v>870</v>
      </c>
      <c r="D4138" s="220" t="s">
        <v>82</v>
      </c>
      <c r="E4138" s="165">
        <v>275</v>
      </c>
    </row>
    <row r="4139" spans="1:5" x14ac:dyDescent="0.25">
      <c r="A4139" s="216" t="s">
        <v>5939</v>
      </c>
      <c r="B4139" s="218" t="s">
        <v>48</v>
      </c>
      <c r="C4139" s="220" t="s">
        <v>283</v>
      </c>
      <c r="D4139" s="220" t="s">
        <v>59</v>
      </c>
      <c r="E4139" s="165">
        <v>275</v>
      </c>
    </row>
    <row r="4140" spans="1:5" x14ac:dyDescent="0.25">
      <c r="A4140" s="216" t="s">
        <v>5786</v>
      </c>
      <c r="B4140" s="218">
        <v>1</v>
      </c>
      <c r="C4140" s="220" t="s">
        <v>5787</v>
      </c>
      <c r="D4140" s="220" t="s">
        <v>124</v>
      </c>
      <c r="E4140" s="165">
        <v>274</v>
      </c>
    </row>
    <row r="4141" spans="1:5" x14ac:dyDescent="0.25">
      <c r="A4141" s="216" t="s">
        <v>5875</v>
      </c>
      <c r="B4141" s="218">
        <v>1</v>
      </c>
      <c r="C4141" s="220" t="s">
        <v>4131</v>
      </c>
      <c r="D4141" s="220" t="s">
        <v>69</v>
      </c>
      <c r="E4141" s="165">
        <v>274</v>
      </c>
    </row>
    <row r="4142" spans="1:5" x14ac:dyDescent="0.25">
      <c r="A4142" s="216" t="s">
        <v>6033</v>
      </c>
      <c r="B4142" s="218" t="s">
        <v>48</v>
      </c>
      <c r="C4142" s="220" t="s">
        <v>5749</v>
      </c>
      <c r="D4142" s="220" t="s">
        <v>59</v>
      </c>
      <c r="E4142" s="165">
        <v>274</v>
      </c>
    </row>
    <row r="4143" spans="1:5" x14ac:dyDescent="0.25">
      <c r="A4143" s="216" t="s">
        <v>5826</v>
      </c>
      <c r="B4143" s="218">
        <v>1</v>
      </c>
      <c r="C4143" s="220" t="s">
        <v>5827</v>
      </c>
      <c r="D4143" s="220" t="s">
        <v>56</v>
      </c>
      <c r="E4143" s="165">
        <v>273</v>
      </c>
    </row>
    <row r="4144" spans="1:5" x14ac:dyDescent="0.25">
      <c r="A4144" s="216" t="s">
        <v>5843</v>
      </c>
      <c r="B4144" s="218">
        <v>1</v>
      </c>
      <c r="C4144" s="220" t="s">
        <v>3512</v>
      </c>
      <c r="D4144" s="220" t="s">
        <v>78</v>
      </c>
      <c r="E4144" s="165">
        <v>273</v>
      </c>
    </row>
    <row r="4145" spans="1:5" x14ac:dyDescent="0.25">
      <c r="A4145" s="216" t="s">
        <v>11238</v>
      </c>
      <c r="B4145" s="218">
        <v>1</v>
      </c>
      <c r="C4145" s="220" t="s">
        <v>1157</v>
      </c>
      <c r="D4145" s="220" t="s">
        <v>206</v>
      </c>
      <c r="E4145" s="165">
        <v>273</v>
      </c>
    </row>
    <row r="4146" spans="1:5" x14ac:dyDescent="0.25">
      <c r="A4146" s="216" t="s">
        <v>5832</v>
      </c>
      <c r="B4146" s="218">
        <v>1</v>
      </c>
      <c r="C4146" s="220" t="s">
        <v>5582</v>
      </c>
      <c r="D4146" s="220" t="s">
        <v>56</v>
      </c>
      <c r="E4146" s="165">
        <v>273</v>
      </c>
    </row>
    <row r="4147" spans="1:5" x14ac:dyDescent="0.25">
      <c r="A4147" s="216" t="s">
        <v>6441</v>
      </c>
      <c r="B4147" s="218">
        <v>1</v>
      </c>
      <c r="C4147" s="220" t="s">
        <v>6442</v>
      </c>
      <c r="D4147" s="220" t="s">
        <v>72</v>
      </c>
      <c r="E4147" s="165">
        <v>273</v>
      </c>
    </row>
    <row r="4148" spans="1:5" x14ac:dyDescent="0.25">
      <c r="A4148" s="216" t="s">
        <v>11239</v>
      </c>
      <c r="B4148" s="218">
        <v>1</v>
      </c>
      <c r="C4148" s="220" t="s">
        <v>350</v>
      </c>
      <c r="D4148" s="220" t="s">
        <v>139</v>
      </c>
      <c r="E4148" s="165">
        <v>273</v>
      </c>
    </row>
    <row r="4149" spans="1:5" x14ac:dyDescent="0.25">
      <c r="A4149" s="216" t="s">
        <v>11240</v>
      </c>
      <c r="B4149" s="218">
        <v>1</v>
      </c>
      <c r="C4149" s="220" t="s">
        <v>773</v>
      </c>
      <c r="D4149" s="220" t="s">
        <v>774</v>
      </c>
      <c r="E4149" s="165">
        <v>273</v>
      </c>
    </row>
    <row r="4150" spans="1:5" x14ac:dyDescent="0.25">
      <c r="A4150" s="216" t="s">
        <v>11241</v>
      </c>
      <c r="B4150" s="218">
        <v>1</v>
      </c>
      <c r="C4150" s="220" t="s">
        <v>11242</v>
      </c>
      <c r="D4150" s="220" t="s">
        <v>108</v>
      </c>
      <c r="E4150" s="165">
        <v>273</v>
      </c>
    </row>
    <row r="4151" spans="1:5" x14ac:dyDescent="0.25">
      <c r="A4151" s="216" t="s">
        <v>6006</v>
      </c>
      <c r="B4151" s="218">
        <v>1</v>
      </c>
      <c r="C4151" s="220" t="s">
        <v>615</v>
      </c>
      <c r="D4151" s="220" t="s">
        <v>63</v>
      </c>
      <c r="E4151" s="165">
        <v>273</v>
      </c>
    </row>
    <row r="4152" spans="1:5" x14ac:dyDescent="0.25">
      <c r="A4152" s="216" t="s">
        <v>4474</v>
      </c>
      <c r="B4152" s="218" t="s">
        <v>48</v>
      </c>
      <c r="C4152" s="220" t="s">
        <v>4475</v>
      </c>
      <c r="D4152" s="220" t="s">
        <v>90</v>
      </c>
      <c r="E4152" s="165">
        <v>273</v>
      </c>
    </row>
    <row r="4153" spans="1:5" x14ac:dyDescent="0.25">
      <c r="A4153" s="216" t="s">
        <v>11243</v>
      </c>
      <c r="B4153" s="218">
        <v>1</v>
      </c>
      <c r="C4153" s="220" t="s">
        <v>634</v>
      </c>
      <c r="D4153" s="220" t="s">
        <v>264</v>
      </c>
      <c r="E4153" s="165">
        <v>273</v>
      </c>
    </row>
    <row r="4154" spans="1:5" x14ac:dyDescent="0.25">
      <c r="A4154" s="216" t="s">
        <v>11244</v>
      </c>
      <c r="B4154" s="218">
        <v>1</v>
      </c>
      <c r="C4154" s="220" t="s">
        <v>691</v>
      </c>
      <c r="D4154" s="220" t="s">
        <v>139</v>
      </c>
      <c r="E4154" s="165">
        <v>273</v>
      </c>
    </row>
    <row r="4155" spans="1:5" x14ac:dyDescent="0.25">
      <c r="A4155" s="216" t="s">
        <v>5963</v>
      </c>
      <c r="B4155" s="218">
        <v>1</v>
      </c>
      <c r="C4155" s="220" t="s">
        <v>3046</v>
      </c>
      <c r="D4155" s="220" t="s">
        <v>222</v>
      </c>
      <c r="E4155" s="165">
        <v>273</v>
      </c>
    </row>
    <row r="4156" spans="1:5" x14ac:dyDescent="0.25">
      <c r="A4156" s="216" t="s">
        <v>6696</v>
      </c>
      <c r="B4156" s="218">
        <v>1</v>
      </c>
      <c r="C4156" s="220" t="s">
        <v>5414</v>
      </c>
      <c r="D4156" s="220" t="s">
        <v>139</v>
      </c>
      <c r="E4156" s="165">
        <v>273</v>
      </c>
    </row>
    <row r="4157" spans="1:5" x14ac:dyDescent="0.25">
      <c r="A4157" s="216" t="s">
        <v>11245</v>
      </c>
      <c r="B4157" s="218">
        <v>1</v>
      </c>
      <c r="C4157" s="220" t="s">
        <v>4402</v>
      </c>
      <c r="D4157" s="220" t="s">
        <v>63</v>
      </c>
      <c r="E4157" s="165">
        <v>273</v>
      </c>
    </row>
    <row r="4158" spans="1:5" x14ac:dyDescent="0.25">
      <c r="A4158" s="216" t="s">
        <v>11246</v>
      </c>
      <c r="B4158" s="218">
        <v>1</v>
      </c>
      <c r="C4158" s="220" t="s">
        <v>90</v>
      </c>
      <c r="D4158" s="220" t="s">
        <v>441</v>
      </c>
      <c r="E4158" s="165">
        <v>273</v>
      </c>
    </row>
    <row r="4159" spans="1:5" x14ac:dyDescent="0.25">
      <c r="A4159" s="216" t="s">
        <v>6158</v>
      </c>
      <c r="B4159" s="218">
        <v>1</v>
      </c>
      <c r="C4159" s="220" t="s">
        <v>652</v>
      </c>
      <c r="D4159" s="220" t="s">
        <v>188</v>
      </c>
      <c r="E4159" s="165">
        <v>273</v>
      </c>
    </row>
    <row r="4160" spans="1:5" x14ac:dyDescent="0.25">
      <c r="A4160" s="216" t="s">
        <v>11247</v>
      </c>
      <c r="B4160" s="218">
        <v>1</v>
      </c>
      <c r="C4160" s="220" t="s">
        <v>7117</v>
      </c>
      <c r="D4160" s="220" t="s">
        <v>50</v>
      </c>
      <c r="E4160" s="165">
        <v>273</v>
      </c>
    </row>
    <row r="4161" spans="1:5" x14ac:dyDescent="0.25">
      <c r="A4161" s="216" t="s">
        <v>11248</v>
      </c>
      <c r="B4161" s="218">
        <v>1</v>
      </c>
      <c r="C4161" s="220" t="s">
        <v>3239</v>
      </c>
      <c r="D4161" s="220" t="s">
        <v>56</v>
      </c>
      <c r="E4161" s="165">
        <v>273</v>
      </c>
    </row>
    <row r="4162" spans="1:5" x14ac:dyDescent="0.25">
      <c r="A4162" s="216" t="s">
        <v>6707</v>
      </c>
      <c r="B4162" s="218" t="s">
        <v>48</v>
      </c>
      <c r="C4162" s="220" t="s">
        <v>1073</v>
      </c>
      <c r="D4162" s="220" t="s">
        <v>75</v>
      </c>
      <c r="E4162" s="165">
        <v>273</v>
      </c>
    </row>
    <row r="4163" spans="1:5" x14ac:dyDescent="0.25">
      <c r="A4163" s="216" t="s">
        <v>11249</v>
      </c>
      <c r="B4163" s="218">
        <v>1</v>
      </c>
      <c r="C4163" s="220" t="s">
        <v>11250</v>
      </c>
      <c r="D4163" s="220" t="s">
        <v>139</v>
      </c>
      <c r="E4163" s="165">
        <v>273</v>
      </c>
    </row>
    <row r="4164" spans="1:5" x14ac:dyDescent="0.25">
      <c r="A4164" s="216" t="s">
        <v>6159</v>
      </c>
      <c r="B4164" s="218">
        <v>1</v>
      </c>
      <c r="C4164" s="220" t="s">
        <v>6160</v>
      </c>
      <c r="D4164" s="220" t="s">
        <v>188</v>
      </c>
      <c r="E4164" s="165">
        <v>273</v>
      </c>
    </row>
    <row r="4165" spans="1:5" x14ac:dyDescent="0.25">
      <c r="A4165" s="216" t="s">
        <v>11251</v>
      </c>
      <c r="B4165" s="218">
        <v>1</v>
      </c>
      <c r="C4165" s="220" t="s">
        <v>11252</v>
      </c>
      <c r="D4165" s="220" t="s">
        <v>53</v>
      </c>
      <c r="E4165" s="165">
        <v>273</v>
      </c>
    </row>
    <row r="4166" spans="1:5" x14ac:dyDescent="0.25">
      <c r="A4166" s="216" t="s">
        <v>3911</v>
      </c>
      <c r="B4166" s="218" t="s">
        <v>48</v>
      </c>
      <c r="C4166" s="220" t="s">
        <v>3912</v>
      </c>
      <c r="D4166" s="220" t="s">
        <v>90</v>
      </c>
      <c r="E4166" s="165">
        <v>272</v>
      </c>
    </row>
    <row r="4167" spans="1:5" x14ac:dyDescent="0.25">
      <c r="A4167" s="216" t="s">
        <v>6267</v>
      </c>
      <c r="B4167" s="218" t="s">
        <v>48</v>
      </c>
      <c r="C4167" s="220" t="s">
        <v>90</v>
      </c>
      <c r="D4167" s="220" t="s">
        <v>82</v>
      </c>
      <c r="E4167" s="165">
        <v>272</v>
      </c>
    </row>
    <row r="4168" spans="1:5" x14ac:dyDescent="0.25">
      <c r="A4168" s="216" t="s">
        <v>5741</v>
      </c>
      <c r="B4168" s="218">
        <v>1</v>
      </c>
      <c r="C4168" s="220" t="s">
        <v>5742</v>
      </c>
      <c r="D4168" s="220" t="s">
        <v>628</v>
      </c>
      <c r="E4168" s="165">
        <v>272</v>
      </c>
    </row>
    <row r="4169" spans="1:5" x14ac:dyDescent="0.25">
      <c r="A4169" s="216" t="s">
        <v>6473</v>
      </c>
      <c r="B4169" s="218" t="s">
        <v>48</v>
      </c>
      <c r="C4169" s="220" t="s">
        <v>58</v>
      </c>
      <c r="D4169" s="220" t="s">
        <v>59</v>
      </c>
      <c r="E4169" s="165">
        <v>272</v>
      </c>
    </row>
    <row r="4170" spans="1:5" x14ac:dyDescent="0.25">
      <c r="A4170" s="216" t="s">
        <v>6026</v>
      </c>
      <c r="B4170" s="218">
        <v>1</v>
      </c>
      <c r="C4170" s="220" t="s">
        <v>3581</v>
      </c>
      <c r="D4170" s="220" t="s">
        <v>50</v>
      </c>
      <c r="E4170" s="165">
        <v>272</v>
      </c>
    </row>
    <row r="4171" spans="1:5" x14ac:dyDescent="0.25">
      <c r="A4171" s="216" t="s">
        <v>6063</v>
      </c>
      <c r="B4171" s="218">
        <v>1</v>
      </c>
      <c r="C4171" s="220" t="s">
        <v>6064</v>
      </c>
      <c r="D4171" s="220" t="s">
        <v>394</v>
      </c>
      <c r="E4171" s="165">
        <v>272</v>
      </c>
    </row>
    <row r="4172" spans="1:5" x14ac:dyDescent="0.25">
      <c r="A4172" s="216" t="s">
        <v>5467</v>
      </c>
      <c r="B4172" s="218" t="s">
        <v>48</v>
      </c>
      <c r="C4172" s="220" t="s">
        <v>5468</v>
      </c>
      <c r="D4172" s="220" t="s">
        <v>59</v>
      </c>
      <c r="E4172" s="165">
        <v>272</v>
      </c>
    </row>
    <row r="4173" spans="1:5" x14ac:dyDescent="0.25">
      <c r="A4173" s="216" t="s">
        <v>6764</v>
      </c>
      <c r="B4173" s="218">
        <v>1</v>
      </c>
      <c r="C4173" s="220" t="s">
        <v>2049</v>
      </c>
      <c r="D4173" s="220" t="s">
        <v>63</v>
      </c>
      <c r="E4173" s="165">
        <v>272</v>
      </c>
    </row>
    <row r="4174" spans="1:5" x14ac:dyDescent="0.25">
      <c r="A4174" s="216" t="s">
        <v>8857</v>
      </c>
      <c r="B4174" s="218" t="s">
        <v>48</v>
      </c>
      <c r="C4174" s="220" t="s">
        <v>4025</v>
      </c>
      <c r="D4174" s="220" t="s">
        <v>53</v>
      </c>
      <c r="E4174" s="165">
        <v>272</v>
      </c>
    </row>
    <row r="4175" spans="1:5" x14ac:dyDescent="0.25">
      <c r="A4175" s="216" t="s">
        <v>5917</v>
      </c>
      <c r="B4175" s="218">
        <v>1</v>
      </c>
      <c r="C4175" s="220" t="s">
        <v>104</v>
      </c>
      <c r="D4175" s="220" t="s">
        <v>105</v>
      </c>
      <c r="E4175" s="165">
        <v>272</v>
      </c>
    </row>
    <row r="4176" spans="1:5" x14ac:dyDescent="0.25">
      <c r="A4176" s="216" t="s">
        <v>6053</v>
      </c>
      <c r="B4176" s="218">
        <v>1</v>
      </c>
      <c r="C4176" s="220" t="s">
        <v>6054</v>
      </c>
      <c r="D4176" s="220" t="s">
        <v>50</v>
      </c>
      <c r="E4176" s="165">
        <v>272</v>
      </c>
    </row>
    <row r="4177" spans="1:5" x14ac:dyDescent="0.25">
      <c r="A4177" s="216" t="s">
        <v>9907</v>
      </c>
      <c r="B4177" s="218" t="s">
        <v>48</v>
      </c>
      <c r="C4177" s="220" t="s">
        <v>962</v>
      </c>
      <c r="D4177" s="220" t="s">
        <v>50</v>
      </c>
      <c r="E4177" s="165">
        <v>271</v>
      </c>
    </row>
    <row r="4178" spans="1:5" x14ac:dyDescent="0.25">
      <c r="A4178" s="216" t="s">
        <v>8494</v>
      </c>
      <c r="B4178" s="218" t="s">
        <v>48</v>
      </c>
      <c r="C4178" s="220" t="s">
        <v>3505</v>
      </c>
      <c r="D4178" s="220" t="s">
        <v>59</v>
      </c>
      <c r="E4178" s="165">
        <v>271</v>
      </c>
    </row>
    <row r="4179" spans="1:5" x14ac:dyDescent="0.25">
      <c r="A4179" s="216" t="s">
        <v>5703</v>
      </c>
      <c r="B4179" s="218" t="s">
        <v>48</v>
      </c>
      <c r="C4179" s="220" t="s">
        <v>251</v>
      </c>
      <c r="D4179" s="220" t="s">
        <v>98</v>
      </c>
      <c r="E4179" s="165">
        <v>271</v>
      </c>
    </row>
    <row r="4180" spans="1:5" x14ac:dyDescent="0.25">
      <c r="A4180" s="216" t="s">
        <v>11253</v>
      </c>
      <c r="B4180" s="218">
        <v>1</v>
      </c>
      <c r="C4180" s="220" t="s">
        <v>2658</v>
      </c>
      <c r="D4180" s="220" t="s">
        <v>69</v>
      </c>
      <c r="E4180" s="165">
        <v>271</v>
      </c>
    </row>
    <row r="4181" spans="1:5" x14ac:dyDescent="0.25">
      <c r="A4181" s="216" t="s">
        <v>5182</v>
      </c>
      <c r="B4181" s="218" t="s">
        <v>48</v>
      </c>
      <c r="C4181" s="220" t="s">
        <v>1732</v>
      </c>
      <c r="D4181" s="220" t="s">
        <v>53</v>
      </c>
      <c r="E4181" s="165">
        <v>271</v>
      </c>
    </row>
    <row r="4182" spans="1:5" x14ac:dyDescent="0.25">
      <c r="A4182" s="216" t="s">
        <v>5966</v>
      </c>
      <c r="B4182" s="218" t="s">
        <v>48</v>
      </c>
      <c r="C4182" s="220" t="s">
        <v>5967</v>
      </c>
      <c r="D4182" s="220" t="s">
        <v>378</v>
      </c>
      <c r="E4182" s="165">
        <v>271</v>
      </c>
    </row>
    <row r="4183" spans="1:5" x14ac:dyDescent="0.25">
      <c r="A4183" s="216" t="s">
        <v>5645</v>
      </c>
      <c r="B4183" s="218">
        <v>1</v>
      </c>
      <c r="C4183" s="220" t="s">
        <v>5646</v>
      </c>
      <c r="D4183" s="220" t="s">
        <v>130</v>
      </c>
      <c r="E4183" s="165">
        <v>270</v>
      </c>
    </row>
    <row r="4184" spans="1:5" x14ac:dyDescent="0.25">
      <c r="A4184" s="216" t="s">
        <v>6118</v>
      </c>
      <c r="B4184" s="218">
        <v>1</v>
      </c>
      <c r="C4184" s="220" t="s">
        <v>245</v>
      </c>
      <c r="D4184" s="220" t="s">
        <v>69</v>
      </c>
      <c r="E4184" s="165">
        <v>270</v>
      </c>
    </row>
    <row r="4185" spans="1:5" x14ac:dyDescent="0.25">
      <c r="A4185" s="216" t="s">
        <v>6347</v>
      </c>
      <c r="B4185" s="218" t="s">
        <v>48</v>
      </c>
      <c r="C4185" s="220" t="s">
        <v>2258</v>
      </c>
      <c r="D4185" s="220" t="s">
        <v>188</v>
      </c>
      <c r="E4185" s="165">
        <v>270</v>
      </c>
    </row>
    <row r="4186" spans="1:5" x14ac:dyDescent="0.25">
      <c r="A4186" s="216" t="s">
        <v>11254</v>
      </c>
      <c r="B4186" s="218" t="s">
        <v>48</v>
      </c>
      <c r="C4186" s="220" t="s">
        <v>7189</v>
      </c>
      <c r="D4186" s="220" t="s">
        <v>93</v>
      </c>
      <c r="E4186" s="165">
        <v>270</v>
      </c>
    </row>
    <row r="4187" spans="1:5" x14ac:dyDescent="0.25">
      <c r="A4187" s="216" t="s">
        <v>5651</v>
      </c>
      <c r="B4187" s="218">
        <v>1</v>
      </c>
      <c r="C4187" s="220" t="s">
        <v>5652</v>
      </c>
      <c r="D4187" s="220" t="s">
        <v>130</v>
      </c>
      <c r="E4187" s="165">
        <v>270</v>
      </c>
    </row>
    <row r="4188" spans="1:5" x14ac:dyDescent="0.25">
      <c r="A4188" s="216" t="s">
        <v>6086</v>
      </c>
      <c r="B4188" s="218">
        <v>1</v>
      </c>
      <c r="C4188" s="220" t="s">
        <v>6087</v>
      </c>
      <c r="D4188" s="220" t="s">
        <v>63</v>
      </c>
      <c r="E4188" s="165">
        <v>270</v>
      </c>
    </row>
    <row r="4189" spans="1:5" x14ac:dyDescent="0.25">
      <c r="A4189" s="216" t="s">
        <v>6138</v>
      </c>
      <c r="B4189" s="218">
        <v>1</v>
      </c>
      <c r="C4189" s="220" t="s">
        <v>6139</v>
      </c>
      <c r="D4189" s="220" t="s">
        <v>69</v>
      </c>
      <c r="E4189" s="165">
        <v>270</v>
      </c>
    </row>
    <row r="4190" spans="1:5" x14ac:dyDescent="0.25">
      <c r="A4190" s="216" t="s">
        <v>6369</v>
      </c>
      <c r="B4190" s="218" t="s">
        <v>48</v>
      </c>
      <c r="C4190" s="220" t="s">
        <v>582</v>
      </c>
      <c r="D4190" s="220" t="s">
        <v>59</v>
      </c>
      <c r="E4190" s="165">
        <v>269</v>
      </c>
    </row>
    <row r="4191" spans="1:5" x14ac:dyDescent="0.25">
      <c r="A4191" s="216" t="s">
        <v>5242</v>
      </c>
      <c r="B4191" s="218">
        <v>1</v>
      </c>
      <c r="C4191" s="220" t="s">
        <v>5243</v>
      </c>
      <c r="D4191" s="220" t="s">
        <v>277</v>
      </c>
      <c r="E4191" s="165">
        <v>269</v>
      </c>
    </row>
    <row r="4192" spans="1:5" x14ac:dyDescent="0.25">
      <c r="A4192" s="216" t="s">
        <v>6141</v>
      </c>
      <c r="B4192" s="218" t="s">
        <v>48</v>
      </c>
      <c r="C4192" s="220" t="s">
        <v>1986</v>
      </c>
      <c r="D4192" s="220" t="s">
        <v>585</v>
      </c>
      <c r="E4192" s="165">
        <v>269</v>
      </c>
    </row>
    <row r="4193" spans="1:5" x14ac:dyDescent="0.25">
      <c r="A4193" s="216" t="s">
        <v>5925</v>
      </c>
      <c r="B4193" s="218">
        <v>1</v>
      </c>
      <c r="C4193" s="220" t="s">
        <v>1105</v>
      </c>
      <c r="D4193" s="220" t="s">
        <v>72</v>
      </c>
      <c r="E4193" s="165">
        <v>269</v>
      </c>
    </row>
    <row r="4194" spans="1:5" x14ac:dyDescent="0.25">
      <c r="A4194" s="216" t="s">
        <v>5509</v>
      </c>
      <c r="B4194" s="218">
        <v>1</v>
      </c>
      <c r="C4194" s="220" t="s">
        <v>138</v>
      </c>
      <c r="D4194" s="220" t="s">
        <v>139</v>
      </c>
      <c r="E4194" s="165">
        <v>269</v>
      </c>
    </row>
    <row r="4195" spans="1:5" x14ac:dyDescent="0.25">
      <c r="A4195" s="216" t="s">
        <v>6005</v>
      </c>
      <c r="B4195" s="218">
        <v>1</v>
      </c>
      <c r="C4195" s="220" t="s">
        <v>251</v>
      </c>
      <c r="D4195" s="220" t="s">
        <v>98</v>
      </c>
      <c r="E4195" s="165">
        <v>269</v>
      </c>
    </row>
    <row r="4196" spans="1:5" x14ac:dyDescent="0.25">
      <c r="A4196" s="216" t="s">
        <v>5474</v>
      </c>
      <c r="B4196" s="218">
        <v>1</v>
      </c>
      <c r="C4196" s="220" t="s">
        <v>4957</v>
      </c>
      <c r="D4196" s="220" t="s">
        <v>118</v>
      </c>
      <c r="E4196" s="165">
        <v>269</v>
      </c>
    </row>
    <row r="4197" spans="1:5" x14ac:dyDescent="0.25">
      <c r="A4197" s="216" t="s">
        <v>5926</v>
      </c>
      <c r="B4197" s="218">
        <v>1</v>
      </c>
      <c r="C4197" s="220" t="s">
        <v>5064</v>
      </c>
      <c r="D4197" s="220" t="s">
        <v>72</v>
      </c>
      <c r="E4197" s="165">
        <v>269</v>
      </c>
    </row>
    <row r="4198" spans="1:5" x14ac:dyDescent="0.25">
      <c r="A4198" s="216" t="s">
        <v>5932</v>
      </c>
      <c r="B4198" s="218">
        <v>1</v>
      </c>
      <c r="C4198" s="220" t="s">
        <v>1567</v>
      </c>
      <c r="D4198" s="220" t="s">
        <v>69</v>
      </c>
      <c r="E4198" s="165">
        <v>269</v>
      </c>
    </row>
    <row r="4199" spans="1:5" x14ac:dyDescent="0.25">
      <c r="A4199" s="216" t="s">
        <v>4720</v>
      </c>
      <c r="B4199" s="218" t="s">
        <v>48</v>
      </c>
      <c r="C4199" s="220" t="s">
        <v>4721</v>
      </c>
      <c r="D4199" s="220" t="s">
        <v>53</v>
      </c>
      <c r="E4199" s="165">
        <v>269</v>
      </c>
    </row>
    <row r="4200" spans="1:5" x14ac:dyDescent="0.25">
      <c r="A4200" s="216" t="s">
        <v>5882</v>
      </c>
      <c r="B4200" s="218">
        <v>1</v>
      </c>
      <c r="C4200" s="220" t="s">
        <v>891</v>
      </c>
      <c r="D4200" s="220" t="s">
        <v>56</v>
      </c>
      <c r="E4200" s="165">
        <v>269</v>
      </c>
    </row>
    <row r="4201" spans="1:5" x14ac:dyDescent="0.25">
      <c r="A4201" s="216" t="s">
        <v>5547</v>
      </c>
      <c r="B4201" s="218">
        <v>1</v>
      </c>
      <c r="C4201" s="220" t="s">
        <v>628</v>
      </c>
      <c r="D4201" s="220" t="s">
        <v>93</v>
      </c>
      <c r="E4201" s="165">
        <v>269</v>
      </c>
    </row>
    <row r="4202" spans="1:5" x14ac:dyDescent="0.25">
      <c r="A4202" s="216" t="s">
        <v>5928</v>
      </c>
      <c r="B4202" s="218">
        <v>1</v>
      </c>
      <c r="C4202" s="220" t="s">
        <v>5929</v>
      </c>
      <c r="D4202" s="220" t="s">
        <v>72</v>
      </c>
      <c r="E4202" s="165">
        <v>269</v>
      </c>
    </row>
    <row r="4203" spans="1:5" x14ac:dyDescent="0.25">
      <c r="A4203" s="216" t="s">
        <v>5548</v>
      </c>
      <c r="B4203" s="218" t="s">
        <v>48</v>
      </c>
      <c r="C4203" s="220" t="s">
        <v>3044</v>
      </c>
      <c r="D4203" s="220" t="s">
        <v>166</v>
      </c>
      <c r="E4203" s="165">
        <v>269</v>
      </c>
    </row>
    <row r="4204" spans="1:5" x14ac:dyDescent="0.25">
      <c r="A4204" s="216" t="s">
        <v>5825</v>
      </c>
      <c r="B4204" s="218">
        <v>1</v>
      </c>
      <c r="C4204" s="220" t="s">
        <v>285</v>
      </c>
      <c r="D4204" s="220" t="s">
        <v>50</v>
      </c>
      <c r="E4204" s="165">
        <v>269</v>
      </c>
    </row>
    <row r="4205" spans="1:5" x14ac:dyDescent="0.25">
      <c r="A4205" s="216" t="s">
        <v>5263</v>
      </c>
      <c r="B4205" s="218">
        <v>1</v>
      </c>
      <c r="C4205" s="220" t="s">
        <v>624</v>
      </c>
      <c r="D4205" s="220" t="s">
        <v>277</v>
      </c>
      <c r="E4205" s="165">
        <v>269</v>
      </c>
    </row>
    <row r="4206" spans="1:5" x14ac:dyDescent="0.25">
      <c r="A4206" s="216" t="s">
        <v>6858</v>
      </c>
      <c r="B4206" s="218">
        <v>1</v>
      </c>
      <c r="C4206" s="220" t="s">
        <v>390</v>
      </c>
      <c r="D4206" s="220" t="s">
        <v>130</v>
      </c>
      <c r="E4206" s="165">
        <v>268</v>
      </c>
    </row>
    <row r="4207" spans="1:5" x14ac:dyDescent="0.25">
      <c r="A4207" s="216" t="s">
        <v>11255</v>
      </c>
      <c r="B4207" s="218">
        <v>1</v>
      </c>
      <c r="C4207" s="220" t="s">
        <v>11256</v>
      </c>
      <c r="D4207" s="220" t="s">
        <v>192</v>
      </c>
      <c r="E4207" s="165">
        <v>268</v>
      </c>
    </row>
    <row r="4208" spans="1:5" x14ac:dyDescent="0.25">
      <c r="A4208" s="216" t="s">
        <v>11257</v>
      </c>
      <c r="B4208" s="218">
        <v>1</v>
      </c>
      <c r="C4208" s="220" t="s">
        <v>4049</v>
      </c>
      <c r="D4208" s="220" t="s">
        <v>72</v>
      </c>
      <c r="E4208" s="165">
        <v>268</v>
      </c>
    </row>
    <row r="4209" spans="1:5" x14ac:dyDescent="0.25">
      <c r="A4209" s="216" t="s">
        <v>10614</v>
      </c>
      <c r="B4209" s="218">
        <v>1</v>
      </c>
      <c r="C4209" s="220" t="s">
        <v>11258</v>
      </c>
      <c r="D4209" s="220" t="s">
        <v>523</v>
      </c>
      <c r="E4209" s="165">
        <v>268</v>
      </c>
    </row>
    <row r="4210" spans="1:5" x14ac:dyDescent="0.25">
      <c r="A4210" s="216" t="s">
        <v>6060</v>
      </c>
      <c r="B4210" s="218">
        <v>1</v>
      </c>
      <c r="C4210" s="220" t="s">
        <v>3499</v>
      </c>
      <c r="D4210" s="220" t="s">
        <v>63</v>
      </c>
      <c r="E4210" s="165">
        <v>268</v>
      </c>
    </row>
    <row r="4211" spans="1:5" x14ac:dyDescent="0.25">
      <c r="A4211" s="216" t="s">
        <v>7029</v>
      </c>
      <c r="B4211" s="218" t="s">
        <v>48</v>
      </c>
      <c r="C4211" s="220" t="s">
        <v>624</v>
      </c>
      <c r="D4211" s="220" t="s">
        <v>59</v>
      </c>
      <c r="E4211" s="165">
        <v>268</v>
      </c>
    </row>
    <row r="4212" spans="1:5" x14ac:dyDescent="0.25">
      <c r="A4212" s="216" t="s">
        <v>6213</v>
      </c>
      <c r="B4212" s="218">
        <v>1</v>
      </c>
      <c r="C4212" s="220" t="s">
        <v>665</v>
      </c>
      <c r="D4212" s="220" t="s">
        <v>188</v>
      </c>
      <c r="E4212" s="165">
        <v>268</v>
      </c>
    </row>
    <row r="4213" spans="1:5" x14ac:dyDescent="0.25">
      <c r="A4213" s="216" t="s">
        <v>6072</v>
      </c>
      <c r="B4213" s="218">
        <v>1</v>
      </c>
      <c r="C4213" s="220" t="s">
        <v>6073</v>
      </c>
      <c r="D4213" s="220" t="s">
        <v>63</v>
      </c>
      <c r="E4213" s="165">
        <v>268</v>
      </c>
    </row>
    <row r="4214" spans="1:5" x14ac:dyDescent="0.25">
      <c r="A4214" s="216" t="s">
        <v>6404</v>
      </c>
      <c r="B4214" s="218" t="s">
        <v>48</v>
      </c>
      <c r="C4214" s="220" t="s">
        <v>259</v>
      </c>
      <c r="D4214" s="220" t="s">
        <v>50</v>
      </c>
      <c r="E4214" s="165">
        <v>267</v>
      </c>
    </row>
    <row r="4215" spans="1:5" x14ac:dyDescent="0.25">
      <c r="A4215" s="216" t="s">
        <v>4080</v>
      </c>
      <c r="B4215" s="218" t="s">
        <v>48</v>
      </c>
      <c r="C4215" s="220" t="s">
        <v>1513</v>
      </c>
      <c r="D4215" s="220" t="s">
        <v>188</v>
      </c>
      <c r="E4215" s="165">
        <v>267</v>
      </c>
    </row>
    <row r="4216" spans="1:5" x14ac:dyDescent="0.25">
      <c r="A4216" s="216" t="s">
        <v>6019</v>
      </c>
      <c r="B4216" s="218" t="s">
        <v>48</v>
      </c>
      <c r="C4216" s="220" t="s">
        <v>6020</v>
      </c>
      <c r="D4216" s="220" t="s">
        <v>75</v>
      </c>
      <c r="E4216" s="165">
        <v>267</v>
      </c>
    </row>
    <row r="4217" spans="1:5" x14ac:dyDescent="0.25">
      <c r="A4217" s="216" t="s">
        <v>11259</v>
      </c>
      <c r="B4217" s="218" t="s">
        <v>48</v>
      </c>
      <c r="C4217" s="220" t="s">
        <v>6837</v>
      </c>
      <c r="D4217" s="220" t="s">
        <v>166</v>
      </c>
      <c r="E4217" s="165">
        <v>267</v>
      </c>
    </row>
    <row r="4218" spans="1:5" x14ac:dyDescent="0.25">
      <c r="A4218" s="216" t="s">
        <v>7883</v>
      </c>
      <c r="B4218" s="218" t="s">
        <v>48</v>
      </c>
      <c r="C4218" s="220" t="s">
        <v>6807</v>
      </c>
      <c r="D4218" s="220" t="s">
        <v>166</v>
      </c>
      <c r="E4218" s="165">
        <v>267</v>
      </c>
    </row>
    <row r="4219" spans="1:5" x14ac:dyDescent="0.25">
      <c r="A4219" s="216" t="s">
        <v>5983</v>
      </c>
      <c r="B4219" s="218">
        <v>1</v>
      </c>
      <c r="C4219" s="220" t="s">
        <v>5984</v>
      </c>
      <c r="D4219" s="220" t="s">
        <v>802</v>
      </c>
      <c r="E4219" s="165">
        <v>267</v>
      </c>
    </row>
    <row r="4220" spans="1:5" x14ac:dyDescent="0.25">
      <c r="A4220" s="216" t="s">
        <v>7324</v>
      </c>
      <c r="B4220" s="218" t="s">
        <v>48</v>
      </c>
      <c r="C4220" s="220" t="s">
        <v>6203</v>
      </c>
      <c r="D4220" s="220" t="s">
        <v>53</v>
      </c>
      <c r="E4220" s="165">
        <v>267</v>
      </c>
    </row>
    <row r="4221" spans="1:5" x14ac:dyDescent="0.25">
      <c r="A4221" s="216" t="s">
        <v>7106</v>
      </c>
      <c r="B4221" s="218">
        <v>1</v>
      </c>
      <c r="C4221" s="220" t="s">
        <v>2121</v>
      </c>
      <c r="D4221" s="220" t="s">
        <v>69</v>
      </c>
      <c r="E4221" s="165">
        <v>267</v>
      </c>
    </row>
    <row r="4222" spans="1:5" x14ac:dyDescent="0.25">
      <c r="A4222" s="216" t="s">
        <v>5935</v>
      </c>
      <c r="B4222" s="218">
        <v>1</v>
      </c>
      <c r="C4222" s="220" t="s">
        <v>219</v>
      </c>
      <c r="D4222" s="220" t="s">
        <v>56</v>
      </c>
      <c r="E4222" s="165">
        <v>266</v>
      </c>
    </row>
    <row r="4223" spans="1:5" x14ac:dyDescent="0.25">
      <c r="A4223" s="216" t="s">
        <v>5788</v>
      </c>
      <c r="B4223" s="218">
        <v>1</v>
      </c>
      <c r="C4223" s="220" t="s">
        <v>5789</v>
      </c>
      <c r="D4223" s="220" t="s">
        <v>166</v>
      </c>
      <c r="E4223" s="165">
        <v>266</v>
      </c>
    </row>
    <row r="4224" spans="1:5" x14ac:dyDescent="0.25">
      <c r="A4224" s="216" t="s">
        <v>5535</v>
      </c>
      <c r="B4224" s="218">
        <v>1</v>
      </c>
      <c r="C4224" s="220" t="s">
        <v>5536</v>
      </c>
      <c r="D4224" s="220" t="s">
        <v>139</v>
      </c>
      <c r="E4224" s="165">
        <v>266</v>
      </c>
    </row>
    <row r="4225" spans="1:5" x14ac:dyDescent="0.25">
      <c r="A4225" s="216" t="s">
        <v>6627</v>
      </c>
      <c r="B4225" s="218" t="s">
        <v>48</v>
      </c>
      <c r="C4225" s="220" t="s">
        <v>6628</v>
      </c>
      <c r="D4225" s="220" t="s">
        <v>523</v>
      </c>
      <c r="E4225" s="165">
        <v>266</v>
      </c>
    </row>
    <row r="4226" spans="1:5" x14ac:dyDescent="0.25">
      <c r="A4226" s="216" t="s">
        <v>6294</v>
      </c>
      <c r="B4226" s="218" t="s">
        <v>48</v>
      </c>
      <c r="C4226" s="220" t="s">
        <v>879</v>
      </c>
      <c r="D4226" s="220" t="s">
        <v>236</v>
      </c>
      <c r="E4226" s="165">
        <v>266</v>
      </c>
    </row>
    <row r="4227" spans="1:5" x14ac:dyDescent="0.25">
      <c r="A4227" s="216" t="s">
        <v>5628</v>
      </c>
      <c r="B4227" s="218" t="s">
        <v>48</v>
      </c>
      <c r="C4227" s="220" t="s">
        <v>1487</v>
      </c>
      <c r="D4227" s="220" t="s">
        <v>56</v>
      </c>
      <c r="E4227" s="165">
        <v>266</v>
      </c>
    </row>
    <row r="4228" spans="1:5" x14ac:dyDescent="0.25">
      <c r="A4228" s="216" t="s">
        <v>5150</v>
      </c>
      <c r="B4228" s="218" t="s">
        <v>48</v>
      </c>
      <c r="C4228" s="220" t="s">
        <v>5151</v>
      </c>
      <c r="D4228" s="220" t="s">
        <v>166</v>
      </c>
      <c r="E4228" s="165">
        <v>266</v>
      </c>
    </row>
    <row r="4229" spans="1:5" x14ac:dyDescent="0.25">
      <c r="A4229" s="216" t="s">
        <v>6180</v>
      </c>
      <c r="B4229" s="218">
        <v>1</v>
      </c>
      <c r="C4229" s="220" t="s">
        <v>6181</v>
      </c>
      <c r="D4229" s="220" t="s">
        <v>69</v>
      </c>
      <c r="E4229" s="165">
        <v>265</v>
      </c>
    </row>
    <row r="4230" spans="1:5" x14ac:dyDescent="0.25">
      <c r="A4230" s="216" t="s">
        <v>7628</v>
      </c>
      <c r="B4230" s="218" t="s">
        <v>48</v>
      </c>
      <c r="C4230" s="220" t="s">
        <v>2062</v>
      </c>
      <c r="D4230" s="220" t="s">
        <v>56</v>
      </c>
      <c r="E4230" s="165">
        <v>265</v>
      </c>
    </row>
    <row r="4231" spans="1:5" x14ac:dyDescent="0.25">
      <c r="A4231" s="216" t="s">
        <v>5931</v>
      </c>
      <c r="B4231" s="218">
        <v>1</v>
      </c>
      <c r="C4231" s="220" t="s">
        <v>1162</v>
      </c>
      <c r="D4231" s="220" t="s">
        <v>188</v>
      </c>
      <c r="E4231" s="165">
        <v>265</v>
      </c>
    </row>
    <row r="4232" spans="1:5" x14ac:dyDescent="0.25">
      <c r="A4232" s="216" t="s">
        <v>6211</v>
      </c>
      <c r="B4232" s="218">
        <v>1</v>
      </c>
      <c r="C4232" s="220" t="s">
        <v>6212</v>
      </c>
      <c r="D4232" s="220" t="s">
        <v>56</v>
      </c>
      <c r="E4232" s="165">
        <v>265</v>
      </c>
    </row>
    <row r="4233" spans="1:5" x14ac:dyDescent="0.25">
      <c r="A4233" s="216" t="s">
        <v>6463</v>
      </c>
      <c r="B4233" s="218" t="s">
        <v>48</v>
      </c>
      <c r="C4233" s="220" t="s">
        <v>3007</v>
      </c>
      <c r="D4233" s="220" t="s">
        <v>188</v>
      </c>
      <c r="E4233" s="165">
        <v>265</v>
      </c>
    </row>
    <row r="4234" spans="1:5" x14ac:dyDescent="0.25">
      <c r="A4234" s="216" t="s">
        <v>7799</v>
      </c>
      <c r="B4234" s="218" t="s">
        <v>48</v>
      </c>
      <c r="C4234" s="220" t="s">
        <v>7800</v>
      </c>
      <c r="D4234" s="220" t="s">
        <v>272</v>
      </c>
      <c r="E4234" s="165">
        <v>265</v>
      </c>
    </row>
    <row r="4235" spans="1:5" x14ac:dyDescent="0.25">
      <c r="A4235" s="216" t="s">
        <v>9574</v>
      </c>
      <c r="B4235" s="218" t="s">
        <v>48</v>
      </c>
      <c r="C4235" s="220" t="s">
        <v>477</v>
      </c>
      <c r="D4235" s="220" t="s">
        <v>56</v>
      </c>
      <c r="E4235" s="165">
        <v>265</v>
      </c>
    </row>
    <row r="4236" spans="1:5" x14ac:dyDescent="0.25">
      <c r="A4236" s="216" t="s">
        <v>6214</v>
      </c>
      <c r="B4236" s="218">
        <v>1</v>
      </c>
      <c r="C4236" s="220" t="s">
        <v>6215</v>
      </c>
      <c r="D4236" s="220" t="s">
        <v>56</v>
      </c>
      <c r="E4236" s="165">
        <v>265</v>
      </c>
    </row>
    <row r="4237" spans="1:5" x14ac:dyDescent="0.25">
      <c r="A4237" s="216" t="s">
        <v>6164</v>
      </c>
      <c r="B4237" s="218">
        <v>1</v>
      </c>
      <c r="C4237" s="220" t="s">
        <v>6165</v>
      </c>
      <c r="D4237" s="220" t="s">
        <v>394</v>
      </c>
      <c r="E4237" s="165">
        <v>265</v>
      </c>
    </row>
    <row r="4238" spans="1:5" x14ac:dyDescent="0.25">
      <c r="A4238" s="216" t="s">
        <v>6216</v>
      </c>
      <c r="B4238" s="218">
        <v>1</v>
      </c>
      <c r="C4238" s="220" t="s">
        <v>545</v>
      </c>
      <c r="D4238" s="220" t="s">
        <v>56</v>
      </c>
      <c r="E4238" s="165">
        <v>265</v>
      </c>
    </row>
    <row r="4239" spans="1:5" x14ac:dyDescent="0.25">
      <c r="A4239" s="216" t="s">
        <v>5870</v>
      </c>
      <c r="B4239" s="218">
        <v>1</v>
      </c>
      <c r="C4239" s="220" t="s">
        <v>5871</v>
      </c>
      <c r="D4239" s="220" t="s">
        <v>50</v>
      </c>
      <c r="E4239" s="165">
        <v>265</v>
      </c>
    </row>
    <row r="4240" spans="1:5" x14ac:dyDescent="0.25">
      <c r="A4240" s="216" t="s">
        <v>5060</v>
      </c>
      <c r="B4240" s="218" t="s">
        <v>48</v>
      </c>
      <c r="C4240" s="220" t="s">
        <v>219</v>
      </c>
      <c r="D4240" s="220" t="s">
        <v>56</v>
      </c>
      <c r="E4240" s="165">
        <v>264</v>
      </c>
    </row>
    <row r="4241" spans="1:5" x14ac:dyDescent="0.25">
      <c r="A4241" s="216" t="s">
        <v>6859</v>
      </c>
      <c r="B4241" s="218" t="s">
        <v>48</v>
      </c>
      <c r="C4241" s="220" t="s">
        <v>6860</v>
      </c>
      <c r="D4241" s="220" t="s">
        <v>201</v>
      </c>
      <c r="E4241" s="165">
        <v>264</v>
      </c>
    </row>
    <row r="4242" spans="1:5" x14ac:dyDescent="0.25">
      <c r="A4242" s="216" t="s">
        <v>10244</v>
      </c>
      <c r="B4242" s="218" t="s">
        <v>48</v>
      </c>
      <c r="C4242" s="220" t="s">
        <v>7587</v>
      </c>
      <c r="D4242" s="220" t="s">
        <v>82</v>
      </c>
      <c r="E4242" s="165">
        <v>264</v>
      </c>
    </row>
    <row r="4243" spans="1:5" x14ac:dyDescent="0.25">
      <c r="A4243" s="216" t="s">
        <v>8267</v>
      </c>
      <c r="B4243" s="218" t="s">
        <v>48</v>
      </c>
      <c r="C4243" s="220" t="s">
        <v>3697</v>
      </c>
      <c r="D4243" s="220" t="s">
        <v>93</v>
      </c>
      <c r="E4243" s="165">
        <v>264</v>
      </c>
    </row>
    <row r="4244" spans="1:5" x14ac:dyDescent="0.25">
      <c r="A4244" s="216" t="s">
        <v>5995</v>
      </c>
      <c r="B4244" s="218">
        <v>1</v>
      </c>
      <c r="C4244" s="220" t="s">
        <v>640</v>
      </c>
      <c r="D4244" s="220" t="s">
        <v>69</v>
      </c>
      <c r="E4244" s="165">
        <v>264</v>
      </c>
    </row>
    <row r="4245" spans="1:5" x14ac:dyDescent="0.25">
      <c r="A4245" s="216" t="s">
        <v>5997</v>
      </c>
      <c r="B4245" s="218">
        <v>1</v>
      </c>
      <c r="C4245" s="220" t="s">
        <v>640</v>
      </c>
      <c r="D4245" s="220" t="s">
        <v>69</v>
      </c>
      <c r="E4245" s="165">
        <v>264</v>
      </c>
    </row>
    <row r="4246" spans="1:5" x14ac:dyDescent="0.25">
      <c r="A4246" s="216" t="s">
        <v>5797</v>
      </c>
      <c r="B4246" s="218">
        <v>1</v>
      </c>
      <c r="C4246" s="220" t="s">
        <v>3939</v>
      </c>
      <c r="D4246" s="220" t="s">
        <v>93</v>
      </c>
      <c r="E4246" s="165">
        <v>264</v>
      </c>
    </row>
    <row r="4247" spans="1:5" x14ac:dyDescent="0.25">
      <c r="A4247" s="216" t="s">
        <v>6263</v>
      </c>
      <c r="B4247" s="218">
        <v>1</v>
      </c>
      <c r="C4247" s="220" t="s">
        <v>396</v>
      </c>
      <c r="D4247" s="220" t="s">
        <v>188</v>
      </c>
      <c r="E4247" s="165">
        <v>263</v>
      </c>
    </row>
    <row r="4248" spans="1:5" x14ac:dyDescent="0.25">
      <c r="A4248" s="216" t="s">
        <v>2207</v>
      </c>
      <c r="B4248" s="218">
        <v>1</v>
      </c>
      <c r="C4248" s="220" t="s">
        <v>65</v>
      </c>
      <c r="D4248" s="220" t="s">
        <v>66</v>
      </c>
      <c r="E4248" s="165">
        <v>263</v>
      </c>
    </row>
    <row r="4249" spans="1:5" x14ac:dyDescent="0.25">
      <c r="A4249" s="216" t="s">
        <v>6552</v>
      </c>
      <c r="B4249" s="218">
        <v>1</v>
      </c>
      <c r="C4249" s="220" t="s">
        <v>2415</v>
      </c>
      <c r="D4249" s="220" t="s">
        <v>130</v>
      </c>
      <c r="E4249" s="165">
        <v>263</v>
      </c>
    </row>
    <row r="4250" spans="1:5" x14ac:dyDescent="0.25">
      <c r="A4250" s="216" t="s">
        <v>6268</v>
      </c>
      <c r="B4250" s="218" t="s">
        <v>48</v>
      </c>
      <c r="C4250" s="220" t="s">
        <v>92</v>
      </c>
      <c r="D4250" s="220" t="s">
        <v>93</v>
      </c>
      <c r="E4250" s="165">
        <v>263</v>
      </c>
    </row>
    <row r="4251" spans="1:5" x14ac:dyDescent="0.25">
      <c r="A4251" s="216" t="s">
        <v>5406</v>
      </c>
      <c r="B4251" s="218" t="s">
        <v>48</v>
      </c>
      <c r="C4251" s="220" t="s">
        <v>1677</v>
      </c>
      <c r="D4251" s="220" t="s">
        <v>63</v>
      </c>
      <c r="E4251" s="165">
        <v>263</v>
      </c>
    </row>
    <row r="4252" spans="1:5" x14ac:dyDescent="0.25">
      <c r="A4252" s="216" t="s">
        <v>6397</v>
      </c>
      <c r="B4252" s="218">
        <v>1</v>
      </c>
      <c r="C4252" s="220" t="s">
        <v>2718</v>
      </c>
      <c r="D4252" s="220" t="s">
        <v>575</v>
      </c>
      <c r="E4252" s="165">
        <v>263</v>
      </c>
    </row>
    <row r="4253" spans="1:5" x14ac:dyDescent="0.25">
      <c r="A4253" s="216" t="s">
        <v>5869</v>
      </c>
      <c r="B4253" s="218">
        <v>1</v>
      </c>
      <c r="C4253" s="220" t="s">
        <v>77</v>
      </c>
      <c r="D4253" s="220" t="s">
        <v>78</v>
      </c>
      <c r="E4253" s="165">
        <v>263</v>
      </c>
    </row>
    <row r="4254" spans="1:5" x14ac:dyDescent="0.25">
      <c r="A4254" s="216" t="s">
        <v>6663</v>
      </c>
      <c r="B4254" s="218">
        <v>1</v>
      </c>
      <c r="C4254" s="220" t="s">
        <v>104</v>
      </c>
      <c r="D4254" s="220" t="s">
        <v>105</v>
      </c>
      <c r="E4254" s="165">
        <v>263</v>
      </c>
    </row>
    <row r="4255" spans="1:5" x14ac:dyDescent="0.25">
      <c r="A4255" s="216" t="s">
        <v>6145</v>
      </c>
      <c r="B4255" s="218">
        <v>1</v>
      </c>
      <c r="C4255" s="220" t="s">
        <v>1020</v>
      </c>
      <c r="D4255" s="220" t="s">
        <v>63</v>
      </c>
      <c r="E4255" s="165">
        <v>263</v>
      </c>
    </row>
    <row r="4256" spans="1:5" x14ac:dyDescent="0.25">
      <c r="A4256" s="216" t="s">
        <v>6169</v>
      </c>
      <c r="B4256" s="218" t="s">
        <v>48</v>
      </c>
      <c r="C4256" s="220" t="s">
        <v>1257</v>
      </c>
      <c r="D4256" s="220" t="s">
        <v>50</v>
      </c>
      <c r="E4256" s="165">
        <v>263</v>
      </c>
    </row>
    <row r="4257" spans="1:5" x14ac:dyDescent="0.25">
      <c r="A4257" s="216" t="s">
        <v>5365</v>
      </c>
      <c r="B4257" s="218">
        <v>1</v>
      </c>
      <c r="C4257" s="220" t="s">
        <v>5366</v>
      </c>
      <c r="D4257" s="220" t="s">
        <v>277</v>
      </c>
      <c r="E4257" s="165">
        <v>262</v>
      </c>
    </row>
    <row r="4258" spans="1:5" x14ac:dyDescent="0.25">
      <c r="A4258" s="216" t="s">
        <v>5647</v>
      </c>
      <c r="B4258" s="218" t="s">
        <v>48</v>
      </c>
      <c r="C4258" s="220" t="s">
        <v>5648</v>
      </c>
      <c r="D4258" s="220" t="s">
        <v>98</v>
      </c>
      <c r="E4258" s="165">
        <v>262</v>
      </c>
    </row>
    <row r="4259" spans="1:5" x14ac:dyDescent="0.25">
      <c r="A4259" s="216" t="s">
        <v>6318</v>
      </c>
      <c r="B4259" s="218">
        <v>1</v>
      </c>
      <c r="C4259" s="220" t="s">
        <v>6319</v>
      </c>
      <c r="D4259" s="220" t="s">
        <v>139</v>
      </c>
      <c r="E4259" s="165">
        <v>262</v>
      </c>
    </row>
    <row r="4260" spans="1:5" x14ac:dyDescent="0.25">
      <c r="A4260" s="216" t="s">
        <v>11260</v>
      </c>
      <c r="B4260" s="218">
        <v>1</v>
      </c>
      <c r="C4260" s="220" t="s">
        <v>5138</v>
      </c>
      <c r="D4260" s="220" t="s">
        <v>69</v>
      </c>
      <c r="E4260" s="165">
        <v>262</v>
      </c>
    </row>
    <row r="4261" spans="1:5" x14ac:dyDescent="0.25">
      <c r="A4261" s="216" t="s">
        <v>6041</v>
      </c>
      <c r="B4261" s="218">
        <v>1</v>
      </c>
      <c r="C4261" s="220" t="s">
        <v>6042</v>
      </c>
      <c r="D4261" s="220" t="s">
        <v>66</v>
      </c>
      <c r="E4261" s="165">
        <v>262</v>
      </c>
    </row>
    <row r="4262" spans="1:5" x14ac:dyDescent="0.25">
      <c r="A4262" s="216" t="s">
        <v>8166</v>
      </c>
      <c r="B4262" s="218" t="s">
        <v>48</v>
      </c>
      <c r="C4262" s="220" t="s">
        <v>8167</v>
      </c>
      <c r="D4262" s="220" t="s">
        <v>93</v>
      </c>
      <c r="E4262" s="165">
        <v>262</v>
      </c>
    </row>
    <row r="4263" spans="1:5" x14ac:dyDescent="0.25">
      <c r="A4263" s="216" t="s">
        <v>2151</v>
      </c>
      <c r="B4263" s="218">
        <v>1</v>
      </c>
      <c r="C4263" s="220" t="s">
        <v>1290</v>
      </c>
      <c r="D4263" s="220" t="s">
        <v>277</v>
      </c>
      <c r="E4263" s="165">
        <v>262</v>
      </c>
    </row>
    <row r="4264" spans="1:5" x14ac:dyDescent="0.25">
      <c r="A4264" s="216" t="s">
        <v>11261</v>
      </c>
      <c r="B4264" s="218">
        <v>1</v>
      </c>
      <c r="C4264" s="220" t="s">
        <v>1953</v>
      </c>
      <c r="D4264" s="220" t="s">
        <v>50</v>
      </c>
      <c r="E4264" s="165">
        <v>262</v>
      </c>
    </row>
    <row r="4265" spans="1:5" x14ac:dyDescent="0.25">
      <c r="A4265" s="216" t="s">
        <v>5954</v>
      </c>
      <c r="B4265" s="218">
        <v>1</v>
      </c>
      <c r="C4265" s="220" t="s">
        <v>3637</v>
      </c>
      <c r="D4265" s="220" t="s">
        <v>98</v>
      </c>
      <c r="E4265" s="165">
        <v>262</v>
      </c>
    </row>
    <row r="4266" spans="1:5" x14ac:dyDescent="0.25">
      <c r="A4266" s="216" t="s">
        <v>6137</v>
      </c>
      <c r="B4266" s="218">
        <v>1</v>
      </c>
      <c r="C4266" s="220" t="s">
        <v>181</v>
      </c>
      <c r="D4266" s="220" t="s">
        <v>78</v>
      </c>
      <c r="E4266" s="165">
        <v>262</v>
      </c>
    </row>
    <row r="4267" spans="1:5" x14ac:dyDescent="0.25">
      <c r="A4267" s="216" t="s">
        <v>11262</v>
      </c>
      <c r="B4267" s="218">
        <v>1</v>
      </c>
      <c r="C4267" s="220" t="s">
        <v>257</v>
      </c>
      <c r="D4267" s="220" t="s">
        <v>108</v>
      </c>
      <c r="E4267" s="165">
        <v>261</v>
      </c>
    </row>
    <row r="4268" spans="1:5" x14ac:dyDescent="0.25">
      <c r="A4268" s="216" t="s">
        <v>5902</v>
      </c>
      <c r="B4268" s="218">
        <v>1</v>
      </c>
      <c r="C4268" s="220" t="s">
        <v>5903</v>
      </c>
      <c r="D4268" s="220" t="s">
        <v>50</v>
      </c>
      <c r="E4268" s="165">
        <v>261</v>
      </c>
    </row>
    <row r="4269" spans="1:5" x14ac:dyDescent="0.25">
      <c r="A4269" s="216" t="s">
        <v>5905</v>
      </c>
      <c r="B4269" s="218">
        <v>1</v>
      </c>
      <c r="C4269" s="220" t="s">
        <v>2632</v>
      </c>
      <c r="D4269" s="220" t="s">
        <v>50</v>
      </c>
      <c r="E4269" s="165">
        <v>261</v>
      </c>
    </row>
    <row r="4270" spans="1:5" x14ac:dyDescent="0.25">
      <c r="A4270" s="216" t="s">
        <v>11263</v>
      </c>
      <c r="B4270" s="218">
        <v>1</v>
      </c>
      <c r="C4270" s="220" t="s">
        <v>5409</v>
      </c>
      <c r="D4270" s="220" t="s">
        <v>277</v>
      </c>
      <c r="E4270" s="165">
        <v>261</v>
      </c>
    </row>
    <row r="4271" spans="1:5" x14ac:dyDescent="0.25">
      <c r="A4271" s="216" t="s">
        <v>6062</v>
      </c>
      <c r="B4271" s="218">
        <v>1</v>
      </c>
      <c r="C4271" s="220" t="s">
        <v>1906</v>
      </c>
      <c r="D4271" s="220" t="s">
        <v>66</v>
      </c>
      <c r="E4271" s="165">
        <v>261</v>
      </c>
    </row>
    <row r="4272" spans="1:5" x14ac:dyDescent="0.25">
      <c r="A4272" s="216" t="s">
        <v>5910</v>
      </c>
      <c r="B4272" s="218">
        <v>1</v>
      </c>
      <c r="C4272" s="220" t="s">
        <v>2623</v>
      </c>
      <c r="D4272" s="220" t="s">
        <v>50</v>
      </c>
      <c r="E4272" s="165">
        <v>261</v>
      </c>
    </row>
    <row r="4273" spans="1:5" x14ac:dyDescent="0.25">
      <c r="A4273" s="216" t="s">
        <v>10745</v>
      </c>
      <c r="B4273" s="218">
        <v>1</v>
      </c>
      <c r="C4273" s="220" t="s">
        <v>11264</v>
      </c>
      <c r="D4273" s="220" t="s">
        <v>139</v>
      </c>
      <c r="E4273" s="165">
        <v>261</v>
      </c>
    </row>
    <row r="4274" spans="1:5" x14ac:dyDescent="0.25">
      <c r="A4274" s="216" t="s">
        <v>5701</v>
      </c>
      <c r="B4274" s="218" t="s">
        <v>48</v>
      </c>
      <c r="C4274" s="220" t="s">
        <v>2225</v>
      </c>
      <c r="D4274" s="220" t="s">
        <v>90</v>
      </c>
      <c r="E4274" s="165">
        <v>261</v>
      </c>
    </row>
    <row r="4275" spans="1:5" x14ac:dyDescent="0.25">
      <c r="A4275" s="216" t="s">
        <v>5968</v>
      </c>
      <c r="B4275" s="218">
        <v>1</v>
      </c>
      <c r="C4275" s="220" t="s">
        <v>5969</v>
      </c>
      <c r="D4275" s="220" t="s">
        <v>98</v>
      </c>
      <c r="E4275" s="165">
        <v>261</v>
      </c>
    </row>
    <row r="4276" spans="1:5" x14ac:dyDescent="0.25">
      <c r="A4276" s="216" t="s">
        <v>7304</v>
      </c>
      <c r="B4276" s="218" t="s">
        <v>48</v>
      </c>
      <c r="C4276" s="220" t="s">
        <v>7305</v>
      </c>
      <c r="D4276" s="220" t="s">
        <v>59</v>
      </c>
      <c r="E4276" s="165">
        <v>261</v>
      </c>
    </row>
    <row r="4277" spans="1:5" x14ac:dyDescent="0.25">
      <c r="A4277" s="216" t="s">
        <v>6166</v>
      </c>
      <c r="B4277" s="218">
        <v>1</v>
      </c>
      <c r="C4277" s="220" t="s">
        <v>306</v>
      </c>
      <c r="D4277" s="220" t="s">
        <v>63</v>
      </c>
      <c r="E4277" s="165">
        <v>261</v>
      </c>
    </row>
    <row r="4278" spans="1:5" x14ac:dyDescent="0.25">
      <c r="A4278" s="216" t="s">
        <v>5914</v>
      </c>
      <c r="B4278" s="218">
        <v>1</v>
      </c>
      <c r="C4278" s="220" t="s">
        <v>415</v>
      </c>
      <c r="D4278" s="220" t="s">
        <v>50</v>
      </c>
      <c r="E4278" s="165">
        <v>261</v>
      </c>
    </row>
    <row r="4279" spans="1:5" x14ac:dyDescent="0.25">
      <c r="A4279" s="216" t="s">
        <v>6196</v>
      </c>
      <c r="B4279" s="218">
        <v>1</v>
      </c>
      <c r="C4279" s="220" t="s">
        <v>2572</v>
      </c>
      <c r="D4279" s="220" t="s">
        <v>63</v>
      </c>
      <c r="E4279" s="165">
        <v>261</v>
      </c>
    </row>
    <row r="4280" spans="1:5" x14ac:dyDescent="0.25">
      <c r="A4280" s="216" t="s">
        <v>11265</v>
      </c>
      <c r="B4280" s="218">
        <v>1</v>
      </c>
      <c r="C4280" s="220" t="s">
        <v>2277</v>
      </c>
      <c r="D4280" s="220" t="s">
        <v>72</v>
      </c>
      <c r="E4280" s="165">
        <v>261</v>
      </c>
    </row>
    <row r="4281" spans="1:5" x14ac:dyDescent="0.25">
      <c r="A4281" s="216" t="s">
        <v>5916</v>
      </c>
      <c r="B4281" s="218">
        <v>1</v>
      </c>
      <c r="C4281" s="220" t="s">
        <v>1757</v>
      </c>
      <c r="D4281" s="220" t="s">
        <v>50</v>
      </c>
      <c r="E4281" s="165">
        <v>261</v>
      </c>
    </row>
    <row r="4282" spans="1:5" x14ac:dyDescent="0.25">
      <c r="A4282" s="216" t="s">
        <v>9514</v>
      </c>
      <c r="B4282" s="218" t="s">
        <v>48</v>
      </c>
      <c r="C4282" s="220" t="s">
        <v>597</v>
      </c>
      <c r="D4282" s="220" t="s">
        <v>56</v>
      </c>
      <c r="E4282" s="165">
        <v>260</v>
      </c>
    </row>
    <row r="4283" spans="1:5" x14ac:dyDescent="0.25">
      <c r="A4283" s="216" t="s">
        <v>6264</v>
      </c>
      <c r="B4283" s="218">
        <v>1</v>
      </c>
      <c r="C4283" s="220" t="s">
        <v>6265</v>
      </c>
      <c r="D4283" s="220" t="s">
        <v>56</v>
      </c>
      <c r="E4283" s="165">
        <v>260</v>
      </c>
    </row>
    <row r="4284" spans="1:5" x14ac:dyDescent="0.25">
      <c r="A4284" s="216" t="s">
        <v>6116</v>
      </c>
      <c r="B4284" s="218">
        <v>1</v>
      </c>
      <c r="C4284" s="220" t="s">
        <v>6117</v>
      </c>
      <c r="D4284" s="220" t="s">
        <v>192</v>
      </c>
      <c r="E4284" s="165">
        <v>260</v>
      </c>
    </row>
    <row r="4285" spans="1:5" x14ac:dyDescent="0.25">
      <c r="A4285" s="216" t="s">
        <v>6314</v>
      </c>
      <c r="B4285" s="218" t="s">
        <v>48</v>
      </c>
      <c r="C4285" s="220" t="s">
        <v>6315</v>
      </c>
      <c r="D4285" s="220" t="s">
        <v>50</v>
      </c>
      <c r="E4285" s="165">
        <v>260</v>
      </c>
    </row>
    <row r="4286" spans="1:5" x14ac:dyDescent="0.25">
      <c r="A4286" s="216" t="s">
        <v>598</v>
      </c>
      <c r="B4286" s="218" t="s">
        <v>48</v>
      </c>
      <c r="C4286" s="220" t="s">
        <v>599</v>
      </c>
      <c r="D4286" s="220" t="s">
        <v>378</v>
      </c>
      <c r="E4286" s="165">
        <v>260</v>
      </c>
    </row>
    <row r="4287" spans="1:5" x14ac:dyDescent="0.25">
      <c r="A4287" s="216" t="s">
        <v>6001</v>
      </c>
      <c r="B4287" s="218">
        <v>1</v>
      </c>
      <c r="C4287" s="220" t="s">
        <v>6002</v>
      </c>
      <c r="D4287" s="220" t="s">
        <v>78</v>
      </c>
      <c r="E4287" s="165">
        <v>260</v>
      </c>
    </row>
    <row r="4288" spans="1:5" x14ac:dyDescent="0.25">
      <c r="A4288" s="216" t="s">
        <v>6272</v>
      </c>
      <c r="B4288" s="218">
        <v>1</v>
      </c>
      <c r="C4288" s="220" t="s">
        <v>6273</v>
      </c>
      <c r="D4288" s="220" t="s">
        <v>56</v>
      </c>
      <c r="E4288" s="165">
        <v>260</v>
      </c>
    </row>
    <row r="4289" spans="1:5" x14ac:dyDescent="0.25">
      <c r="A4289" s="216" t="s">
        <v>6865</v>
      </c>
      <c r="B4289" s="218">
        <v>1</v>
      </c>
      <c r="C4289" s="220" t="s">
        <v>1835</v>
      </c>
      <c r="D4289" s="220" t="s">
        <v>139</v>
      </c>
      <c r="E4289" s="165">
        <v>260</v>
      </c>
    </row>
    <row r="4290" spans="1:5" x14ac:dyDescent="0.25">
      <c r="A4290" s="216" t="s">
        <v>6276</v>
      </c>
      <c r="B4290" s="218">
        <v>1</v>
      </c>
      <c r="C4290" s="220" t="s">
        <v>1077</v>
      </c>
      <c r="D4290" s="220" t="s">
        <v>56</v>
      </c>
      <c r="E4290" s="165">
        <v>260</v>
      </c>
    </row>
    <row r="4291" spans="1:5" x14ac:dyDescent="0.25">
      <c r="A4291" s="216" t="s">
        <v>5629</v>
      </c>
      <c r="B4291" s="218" t="s">
        <v>48</v>
      </c>
      <c r="C4291" s="220" t="s">
        <v>1823</v>
      </c>
      <c r="D4291" s="220" t="s">
        <v>56</v>
      </c>
      <c r="E4291" s="165">
        <v>260</v>
      </c>
    </row>
    <row r="4292" spans="1:5" x14ac:dyDescent="0.25">
      <c r="A4292" s="216" t="s">
        <v>5783</v>
      </c>
      <c r="B4292" s="218">
        <v>1</v>
      </c>
      <c r="C4292" s="220" t="s">
        <v>470</v>
      </c>
      <c r="D4292" s="220" t="s">
        <v>130</v>
      </c>
      <c r="E4292" s="165">
        <v>259</v>
      </c>
    </row>
    <row r="4293" spans="1:5" x14ac:dyDescent="0.25">
      <c r="A4293" s="216" t="s">
        <v>5861</v>
      </c>
      <c r="B4293" s="218">
        <v>1</v>
      </c>
      <c r="C4293" s="220" t="s">
        <v>5862</v>
      </c>
      <c r="D4293" s="220" t="s">
        <v>348</v>
      </c>
      <c r="E4293" s="165">
        <v>259</v>
      </c>
    </row>
    <row r="4294" spans="1:5" x14ac:dyDescent="0.25">
      <c r="A4294" s="216" t="s">
        <v>6300</v>
      </c>
      <c r="B4294" s="218">
        <v>1</v>
      </c>
      <c r="C4294" s="220" t="s">
        <v>6301</v>
      </c>
      <c r="D4294" s="220" t="s">
        <v>188</v>
      </c>
      <c r="E4294" s="165">
        <v>259</v>
      </c>
    </row>
    <row r="4295" spans="1:5" x14ac:dyDescent="0.25">
      <c r="A4295" s="216" t="s">
        <v>6027</v>
      </c>
      <c r="B4295" s="218" t="s">
        <v>48</v>
      </c>
      <c r="C4295" s="220" t="s">
        <v>390</v>
      </c>
      <c r="D4295" s="220" t="s">
        <v>75</v>
      </c>
      <c r="E4295" s="165">
        <v>259</v>
      </c>
    </row>
    <row r="4296" spans="1:5" x14ac:dyDescent="0.25">
      <c r="A4296" s="216" t="s">
        <v>6065</v>
      </c>
      <c r="B4296" s="218">
        <v>1</v>
      </c>
      <c r="C4296" s="220" t="s">
        <v>3986</v>
      </c>
      <c r="D4296" s="220" t="s">
        <v>66</v>
      </c>
      <c r="E4296" s="165">
        <v>259</v>
      </c>
    </row>
    <row r="4297" spans="1:5" x14ac:dyDescent="0.25">
      <c r="A4297" s="216" t="s">
        <v>5408</v>
      </c>
      <c r="B4297" s="218">
        <v>1</v>
      </c>
      <c r="C4297" s="220" t="s">
        <v>5409</v>
      </c>
      <c r="D4297" s="220" t="s">
        <v>277</v>
      </c>
      <c r="E4297" s="165">
        <v>259</v>
      </c>
    </row>
    <row r="4298" spans="1:5" x14ac:dyDescent="0.25">
      <c r="A4298" s="216" t="s">
        <v>6109</v>
      </c>
      <c r="B4298" s="218">
        <v>1</v>
      </c>
      <c r="C4298" s="220" t="s">
        <v>120</v>
      </c>
      <c r="D4298" s="220" t="s">
        <v>66</v>
      </c>
      <c r="E4298" s="165">
        <v>258</v>
      </c>
    </row>
    <row r="4299" spans="1:5" x14ac:dyDescent="0.25">
      <c r="A4299" s="216" t="s">
        <v>5938</v>
      </c>
      <c r="B4299" s="218">
        <v>1</v>
      </c>
      <c r="C4299" s="220" t="s">
        <v>259</v>
      </c>
      <c r="D4299" s="220" t="s">
        <v>50</v>
      </c>
      <c r="E4299" s="165">
        <v>258</v>
      </c>
    </row>
    <row r="4300" spans="1:5" x14ac:dyDescent="0.25">
      <c r="A4300" s="216" t="s">
        <v>6346</v>
      </c>
      <c r="B4300" s="218" t="s">
        <v>48</v>
      </c>
      <c r="C4300" s="220" t="s">
        <v>5744</v>
      </c>
      <c r="D4300" s="220" t="s">
        <v>78</v>
      </c>
      <c r="E4300" s="165">
        <v>258</v>
      </c>
    </row>
    <row r="4301" spans="1:5" x14ac:dyDescent="0.25">
      <c r="A4301" s="216" t="s">
        <v>7126</v>
      </c>
      <c r="B4301" s="218" t="s">
        <v>48</v>
      </c>
      <c r="C4301" s="220" t="s">
        <v>577</v>
      </c>
      <c r="D4301" s="220" t="s">
        <v>98</v>
      </c>
      <c r="E4301" s="165">
        <v>258</v>
      </c>
    </row>
    <row r="4302" spans="1:5" x14ac:dyDescent="0.25">
      <c r="A4302" s="216" t="s">
        <v>5989</v>
      </c>
      <c r="B4302" s="218" t="s">
        <v>48</v>
      </c>
      <c r="C4302" s="220" t="s">
        <v>5990</v>
      </c>
      <c r="D4302" s="220" t="s">
        <v>75</v>
      </c>
      <c r="E4302" s="165">
        <v>258</v>
      </c>
    </row>
    <row r="4303" spans="1:5" x14ac:dyDescent="0.25">
      <c r="A4303" s="216" t="s">
        <v>6283</v>
      </c>
      <c r="B4303" s="218" t="s">
        <v>48</v>
      </c>
      <c r="C4303" s="220" t="s">
        <v>6284</v>
      </c>
      <c r="D4303" s="220" t="s">
        <v>50</v>
      </c>
      <c r="E4303" s="165">
        <v>258</v>
      </c>
    </row>
    <row r="4304" spans="1:5" x14ac:dyDescent="0.25">
      <c r="A4304" s="216" t="s">
        <v>6037</v>
      </c>
      <c r="B4304" s="218">
        <v>1</v>
      </c>
      <c r="C4304" s="220" t="s">
        <v>2330</v>
      </c>
      <c r="D4304" s="220" t="s">
        <v>56</v>
      </c>
      <c r="E4304" s="165">
        <v>257</v>
      </c>
    </row>
    <row r="4305" spans="1:5" x14ac:dyDescent="0.25">
      <c r="A4305" s="216" t="s">
        <v>5105</v>
      </c>
      <c r="B4305" s="218" t="s">
        <v>48</v>
      </c>
      <c r="C4305" s="220" t="s">
        <v>605</v>
      </c>
      <c r="D4305" s="220" t="s">
        <v>585</v>
      </c>
      <c r="E4305" s="165">
        <v>257</v>
      </c>
    </row>
    <row r="4306" spans="1:5" x14ac:dyDescent="0.25">
      <c r="A4306" s="216" t="s">
        <v>6043</v>
      </c>
      <c r="B4306" s="218">
        <v>1</v>
      </c>
      <c r="C4306" s="220" t="s">
        <v>121</v>
      </c>
      <c r="D4306" s="220" t="s">
        <v>56</v>
      </c>
      <c r="E4306" s="165">
        <v>257</v>
      </c>
    </row>
    <row r="4307" spans="1:5" x14ac:dyDescent="0.25">
      <c r="A4307" s="216" t="s">
        <v>6049</v>
      </c>
      <c r="B4307" s="218">
        <v>1</v>
      </c>
      <c r="C4307" s="220" t="s">
        <v>367</v>
      </c>
      <c r="D4307" s="220" t="s">
        <v>56</v>
      </c>
      <c r="E4307" s="165">
        <v>257</v>
      </c>
    </row>
    <row r="4308" spans="1:5" x14ac:dyDescent="0.25">
      <c r="A4308" s="216" t="s">
        <v>6220</v>
      </c>
      <c r="B4308" s="218">
        <v>1</v>
      </c>
      <c r="C4308" s="220" t="s">
        <v>733</v>
      </c>
      <c r="D4308" s="220" t="s">
        <v>139</v>
      </c>
      <c r="E4308" s="165">
        <v>257</v>
      </c>
    </row>
    <row r="4309" spans="1:5" x14ac:dyDescent="0.25">
      <c r="A4309" s="216" t="s">
        <v>6339</v>
      </c>
      <c r="B4309" s="218">
        <v>1</v>
      </c>
      <c r="C4309" s="220" t="s">
        <v>6340</v>
      </c>
      <c r="D4309" s="220" t="s">
        <v>188</v>
      </c>
      <c r="E4309" s="165">
        <v>256</v>
      </c>
    </row>
    <row r="4310" spans="1:5" x14ac:dyDescent="0.25">
      <c r="A4310" s="216" t="s">
        <v>4866</v>
      </c>
      <c r="B4310" s="218" t="s">
        <v>48</v>
      </c>
      <c r="C4310" s="220" t="s">
        <v>4867</v>
      </c>
      <c r="D4310" s="220" t="s">
        <v>82</v>
      </c>
      <c r="E4310" s="165">
        <v>256</v>
      </c>
    </row>
    <row r="4311" spans="1:5" x14ac:dyDescent="0.25">
      <c r="A4311" s="216" t="s">
        <v>6785</v>
      </c>
      <c r="B4311" s="218">
        <v>1</v>
      </c>
      <c r="C4311" s="220" t="s">
        <v>6786</v>
      </c>
      <c r="D4311" s="220" t="s">
        <v>105</v>
      </c>
      <c r="E4311" s="165">
        <v>256</v>
      </c>
    </row>
    <row r="4312" spans="1:5" x14ac:dyDescent="0.25">
      <c r="A4312" s="216" t="s">
        <v>6878</v>
      </c>
      <c r="B4312" s="218" t="s">
        <v>48</v>
      </c>
      <c r="C4312" s="220" t="s">
        <v>6879</v>
      </c>
      <c r="D4312" s="220" t="s">
        <v>130</v>
      </c>
      <c r="E4312" s="165">
        <v>256</v>
      </c>
    </row>
    <row r="4313" spans="1:5" x14ac:dyDescent="0.25">
      <c r="A4313" s="216" t="s">
        <v>11266</v>
      </c>
      <c r="B4313" s="218">
        <v>1</v>
      </c>
      <c r="C4313" s="220" t="s">
        <v>2297</v>
      </c>
      <c r="D4313" s="220" t="s">
        <v>78</v>
      </c>
      <c r="E4313" s="165">
        <v>256</v>
      </c>
    </row>
    <row r="4314" spans="1:5" x14ac:dyDescent="0.25">
      <c r="A4314" s="216" t="s">
        <v>5865</v>
      </c>
      <c r="B4314" s="218">
        <v>1</v>
      </c>
      <c r="C4314" s="220" t="s">
        <v>141</v>
      </c>
      <c r="D4314" s="220" t="s">
        <v>142</v>
      </c>
      <c r="E4314" s="165">
        <v>256</v>
      </c>
    </row>
    <row r="4315" spans="1:5" x14ac:dyDescent="0.25">
      <c r="A4315" s="216" t="s">
        <v>8214</v>
      </c>
      <c r="B4315" s="218" t="s">
        <v>48</v>
      </c>
      <c r="C4315" s="220" t="s">
        <v>466</v>
      </c>
      <c r="D4315" s="220" t="s">
        <v>206</v>
      </c>
      <c r="E4315" s="165">
        <v>256</v>
      </c>
    </row>
    <row r="4316" spans="1:5" x14ac:dyDescent="0.25">
      <c r="A4316" s="216" t="s">
        <v>5964</v>
      </c>
      <c r="B4316" s="218">
        <v>1</v>
      </c>
      <c r="C4316" s="220" t="s">
        <v>2413</v>
      </c>
      <c r="D4316" s="220" t="s">
        <v>272</v>
      </c>
      <c r="E4316" s="165">
        <v>256</v>
      </c>
    </row>
    <row r="4317" spans="1:5" x14ac:dyDescent="0.25">
      <c r="A4317" s="216" t="s">
        <v>5748</v>
      </c>
      <c r="B4317" s="218" t="s">
        <v>48</v>
      </c>
      <c r="C4317" s="220" t="s">
        <v>5749</v>
      </c>
      <c r="D4317" s="220" t="s">
        <v>59</v>
      </c>
      <c r="E4317" s="165">
        <v>256</v>
      </c>
    </row>
    <row r="4318" spans="1:5" x14ac:dyDescent="0.25">
      <c r="A4318" s="216" t="s">
        <v>6028</v>
      </c>
      <c r="B4318" s="218">
        <v>1</v>
      </c>
      <c r="C4318" s="220" t="s">
        <v>6029</v>
      </c>
      <c r="D4318" s="220" t="s">
        <v>188</v>
      </c>
      <c r="E4318" s="165">
        <v>256</v>
      </c>
    </row>
    <row r="4319" spans="1:5" x14ac:dyDescent="0.25">
      <c r="A4319" s="216" t="s">
        <v>6526</v>
      </c>
      <c r="B4319" s="218" t="s">
        <v>48</v>
      </c>
      <c r="C4319" s="220" t="s">
        <v>6527</v>
      </c>
      <c r="D4319" s="220" t="s">
        <v>523</v>
      </c>
      <c r="E4319" s="165">
        <v>256</v>
      </c>
    </row>
    <row r="4320" spans="1:5" x14ac:dyDescent="0.25">
      <c r="A4320" s="216" t="s">
        <v>6050</v>
      </c>
      <c r="B4320" s="218">
        <v>1</v>
      </c>
      <c r="C4320" s="220" t="s">
        <v>274</v>
      </c>
      <c r="D4320" s="220" t="s">
        <v>188</v>
      </c>
      <c r="E4320" s="165">
        <v>256</v>
      </c>
    </row>
    <row r="4321" spans="1:5" x14ac:dyDescent="0.25">
      <c r="A4321" s="216" t="s">
        <v>6112</v>
      </c>
      <c r="B4321" s="218">
        <v>1</v>
      </c>
      <c r="C4321" s="220" t="s">
        <v>2340</v>
      </c>
      <c r="D4321" s="220" t="s">
        <v>124</v>
      </c>
      <c r="E4321" s="165">
        <v>256</v>
      </c>
    </row>
    <row r="4322" spans="1:5" x14ac:dyDescent="0.25">
      <c r="A4322" s="216" t="s">
        <v>6095</v>
      </c>
      <c r="B4322" s="218">
        <v>1</v>
      </c>
      <c r="C4322" s="220" t="s">
        <v>684</v>
      </c>
      <c r="D4322" s="220" t="s">
        <v>72</v>
      </c>
      <c r="E4322" s="165">
        <v>255</v>
      </c>
    </row>
    <row r="4323" spans="1:5" x14ac:dyDescent="0.25">
      <c r="A4323" s="216" t="s">
        <v>4806</v>
      </c>
      <c r="B4323" s="218" t="s">
        <v>48</v>
      </c>
      <c r="C4323" s="220" t="s">
        <v>709</v>
      </c>
      <c r="D4323" s="220" t="s">
        <v>710</v>
      </c>
      <c r="E4323" s="165">
        <v>255</v>
      </c>
    </row>
    <row r="4324" spans="1:5" x14ac:dyDescent="0.25">
      <c r="A4324" s="216" t="s">
        <v>6924</v>
      </c>
      <c r="B4324" s="218" t="s">
        <v>48</v>
      </c>
      <c r="C4324" s="220" t="s">
        <v>90</v>
      </c>
      <c r="D4324" s="220" t="s">
        <v>192</v>
      </c>
      <c r="E4324" s="165">
        <v>255</v>
      </c>
    </row>
    <row r="4325" spans="1:5" x14ac:dyDescent="0.25">
      <c r="A4325" s="216" t="s">
        <v>5906</v>
      </c>
      <c r="B4325" s="218">
        <v>1</v>
      </c>
      <c r="C4325" s="220" t="s">
        <v>1331</v>
      </c>
      <c r="D4325" s="220" t="s">
        <v>348</v>
      </c>
      <c r="E4325" s="165">
        <v>255</v>
      </c>
    </row>
    <row r="4326" spans="1:5" x14ac:dyDescent="0.25">
      <c r="A4326" s="216" t="s">
        <v>5638</v>
      </c>
      <c r="B4326" s="218">
        <v>1</v>
      </c>
      <c r="C4326" s="220" t="s">
        <v>5639</v>
      </c>
      <c r="D4326" s="220" t="s">
        <v>774</v>
      </c>
      <c r="E4326" s="165">
        <v>255</v>
      </c>
    </row>
    <row r="4327" spans="1:5" x14ac:dyDescent="0.25">
      <c r="A4327" s="216" t="s">
        <v>8327</v>
      </c>
      <c r="B4327" s="218" t="s">
        <v>48</v>
      </c>
      <c r="C4327" s="220" t="s">
        <v>8328</v>
      </c>
      <c r="D4327" s="220" t="s">
        <v>90</v>
      </c>
      <c r="E4327" s="165">
        <v>255</v>
      </c>
    </row>
    <row r="4328" spans="1:5" x14ac:dyDescent="0.25">
      <c r="A4328" s="216" t="s">
        <v>11267</v>
      </c>
      <c r="B4328" s="218">
        <v>1</v>
      </c>
      <c r="C4328" s="220" t="s">
        <v>11268</v>
      </c>
      <c r="D4328" s="220" t="s">
        <v>53</v>
      </c>
      <c r="E4328" s="165">
        <v>255</v>
      </c>
    </row>
    <row r="4329" spans="1:5" x14ac:dyDescent="0.25">
      <c r="A4329" s="216" t="s">
        <v>6322</v>
      </c>
      <c r="B4329" s="218">
        <v>1</v>
      </c>
      <c r="C4329" s="220" t="s">
        <v>891</v>
      </c>
      <c r="D4329" s="220" t="s">
        <v>56</v>
      </c>
      <c r="E4329" s="165">
        <v>255</v>
      </c>
    </row>
    <row r="4330" spans="1:5" x14ac:dyDescent="0.25">
      <c r="A4330" s="216" t="s">
        <v>6385</v>
      </c>
      <c r="B4330" s="218">
        <v>1</v>
      </c>
      <c r="C4330" s="220" t="s">
        <v>6386</v>
      </c>
      <c r="D4330" s="220" t="s">
        <v>63</v>
      </c>
      <c r="E4330" s="165">
        <v>255</v>
      </c>
    </row>
    <row r="4331" spans="1:5" x14ac:dyDescent="0.25">
      <c r="A4331" s="216" t="s">
        <v>7002</v>
      </c>
      <c r="B4331" s="218" t="s">
        <v>48</v>
      </c>
      <c r="C4331" s="220" t="s">
        <v>390</v>
      </c>
      <c r="D4331" s="220" t="s">
        <v>75</v>
      </c>
      <c r="E4331" s="165">
        <v>255</v>
      </c>
    </row>
    <row r="4332" spans="1:5" x14ac:dyDescent="0.25">
      <c r="A4332" s="216" t="s">
        <v>6090</v>
      </c>
      <c r="B4332" s="218">
        <v>1</v>
      </c>
      <c r="C4332" s="220" t="s">
        <v>6091</v>
      </c>
      <c r="D4332" s="220" t="s">
        <v>56</v>
      </c>
      <c r="E4332" s="165">
        <v>255</v>
      </c>
    </row>
    <row r="4333" spans="1:5" x14ac:dyDescent="0.25">
      <c r="A4333" s="216" t="s">
        <v>6366</v>
      </c>
      <c r="B4333" s="218">
        <v>1</v>
      </c>
      <c r="C4333" s="220" t="s">
        <v>5262</v>
      </c>
      <c r="D4333" s="220" t="s">
        <v>87</v>
      </c>
      <c r="E4333" s="165">
        <v>255</v>
      </c>
    </row>
    <row r="4334" spans="1:5" x14ac:dyDescent="0.25">
      <c r="A4334" s="216" t="s">
        <v>6323</v>
      </c>
      <c r="B4334" s="218">
        <v>1</v>
      </c>
      <c r="C4334" s="220" t="s">
        <v>84</v>
      </c>
      <c r="D4334" s="220" t="s">
        <v>56</v>
      </c>
      <c r="E4334" s="165">
        <v>255</v>
      </c>
    </row>
    <row r="4335" spans="1:5" x14ac:dyDescent="0.25">
      <c r="A4335" s="216" t="s">
        <v>5415</v>
      </c>
      <c r="B4335" s="218">
        <v>1</v>
      </c>
      <c r="C4335" s="220" t="s">
        <v>5416</v>
      </c>
      <c r="D4335" s="220" t="s">
        <v>523</v>
      </c>
      <c r="E4335" s="165">
        <v>254</v>
      </c>
    </row>
    <row r="4336" spans="1:5" x14ac:dyDescent="0.25">
      <c r="A4336" s="216" t="s">
        <v>5173</v>
      </c>
      <c r="B4336" s="218" t="s">
        <v>48</v>
      </c>
      <c r="C4336" s="220" t="s">
        <v>5174</v>
      </c>
      <c r="D4336" s="220" t="s">
        <v>59</v>
      </c>
      <c r="E4336" s="165">
        <v>254</v>
      </c>
    </row>
    <row r="4337" spans="1:5" x14ac:dyDescent="0.25">
      <c r="A4337" s="216" t="s">
        <v>6336</v>
      </c>
      <c r="B4337" s="218" t="s">
        <v>48</v>
      </c>
      <c r="C4337" s="220" t="s">
        <v>6337</v>
      </c>
      <c r="D4337" s="220" t="s">
        <v>93</v>
      </c>
      <c r="E4337" s="165">
        <v>254</v>
      </c>
    </row>
    <row r="4338" spans="1:5" x14ac:dyDescent="0.25">
      <c r="A4338" s="216" t="s">
        <v>5837</v>
      </c>
      <c r="B4338" s="218" t="s">
        <v>48</v>
      </c>
      <c r="C4338" s="220" t="s">
        <v>10241</v>
      </c>
      <c r="D4338" s="220" t="s">
        <v>82</v>
      </c>
      <c r="E4338" s="165">
        <v>254</v>
      </c>
    </row>
    <row r="4339" spans="1:5" x14ac:dyDescent="0.25">
      <c r="A4339" s="216" t="s">
        <v>6199</v>
      </c>
      <c r="B4339" s="218">
        <v>1</v>
      </c>
      <c r="C4339" s="220" t="s">
        <v>6200</v>
      </c>
      <c r="D4339" s="220" t="s">
        <v>264</v>
      </c>
      <c r="E4339" s="165">
        <v>254</v>
      </c>
    </row>
    <row r="4340" spans="1:5" x14ac:dyDescent="0.25">
      <c r="A4340" s="216" t="s">
        <v>6204</v>
      </c>
      <c r="B4340" s="218">
        <v>1</v>
      </c>
      <c r="C4340" s="220" t="s">
        <v>501</v>
      </c>
      <c r="D4340" s="220" t="s">
        <v>264</v>
      </c>
      <c r="E4340" s="165">
        <v>254</v>
      </c>
    </row>
    <row r="4341" spans="1:5" x14ac:dyDescent="0.25">
      <c r="A4341" s="216" t="s">
        <v>11269</v>
      </c>
      <c r="B4341" s="218">
        <v>1</v>
      </c>
      <c r="C4341" s="220" t="s">
        <v>3592</v>
      </c>
      <c r="D4341" s="220" t="s">
        <v>206</v>
      </c>
      <c r="E4341" s="165">
        <v>253</v>
      </c>
    </row>
    <row r="4342" spans="1:5" x14ac:dyDescent="0.25">
      <c r="A4342" s="216" t="s">
        <v>6078</v>
      </c>
      <c r="B4342" s="218">
        <v>1</v>
      </c>
      <c r="C4342" s="220" t="s">
        <v>2028</v>
      </c>
      <c r="D4342" s="220" t="s">
        <v>56</v>
      </c>
      <c r="E4342" s="165">
        <v>253</v>
      </c>
    </row>
    <row r="4343" spans="1:5" x14ac:dyDescent="0.25">
      <c r="A4343" s="216" t="s">
        <v>5888</v>
      </c>
      <c r="B4343" s="218">
        <v>1</v>
      </c>
      <c r="C4343" s="220" t="s">
        <v>5889</v>
      </c>
      <c r="D4343" s="220" t="s">
        <v>172</v>
      </c>
      <c r="E4343" s="165">
        <v>253</v>
      </c>
    </row>
    <row r="4344" spans="1:5" x14ac:dyDescent="0.25">
      <c r="A4344" s="216" t="s">
        <v>6292</v>
      </c>
      <c r="B4344" s="218" t="s">
        <v>48</v>
      </c>
      <c r="C4344" s="220" t="s">
        <v>3357</v>
      </c>
      <c r="D4344" s="220" t="s">
        <v>69</v>
      </c>
      <c r="E4344" s="165">
        <v>253</v>
      </c>
    </row>
    <row r="4345" spans="1:5" x14ac:dyDescent="0.25">
      <c r="A4345" s="216" t="s">
        <v>6131</v>
      </c>
      <c r="B4345" s="218">
        <v>1</v>
      </c>
      <c r="C4345" s="220" t="s">
        <v>295</v>
      </c>
      <c r="D4345" s="220" t="s">
        <v>56</v>
      </c>
      <c r="E4345" s="165">
        <v>253</v>
      </c>
    </row>
    <row r="4346" spans="1:5" x14ac:dyDescent="0.25">
      <c r="A4346" s="216" t="s">
        <v>7877</v>
      </c>
      <c r="B4346" s="218">
        <v>1</v>
      </c>
      <c r="C4346" s="220" t="s">
        <v>1835</v>
      </c>
      <c r="D4346" s="220" t="s">
        <v>50</v>
      </c>
      <c r="E4346" s="165">
        <v>253</v>
      </c>
    </row>
    <row r="4347" spans="1:5" x14ac:dyDescent="0.25">
      <c r="A4347" s="216" t="s">
        <v>6225</v>
      </c>
      <c r="B4347" s="218">
        <v>1</v>
      </c>
      <c r="C4347" s="220" t="s">
        <v>251</v>
      </c>
      <c r="D4347" s="220" t="s">
        <v>98</v>
      </c>
      <c r="E4347" s="165">
        <v>252</v>
      </c>
    </row>
    <row r="4348" spans="1:5" x14ac:dyDescent="0.25">
      <c r="A4348" s="216" t="s">
        <v>6055</v>
      </c>
      <c r="B4348" s="218">
        <v>1</v>
      </c>
      <c r="C4348" s="220" t="s">
        <v>6056</v>
      </c>
      <c r="D4348" s="220" t="s">
        <v>98</v>
      </c>
      <c r="E4348" s="165">
        <v>252</v>
      </c>
    </row>
    <row r="4349" spans="1:5" x14ac:dyDescent="0.25">
      <c r="A4349" s="216" t="s">
        <v>6059</v>
      </c>
      <c r="B4349" s="218">
        <v>1</v>
      </c>
      <c r="C4349" s="220" t="s">
        <v>4172</v>
      </c>
      <c r="D4349" s="220" t="s">
        <v>98</v>
      </c>
      <c r="E4349" s="165">
        <v>252</v>
      </c>
    </row>
    <row r="4350" spans="1:5" x14ac:dyDescent="0.25">
      <c r="A4350" s="216" t="s">
        <v>6009</v>
      </c>
      <c r="B4350" s="218">
        <v>1</v>
      </c>
      <c r="C4350" s="220" t="s">
        <v>4985</v>
      </c>
      <c r="D4350" s="220" t="s">
        <v>50</v>
      </c>
      <c r="E4350" s="165">
        <v>252</v>
      </c>
    </row>
    <row r="4351" spans="1:5" x14ac:dyDescent="0.25">
      <c r="A4351" s="216" t="s">
        <v>6655</v>
      </c>
      <c r="B4351" s="218">
        <v>1</v>
      </c>
      <c r="C4351" s="220" t="s">
        <v>6656</v>
      </c>
      <c r="D4351" s="220" t="s">
        <v>236</v>
      </c>
      <c r="E4351" s="165">
        <v>252</v>
      </c>
    </row>
    <row r="4352" spans="1:5" x14ac:dyDescent="0.25">
      <c r="A4352" s="216" t="s">
        <v>10114</v>
      </c>
      <c r="B4352" s="218" t="s">
        <v>48</v>
      </c>
      <c r="C4352" s="220" t="s">
        <v>2693</v>
      </c>
      <c r="D4352" s="220" t="s">
        <v>66</v>
      </c>
      <c r="E4352" s="165">
        <v>252</v>
      </c>
    </row>
    <row r="4353" spans="1:5" x14ac:dyDescent="0.25">
      <c r="A4353" s="216" t="s">
        <v>6451</v>
      </c>
      <c r="B4353" s="218">
        <v>1</v>
      </c>
      <c r="C4353" s="220" t="s">
        <v>6452</v>
      </c>
      <c r="D4353" s="220" t="s">
        <v>139</v>
      </c>
      <c r="E4353" s="165">
        <v>252</v>
      </c>
    </row>
    <row r="4354" spans="1:5" x14ac:dyDescent="0.25">
      <c r="A4354" s="216" t="s">
        <v>5842</v>
      </c>
      <c r="B4354" s="218">
        <v>1</v>
      </c>
      <c r="C4354" s="220" t="s">
        <v>5829</v>
      </c>
      <c r="D4354" s="220" t="s">
        <v>87</v>
      </c>
      <c r="E4354" s="165">
        <v>252</v>
      </c>
    </row>
    <row r="4355" spans="1:5" x14ac:dyDescent="0.25">
      <c r="A4355" s="216" t="s">
        <v>4596</v>
      </c>
      <c r="B4355" s="218">
        <v>1</v>
      </c>
      <c r="C4355" s="220" t="s">
        <v>511</v>
      </c>
      <c r="D4355" s="220" t="s">
        <v>264</v>
      </c>
      <c r="E4355" s="165">
        <v>251</v>
      </c>
    </row>
    <row r="4356" spans="1:5" x14ac:dyDescent="0.25">
      <c r="A4356" s="216" t="s">
        <v>6582</v>
      </c>
      <c r="B4356" s="218" t="s">
        <v>48</v>
      </c>
      <c r="C4356" s="220" t="s">
        <v>6583</v>
      </c>
      <c r="D4356" s="220" t="s">
        <v>59</v>
      </c>
      <c r="E4356" s="165">
        <v>251</v>
      </c>
    </row>
    <row r="4357" spans="1:5" x14ac:dyDescent="0.25">
      <c r="A4357" s="216" t="s">
        <v>6182</v>
      </c>
      <c r="B4357" s="218">
        <v>1</v>
      </c>
      <c r="C4357" s="220" t="s">
        <v>179</v>
      </c>
      <c r="D4357" s="220" t="s">
        <v>66</v>
      </c>
      <c r="E4357" s="165">
        <v>251</v>
      </c>
    </row>
    <row r="4358" spans="1:5" x14ac:dyDescent="0.25">
      <c r="A4358" s="216" t="s">
        <v>5014</v>
      </c>
      <c r="B4358" s="218" t="s">
        <v>48</v>
      </c>
      <c r="C4358" s="220" t="s">
        <v>89</v>
      </c>
      <c r="D4358" s="220" t="s">
        <v>90</v>
      </c>
      <c r="E4358" s="165">
        <v>251</v>
      </c>
    </row>
    <row r="4359" spans="1:5" x14ac:dyDescent="0.25">
      <c r="A4359" s="216" t="s">
        <v>6565</v>
      </c>
      <c r="B4359" s="218">
        <v>1</v>
      </c>
      <c r="C4359" s="220" t="s">
        <v>2616</v>
      </c>
      <c r="D4359" s="220" t="s">
        <v>201</v>
      </c>
      <c r="E4359" s="165">
        <v>251</v>
      </c>
    </row>
    <row r="4360" spans="1:5" x14ac:dyDescent="0.25">
      <c r="A4360" s="216" t="s">
        <v>6183</v>
      </c>
      <c r="B4360" s="218">
        <v>1</v>
      </c>
      <c r="C4360" s="220" t="s">
        <v>843</v>
      </c>
      <c r="D4360" s="220" t="s">
        <v>172</v>
      </c>
      <c r="E4360" s="165">
        <v>251</v>
      </c>
    </row>
    <row r="4361" spans="1:5" x14ac:dyDescent="0.25">
      <c r="A4361" s="216" t="s">
        <v>5472</v>
      </c>
      <c r="B4361" s="218">
        <v>1</v>
      </c>
      <c r="C4361" s="220" t="s">
        <v>5473</v>
      </c>
      <c r="D4361" s="220" t="s">
        <v>277</v>
      </c>
      <c r="E4361" s="165">
        <v>251</v>
      </c>
    </row>
    <row r="4362" spans="1:5" x14ac:dyDescent="0.25">
      <c r="A4362" s="216" t="s">
        <v>6730</v>
      </c>
      <c r="B4362" s="218" t="s">
        <v>48</v>
      </c>
      <c r="C4362" s="220" t="s">
        <v>6731</v>
      </c>
      <c r="D4362" s="220" t="s">
        <v>575</v>
      </c>
      <c r="E4362" s="165">
        <v>251</v>
      </c>
    </row>
    <row r="4363" spans="1:5" x14ac:dyDescent="0.25">
      <c r="A4363" s="216" t="s">
        <v>6520</v>
      </c>
      <c r="B4363" s="218" t="s">
        <v>48</v>
      </c>
      <c r="C4363" s="220" t="s">
        <v>2039</v>
      </c>
      <c r="D4363" s="220" t="s">
        <v>59</v>
      </c>
      <c r="E4363" s="165">
        <v>251</v>
      </c>
    </row>
    <row r="4364" spans="1:5" x14ac:dyDescent="0.25">
      <c r="A4364" s="216" t="s">
        <v>11270</v>
      </c>
      <c r="B4364" s="218">
        <v>1</v>
      </c>
      <c r="C4364" s="220" t="s">
        <v>371</v>
      </c>
      <c r="D4364" s="220" t="s">
        <v>56</v>
      </c>
      <c r="E4364" s="165">
        <v>251</v>
      </c>
    </row>
    <row r="4365" spans="1:5" x14ac:dyDescent="0.25">
      <c r="A4365" s="216" t="s">
        <v>8031</v>
      </c>
      <c r="B4365" s="218" t="s">
        <v>48</v>
      </c>
      <c r="C4365" s="220" t="s">
        <v>8032</v>
      </c>
      <c r="D4365" s="220" t="s">
        <v>59</v>
      </c>
      <c r="E4365" s="165">
        <v>251</v>
      </c>
    </row>
    <row r="4366" spans="1:5" x14ac:dyDescent="0.25">
      <c r="A4366" s="216" t="s">
        <v>6188</v>
      </c>
      <c r="B4366" s="218">
        <v>1</v>
      </c>
      <c r="C4366" s="220" t="s">
        <v>2340</v>
      </c>
      <c r="D4366" s="220" t="s">
        <v>124</v>
      </c>
      <c r="E4366" s="165">
        <v>251</v>
      </c>
    </row>
    <row r="4367" spans="1:5" x14ac:dyDescent="0.25">
      <c r="A4367" s="216" t="s">
        <v>6281</v>
      </c>
      <c r="B4367" s="218" t="s">
        <v>48</v>
      </c>
      <c r="C4367" s="220" t="s">
        <v>1176</v>
      </c>
      <c r="D4367" s="220" t="s">
        <v>206</v>
      </c>
      <c r="E4367" s="165">
        <v>251</v>
      </c>
    </row>
    <row r="4368" spans="1:5" x14ac:dyDescent="0.25">
      <c r="A4368" s="216" t="s">
        <v>5927</v>
      </c>
      <c r="B4368" s="218" t="s">
        <v>48</v>
      </c>
      <c r="C4368" s="220" t="s">
        <v>3109</v>
      </c>
      <c r="D4368" s="220" t="s">
        <v>75</v>
      </c>
      <c r="E4368" s="165">
        <v>251</v>
      </c>
    </row>
    <row r="4369" spans="1:5" x14ac:dyDescent="0.25">
      <c r="A4369" s="216" t="s">
        <v>6195</v>
      </c>
      <c r="B4369" s="218">
        <v>1</v>
      </c>
      <c r="C4369" s="220" t="s">
        <v>1906</v>
      </c>
      <c r="D4369" s="220" t="s">
        <v>66</v>
      </c>
      <c r="E4369" s="165">
        <v>251</v>
      </c>
    </row>
    <row r="4370" spans="1:5" x14ac:dyDescent="0.25">
      <c r="A4370" s="216" t="s">
        <v>6405</v>
      </c>
      <c r="B4370" s="218">
        <v>1</v>
      </c>
      <c r="C4370" s="220" t="s">
        <v>1001</v>
      </c>
      <c r="D4370" s="220" t="s">
        <v>188</v>
      </c>
      <c r="E4370" s="165">
        <v>251</v>
      </c>
    </row>
    <row r="4371" spans="1:5" x14ac:dyDescent="0.25">
      <c r="A4371" s="216" t="s">
        <v>5991</v>
      </c>
      <c r="B4371" s="218">
        <v>1</v>
      </c>
      <c r="C4371" s="220" t="s">
        <v>141</v>
      </c>
      <c r="D4371" s="220" t="s">
        <v>142</v>
      </c>
      <c r="E4371" s="165">
        <v>251</v>
      </c>
    </row>
    <row r="4372" spans="1:5" x14ac:dyDescent="0.25">
      <c r="A4372" s="216" t="s">
        <v>5477</v>
      </c>
      <c r="B4372" s="218">
        <v>1</v>
      </c>
      <c r="C4372" s="220" t="s">
        <v>5478</v>
      </c>
      <c r="D4372" s="220" t="s">
        <v>277</v>
      </c>
      <c r="E4372" s="165">
        <v>251</v>
      </c>
    </row>
    <row r="4373" spans="1:5" x14ac:dyDescent="0.25">
      <c r="A4373" s="216" t="s">
        <v>6367</v>
      </c>
      <c r="B4373" s="218" t="s">
        <v>48</v>
      </c>
      <c r="C4373" s="220" t="s">
        <v>6368</v>
      </c>
      <c r="D4373" s="220" t="s">
        <v>575</v>
      </c>
      <c r="E4373" s="165">
        <v>250</v>
      </c>
    </row>
    <row r="4374" spans="1:5" x14ac:dyDescent="0.25">
      <c r="A4374" s="216" t="s">
        <v>6341</v>
      </c>
      <c r="B4374" s="218" t="s">
        <v>48</v>
      </c>
      <c r="C4374" s="220" t="s">
        <v>5290</v>
      </c>
      <c r="D4374" s="220" t="s">
        <v>192</v>
      </c>
      <c r="E4374" s="165">
        <v>250</v>
      </c>
    </row>
    <row r="4375" spans="1:5" x14ac:dyDescent="0.25">
      <c r="A4375" s="216" t="s">
        <v>6370</v>
      </c>
      <c r="B4375" s="218">
        <v>1</v>
      </c>
      <c r="C4375" s="220" t="s">
        <v>984</v>
      </c>
      <c r="D4375" s="220" t="s">
        <v>56</v>
      </c>
      <c r="E4375" s="165">
        <v>250</v>
      </c>
    </row>
    <row r="4376" spans="1:5" x14ac:dyDescent="0.25">
      <c r="A4376" s="216" t="s">
        <v>7122</v>
      </c>
      <c r="B4376" s="218">
        <v>1</v>
      </c>
      <c r="C4376" s="220" t="s">
        <v>367</v>
      </c>
      <c r="D4376" s="220" t="s">
        <v>56</v>
      </c>
      <c r="E4376" s="165">
        <v>250</v>
      </c>
    </row>
    <row r="4377" spans="1:5" x14ac:dyDescent="0.25">
      <c r="A4377" s="216" t="s">
        <v>7123</v>
      </c>
      <c r="B4377" s="218">
        <v>1</v>
      </c>
      <c r="C4377" s="220" t="s">
        <v>367</v>
      </c>
      <c r="D4377" s="220" t="s">
        <v>56</v>
      </c>
      <c r="E4377" s="165">
        <v>250</v>
      </c>
    </row>
    <row r="4378" spans="1:5" x14ac:dyDescent="0.25">
      <c r="A4378" s="216" t="s">
        <v>9351</v>
      </c>
      <c r="B4378" s="218">
        <v>1</v>
      </c>
      <c r="C4378" s="220" t="s">
        <v>9352</v>
      </c>
      <c r="D4378" s="220" t="s">
        <v>59</v>
      </c>
      <c r="E4378" s="165">
        <v>250</v>
      </c>
    </row>
    <row r="4379" spans="1:5" x14ac:dyDescent="0.25">
      <c r="A4379" s="216" t="s">
        <v>5702</v>
      </c>
      <c r="B4379" s="218" t="s">
        <v>48</v>
      </c>
      <c r="C4379" s="220" t="s">
        <v>3612</v>
      </c>
      <c r="D4379" s="220" t="s">
        <v>206</v>
      </c>
      <c r="E4379" s="165">
        <v>250</v>
      </c>
    </row>
    <row r="4380" spans="1:5" x14ac:dyDescent="0.25">
      <c r="A4380" s="216" t="s">
        <v>6115</v>
      </c>
      <c r="B4380" s="218">
        <v>1</v>
      </c>
      <c r="C4380" s="220" t="s">
        <v>665</v>
      </c>
      <c r="D4380" s="220" t="s">
        <v>188</v>
      </c>
      <c r="E4380" s="165">
        <v>250</v>
      </c>
    </row>
    <row r="4381" spans="1:5" x14ac:dyDescent="0.25">
      <c r="A4381" s="216" t="s">
        <v>11271</v>
      </c>
      <c r="B4381" s="218" t="s">
        <v>48</v>
      </c>
      <c r="C4381" s="220" t="s">
        <v>11272</v>
      </c>
      <c r="D4381" s="220" t="s">
        <v>11273</v>
      </c>
      <c r="E4381" s="165">
        <v>250</v>
      </c>
    </row>
    <row r="4382" spans="1:5" x14ac:dyDescent="0.25">
      <c r="A4382" s="216" t="s">
        <v>7988</v>
      </c>
      <c r="B4382" s="218">
        <v>1</v>
      </c>
      <c r="C4382" s="220" t="s">
        <v>7989</v>
      </c>
      <c r="D4382" s="220" t="s">
        <v>139</v>
      </c>
      <c r="E4382" s="165">
        <v>250</v>
      </c>
    </row>
    <row r="4383" spans="1:5" x14ac:dyDescent="0.25">
      <c r="A4383" s="216" t="s">
        <v>10591</v>
      </c>
      <c r="B4383" s="218" t="s">
        <v>48</v>
      </c>
      <c r="C4383" s="220" t="s">
        <v>8198</v>
      </c>
      <c r="D4383" s="220" t="s">
        <v>222</v>
      </c>
      <c r="E4383" s="165">
        <v>250</v>
      </c>
    </row>
    <row r="4384" spans="1:5" x14ac:dyDescent="0.25">
      <c r="A4384" s="216" t="s">
        <v>4951</v>
      </c>
      <c r="B4384" s="218" t="s">
        <v>48</v>
      </c>
      <c r="C4384" s="220" t="s">
        <v>102</v>
      </c>
      <c r="D4384" s="220" t="s">
        <v>93</v>
      </c>
      <c r="E4384" s="165">
        <v>250</v>
      </c>
    </row>
    <row r="4385" spans="1:5" x14ac:dyDescent="0.25">
      <c r="A4385" s="216" t="s">
        <v>5768</v>
      </c>
      <c r="B4385" s="218" t="s">
        <v>48</v>
      </c>
      <c r="C4385" s="220" t="s">
        <v>5769</v>
      </c>
      <c r="D4385" s="220" t="s">
        <v>69</v>
      </c>
      <c r="E4385" s="165">
        <v>250</v>
      </c>
    </row>
    <row r="4386" spans="1:5" x14ac:dyDescent="0.25">
      <c r="A4386" s="216" t="s">
        <v>11274</v>
      </c>
      <c r="B4386" s="218" t="s">
        <v>48</v>
      </c>
      <c r="C4386" s="220" t="s">
        <v>11275</v>
      </c>
      <c r="D4386" s="220" t="s">
        <v>585</v>
      </c>
      <c r="E4386" s="165">
        <v>250</v>
      </c>
    </row>
    <row r="4387" spans="1:5" x14ac:dyDescent="0.25">
      <c r="A4387" s="216" t="s">
        <v>7992</v>
      </c>
      <c r="B4387" s="218">
        <v>1</v>
      </c>
      <c r="C4387" s="220" t="s">
        <v>6659</v>
      </c>
      <c r="D4387" s="220" t="s">
        <v>486</v>
      </c>
      <c r="E4387" s="165">
        <v>250</v>
      </c>
    </row>
    <row r="4388" spans="1:5" x14ac:dyDescent="0.25">
      <c r="A4388" s="216" t="s">
        <v>8123</v>
      </c>
      <c r="B4388" s="218">
        <v>1</v>
      </c>
      <c r="C4388" s="220" t="s">
        <v>8124</v>
      </c>
      <c r="D4388" s="220" t="s">
        <v>236</v>
      </c>
      <c r="E4388" s="165">
        <v>250</v>
      </c>
    </row>
    <row r="4389" spans="1:5" x14ac:dyDescent="0.25">
      <c r="A4389" s="216" t="s">
        <v>9956</v>
      </c>
      <c r="B4389" s="218">
        <v>1</v>
      </c>
      <c r="C4389" s="220" t="s">
        <v>429</v>
      </c>
      <c r="D4389" s="220" t="s">
        <v>98</v>
      </c>
      <c r="E4389" s="165">
        <v>250</v>
      </c>
    </row>
    <row r="4390" spans="1:5" x14ac:dyDescent="0.25">
      <c r="A4390" s="216" t="s">
        <v>8211</v>
      </c>
      <c r="B4390" s="218">
        <v>1</v>
      </c>
      <c r="C4390" s="220" t="s">
        <v>3439</v>
      </c>
      <c r="D4390" s="220" t="s">
        <v>50</v>
      </c>
      <c r="E4390" s="165">
        <v>250</v>
      </c>
    </row>
    <row r="4391" spans="1:5" x14ac:dyDescent="0.25">
      <c r="A4391" s="216" t="s">
        <v>6351</v>
      </c>
      <c r="B4391" s="218">
        <v>1</v>
      </c>
      <c r="C4391" s="220" t="s">
        <v>4310</v>
      </c>
      <c r="D4391" s="220" t="s">
        <v>69</v>
      </c>
      <c r="E4391" s="165">
        <v>250</v>
      </c>
    </row>
    <row r="4392" spans="1:5" x14ac:dyDescent="0.25">
      <c r="A4392" s="216" t="s">
        <v>5343</v>
      </c>
      <c r="B4392" s="218" t="s">
        <v>48</v>
      </c>
      <c r="C4392" s="220" t="s">
        <v>956</v>
      </c>
      <c r="D4392" s="220" t="s">
        <v>69</v>
      </c>
      <c r="E4392" s="165">
        <v>250</v>
      </c>
    </row>
    <row r="4393" spans="1:5" x14ac:dyDescent="0.25">
      <c r="A4393" s="216" t="s">
        <v>7494</v>
      </c>
      <c r="B4393" s="218" t="s">
        <v>48</v>
      </c>
      <c r="C4393" s="220" t="s">
        <v>3192</v>
      </c>
      <c r="D4393" s="220" t="s">
        <v>93</v>
      </c>
      <c r="E4393" s="165">
        <v>250</v>
      </c>
    </row>
    <row r="4394" spans="1:5" x14ac:dyDescent="0.25">
      <c r="A4394" s="216" t="s">
        <v>9221</v>
      </c>
      <c r="B4394" s="218">
        <v>1</v>
      </c>
      <c r="C4394" s="220" t="s">
        <v>2404</v>
      </c>
      <c r="D4394" s="220" t="s">
        <v>264</v>
      </c>
      <c r="E4394" s="165">
        <v>250</v>
      </c>
    </row>
    <row r="4395" spans="1:5" x14ac:dyDescent="0.25">
      <c r="A4395" s="216" t="s">
        <v>6697</v>
      </c>
      <c r="B4395" s="218">
        <v>1</v>
      </c>
      <c r="C4395" s="220" t="s">
        <v>647</v>
      </c>
      <c r="D4395" s="220" t="s">
        <v>236</v>
      </c>
      <c r="E4395" s="165">
        <v>250</v>
      </c>
    </row>
    <row r="4396" spans="1:5" x14ac:dyDescent="0.25">
      <c r="A4396" s="216" t="s">
        <v>9414</v>
      </c>
      <c r="B4396" s="218">
        <v>1</v>
      </c>
      <c r="C4396" s="220" t="s">
        <v>9415</v>
      </c>
      <c r="D4396" s="220" t="s">
        <v>59</v>
      </c>
      <c r="E4396" s="165">
        <v>250</v>
      </c>
    </row>
    <row r="4397" spans="1:5" x14ac:dyDescent="0.25">
      <c r="A4397" s="216" t="s">
        <v>11276</v>
      </c>
      <c r="B4397" s="218" t="s">
        <v>48</v>
      </c>
      <c r="C4397" s="220" t="s">
        <v>5070</v>
      </c>
      <c r="D4397" s="220" t="s">
        <v>50</v>
      </c>
      <c r="E4397" s="165">
        <v>250</v>
      </c>
    </row>
    <row r="4398" spans="1:5" x14ac:dyDescent="0.25">
      <c r="A4398" s="216" t="s">
        <v>8219</v>
      </c>
      <c r="B4398" s="218" t="s">
        <v>48</v>
      </c>
      <c r="C4398" s="220" t="s">
        <v>289</v>
      </c>
      <c r="D4398" s="220" t="s">
        <v>69</v>
      </c>
      <c r="E4398" s="165">
        <v>250</v>
      </c>
    </row>
    <row r="4399" spans="1:5" x14ac:dyDescent="0.25">
      <c r="A4399" s="216" t="s">
        <v>5067</v>
      </c>
      <c r="B4399" s="218" t="s">
        <v>48</v>
      </c>
      <c r="C4399" s="220" t="s">
        <v>2138</v>
      </c>
      <c r="D4399" s="220" t="s">
        <v>394</v>
      </c>
      <c r="E4399" s="165">
        <v>250</v>
      </c>
    </row>
    <row r="4400" spans="1:5" x14ac:dyDescent="0.25">
      <c r="A4400" s="216" t="s">
        <v>11277</v>
      </c>
      <c r="B4400" s="218" t="s">
        <v>48</v>
      </c>
      <c r="C4400" s="220" t="s">
        <v>1317</v>
      </c>
      <c r="D4400" s="220" t="s">
        <v>56</v>
      </c>
      <c r="E4400" s="165">
        <v>250</v>
      </c>
    </row>
    <row r="4401" spans="1:5" x14ac:dyDescent="0.25">
      <c r="A4401" s="216" t="s">
        <v>6383</v>
      </c>
      <c r="B4401" s="218">
        <v>1</v>
      </c>
      <c r="C4401" s="220" t="s">
        <v>6384</v>
      </c>
      <c r="D4401" s="220" t="s">
        <v>56</v>
      </c>
      <c r="E4401" s="165">
        <v>250</v>
      </c>
    </row>
    <row r="4402" spans="1:5" x14ac:dyDescent="0.25">
      <c r="A4402" s="216" t="s">
        <v>6387</v>
      </c>
      <c r="B4402" s="218">
        <v>1</v>
      </c>
      <c r="C4402" s="220" t="s">
        <v>6388</v>
      </c>
      <c r="D4402" s="220" t="s">
        <v>56</v>
      </c>
      <c r="E4402" s="165">
        <v>250</v>
      </c>
    </row>
    <row r="4403" spans="1:5" x14ac:dyDescent="0.25">
      <c r="A4403" s="216" t="s">
        <v>5393</v>
      </c>
      <c r="B4403" s="218">
        <v>1</v>
      </c>
      <c r="C4403" s="220" t="s">
        <v>2537</v>
      </c>
      <c r="D4403" s="220" t="s">
        <v>56</v>
      </c>
      <c r="E4403" s="165">
        <v>250</v>
      </c>
    </row>
    <row r="4404" spans="1:5" x14ac:dyDescent="0.25">
      <c r="A4404" s="216" t="s">
        <v>6389</v>
      </c>
      <c r="B4404" s="218">
        <v>1</v>
      </c>
      <c r="C4404" s="220" t="s">
        <v>6390</v>
      </c>
      <c r="D4404" s="220" t="s">
        <v>56</v>
      </c>
      <c r="E4404" s="165">
        <v>250</v>
      </c>
    </row>
    <row r="4405" spans="1:5" x14ac:dyDescent="0.25">
      <c r="A4405" s="216" t="s">
        <v>7713</v>
      </c>
      <c r="B4405" s="218">
        <v>1</v>
      </c>
      <c r="C4405" s="220" t="s">
        <v>3357</v>
      </c>
      <c r="D4405" s="220" t="s">
        <v>192</v>
      </c>
      <c r="E4405" s="165">
        <v>250</v>
      </c>
    </row>
    <row r="4406" spans="1:5" x14ac:dyDescent="0.25">
      <c r="A4406" s="216" t="s">
        <v>7365</v>
      </c>
      <c r="B4406" s="218">
        <v>1</v>
      </c>
      <c r="C4406" s="220" t="s">
        <v>3678</v>
      </c>
      <c r="D4406" s="220" t="s">
        <v>50</v>
      </c>
      <c r="E4406" s="165">
        <v>250</v>
      </c>
    </row>
    <row r="4407" spans="1:5" x14ac:dyDescent="0.25">
      <c r="A4407" s="216" t="s">
        <v>11278</v>
      </c>
      <c r="B4407" s="218">
        <v>1</v>
      </c>
      <c r="C4407" s="220" t="s">
        <v>805</v>
      </c>
      <c r="D4407" s="220" t="s">
        <v>78</v>
      </c>
      <c r="E4407" s="165">
        <v>250</v>
      </c>
    </row>
    <row r="4408" spans="1:5" x14ac:dyDescent="0.25">
      <c r="A4408" s="216" t="s">
        <v>7231</v>
      </c>
      <c r="B4408" s="218">
        <v>1</v>
      </c>
      <c r="C4408" s="220" t="s">
        <v>6641</v>
      </c>
      <c r="D4408" s="220" t="s">
        <v>523</v>
      </c>
      <c r="E4408" s="165">
        <v>250</v>
      </c>
    </row>
    <row r="4409" spans="1:5" x14ac:dyDescent="0.25">
      <c r="A4409" s="216" t="s">
        <v>7461</v>
      </c>
      <c r="B4409" s="218" t="s">
        <v>48</v>
      </c>
      <c r="C4409" s="220" t="s">
        <v>7462</v>
      </c>
      <c r="D4409" s="220" t="s">
        <v>75</v>
      </c>
      <c r="E4409" s="165">
        <v>250</v>
      </c>
    </row>
    <row r="4410" spans="1:5" x14ac:dyDescent="0.25">
      <c r="A4410" s="216" t="s">
        <v>9369</v>
      </c>
      <c r="B4410" s="218">
        <v>1</v>
      </c>
      <c r="C4410" s="220" t="s">
        <v>1513</v>
      </c>
      <c r="D4410" s="220" t="s">
        <v>188</v>
      </c>
      <c r="E4410" s="165">
        <v>250</v>
      </c>
    </row>
    <row r="4411" spans="1:5" x14ac:dyDescent="0.25">
      <c r="A4411" s="216" t="s">
        <v>9370</v>
      </c>
      <c r="B4411" s="218">
        <v>1</v>
      </c>
      <c r="C4411" s="220" t="s">
        <v>2091</v>
      </c>
      <c r="D4411" s="220" t="s">
        <v>188</v>
      </c>
      <c r="E4411" s="165">
        <v>250</v>
      </c>
    </row>
    <row r="4412" spans="1:5" x14ac:dyDescent="0.25">
      <c r="A4412" s="216" t="s">
        <v>8534</v>
      </c>
      <c r="B4412" s="218" t="s">
        <v>48</v>
      </c>
      <c r="C4412" s="220" t="s">
        <v>415</v>
      </c>
      <c r="D4412" s="220" t="s">
        <v>50</v>
      </c>
      <c r="E4412" s="165">
        <v>250</v>
      </c>
    </row>
    <row r="4413" spans="1:5" x14ac:dyDescent="0.25">
      <c r="A4413" s="216" t="s">
        <v>5448</v>
      </c>
      <c r="B4413" s="218" t="s">
        <v>48</v>
      </c>
      <c r="C4413" s="220" t="s">
        <v>285</v>
      </c>
      <c r="D4413" s="220" t="s">
        <v>59</v>
      </c>
      <c r="E4413" s="165">
        <v>250</v>
      </c>
    </row>
    <row r="4414" spans="1:5" x14ac:dyDescent="0.25">
      <c r="A4414" s="216" t="s">
        <v>11279</v>
      </c>
      <c r="B4414" s="218" t="s">
        <v>48</v>
      </c>
      <c r="C4414" s="220" t="s">
        <v>636</v>
      </c>
      <c r="D4414" s="220" t="s">
        <v>69</v>
      </c>
      <c r="E4414" s="165">
        <v>250</v>
      </c>
    </row>
    <row r="4415" spans="1:5" x14ac:dyDescent="0.25">
      <c r="A4415" s="216" t="s">
        <v>7356</v>
      </c>
      <c r="B4415" s="218">
        <v>1</v>
      </c>
      <c r="C4415" s="220" t="s">
        <v>339</v>
      </c>
      <c r="D4415" s="220" t="s">
        <v>118</v>
      </c>
      <c r="E4415" s="165">
        <v>249</v>
      </c>
    </row>
    <row r="4416" spans="1:5" x14ac:dyDescent="0.25">
      <c r="A4416" s="216" t="s">
        <v>6152</v>
      </c>
      <c r="B4416" s="218">
        <v>1</v>
      </c>
      <c r="C4416" s="220" t="s">
        <v>6153</v>
      </c>
      <c r="D4416" s="220" t="s">
        <v>56</v>
      </c>
      <c r="E4416" s="165">
        <v>249</v>
      </c>
    </row>
    <row r="4417" spans="1:5" x14ac:dyDescent="0.25">
      <c r="A4417" s="216" t="s">
        <v>5495</v>
      </c>
      <c r="B4417" s="218" t="s">
        <v>48</v>
      </c>
      <c r="C4417" s="220" t="s">
        <v>3152</v>
      </c>
      <c r="D4417" s="220" t="s">
        <v>585</v>
      </c>
      <c r="E4417" s="165">
        <v>249</v>
      </c>
    </row>
    <row r="4418" spans="1:5" x14ac:dyDescent="0.25">
      <c r="A4418" s="216" t="s">
        <v>10748</v>
      </c>
      <c r="B4418" s="218">
        <v>1</v>
      </c>
      <c r="C4418" s="220" t="s">
        <v>11280</v>
      </c>
      <c r="D4418" s="220" t="s">
        <v>56</v>
      </c>
      <c r="E4418" s="165">
        <v>249</v>
      </c>
    </row>
    <row r="4419" spans="1:5" x14ac:dyDescent="0.25">
      <c r="A4419" s="216" t="s">
        <v>5739</v>
      </c>
      <c r="B4419" s="218">
        <v>1</v>
      </c>
      <c r="C4419" s="220" t="s">
        <v>5740</v>
      </c>
      <c r="D4419" s="220" t="s">
        <v>486</v>
      </c>
      <c r="E4419" s="165">
        <v>248</v>
      </c>
    </row>
    <row r="4420" spans="1:5" x14ac:dyDescent="0.25">
      <c r="A4420" s="216" t="s">
        <v>6909</v>
      </c>
      <c r="B4420" s="218" t="s">
        <v>48</v>
      </c>
      <c r="C4420" s="220" t="s">
        <v>6910</v>
      </c>
      <c r="D4420" s="220" t="s">
        <v>98</v>
      </c>
      <c r="E4420" s="165">
        <v>248</v>
      </c>
    </row>
    <row r="4421" spans="1:5" x14ac:dyDescent="0.25">
      <c r="A4421" s="216" t="s">
        <v>5863</v>
      </c>
      <c r="B4421" s="218" t="s">
        <v>48</v>
      </c>
      <c r="C4421" s="220" t="s">
        <v>287</v>
      </c>
      <c r="D4421" s="220" t="s">
        <v>82</v>
      </c>
      <c r="E4421" s="165">
        <v>248</v>
      </c>
    </row>
    <row r="4422" spans="1:5" x14ac:dyDescent="0.25">
      <c r="A4422" s="216" t="s">
        <v>7905</v>
      </c>
      <c r="B4422" s="218" t="s">
        <v>48</v>
      </c>
      <c r="C4422" s="220" t="s">
        <v>7906</v>
      </c>
      <c r="D4422" s="220" t="s">
        <v>59</v>
      </c>
      <c r="E4422" s="165">
        <v>248</v>
      </c>
    </row>
    <row r="4423" spans="1:5" x14ac:dyDescent="0.25">
      <c r="A4423" s="216" t="s">
        <v>11281</v>
      </c>
      <c r="B4423" s="218">
        <v>1</v>
      </c>
      <c r="C4423" s="220" t="s">
        <v>1017</v>
      </c>
      <c r="D4423" s="220" t="s">
        <v>337</v>
      </c>
      <c r="E4423" s="165">
        <v>248</v>
      </c>
    </row>
    <row r="4424" spans="1:5" x14ac:dyDescent="0.25">
      <c r="A4424" s="216" t="s">
        <v>6307</v>
      </c>
      <c r="B4424" s="218">
        <v>1</v>
      </c>
      <c r="C4424" s="220" t="s">
        <v>6308</v>
      </c>
      <c r="D4424" s="220" t="s">
        <v>63</v>
      </c>
      <c r="E4424" s="165">
        <v>248</v>
      </c>
    </row>
    <row r="4425" spans="1:5" x14ac:dyDescent="0.25">
      <c r="A4425" s="216" t="s">
        <v>5798</v>
      </c>
      <c r="B4425" s="218" t="s">
        <v>48</v>
      </c>
      <c r="C4425" s="220" t="s">
        <v>89</v>
      </c>
      <c r="D4425" s="220" t="s">
        <v>90</v>
      </c>
      <c r="E4425" s="165">
        <v>248</v>
      </c>
    </row>
    <row r="4426" spans="1:5" x14ac:dyDescent="0.25">
      <c r="A4426" s="216" t="s">
        <v>6068</v>
      </c>
      <c r="B4426" s="218">
        <v>1</v>
      </c>
      <c r="C4426" s="220" t="s">
        <v>6069</v>
      </c>
      <c r="D4426" s="220" t="s">
        <v>50</v>
      </c>
      <c r="E4426" s="165">
        <v>248</v>
      </c>
    </row>
    <row r="4427" spans="1:5" x14ac:dyDescent="0.25">
      <c r="A4427" s="216" t="s">
        <v>2814</v>
      </c>
      <c r="B4427" s="218">
        <v>1</v>
      </c>
      <c r="C4427" s="220" t="s">
        <v>84</v>
      </c>
      <c r="D4427" s="220" t="s">
        <v>56</v>
      </c>
      <c r="E4427" s="165">
        <v>247</v>
      </c>
    </row>
    <row r="4428" spans="1:5" x14ac:dyDescent="0.25">
      <c r="A4428" s="216" t="s">
        <v>6371</v>
      </c>
      <c r="B4428" s="218" t="s">
        <v>48</v>
      </c>
      <c r="C4428" s="220" t="s">
        <v>4621</v>
      </c>
      <c r="D4428" s="220" t="s">
        <v>108</v>
      </c>
      <c r="E4428" s="165">
        <v>247</v>
      </c>
    </row>
    <row r="4429" spans="1:5" x14ac:dyDescent="0.25">
      <c r="A4429" s="216" t="s">
        <v>6282</v>
      </c>
      <c r="B4429" s="218">
        <v>1</v>
      </c>
      <c r="C4429" s="220" t="s">
        <v>1647</v>
      </c>
      <c r="D4429" s="220" t="s">
        <v>98</v>
      </c>
      <c r="E4429" s="165">
        <v>247</v>
      </c>
    </row>
    <row r="4430" spans="1:5" x14ac:dyDescent="0.25">
      <c r="A4430" s="216" t="s">
        <v>9217</v>
      </c>
      <c r="B4430" s="218" t="s">
        <v>48</v>
      </c>
      <c r="C4430" s="220" t="s">
        <v>9218</v>
      </c>
      <c r="D4430" s="220" t="s">
        <v>75</v>
      </c>
      <c r="E4430" s="165">
        <v>247</v>
      </c>
    </row>
    <row r="4431" spans="1:5" x14ac:dyDescent="0.25">
      <c r="A4431" s="216" t="s">
        <v>3441</v>
      </c>
      <c r="B4431" s="218" t="s">
        <v>48</v>
      </c>
      <c r="C4431" s="220" t="s">
        <v>2509</v>
      </c>
      <c r="D4431" s="220" t="s">
        <v>108</v>
      </c>
      <c r="E4431" s="165">
        <v>247</v>
      </c>
    </row>
    <row r="4432" spans="1:5" x14ac:dyDescent="0.25">
      <c r="A4432" s="216" t="s">
        <v>6497</v>
      </c>
      <c r="B4432" s="218">
        <v>1</v>
      </c>
      <c r="C4432" s="220" t="s">
        <v>4227</v>
      </c>
      <c r="D4432" s="220" t="s">
        <v>139</v>
      </c>
      <c r="E4432" s="165">
        <v>247</v>
      </c>
    </row>
    <row r="4433" spans="1:5" x14ac:dyDescent="0.25">
      <c r="A4433" s="216" t="s">
        <v>11282</v>
      </c>
      <c r="B4433" s="218">
        <v>1</v>
      </c>
      <c r="C4433" s="220" t="s">
        <v>689</v>
      </c>
      <c r="D4433" s="220" t="s">
        <v>124</v>
      </c>
      <c r="E4433" s="165">
        <v>247</v>
      </c>
    </row>
    <row r="4434" spans="1:5" x14ac:dyDescent="0.25">
      <c r="A4434" s="216" t="s">
        <v>4946</v>
      </c>
      <c r="B4434" s="218" t="s">
        <v>48</v>
      </c>
      <c r="C4434" s="220" t="s">
        <v>1913</v>
      </c>
      <c r="D4434" s="220" t="s">
        <v>90</v>
      </c>
      <c r="E4434" s="165">
        <v>246</v>
      </c>
    </row>
    <row r="4435" spans="1:5" x14ac:dyDescent="0.25">
      <c r="A4435" s="216" t="s">
        <v>6108</v>
      </c>
      <c r="B4435" s="218">
        <v>1</v>
      </c>
      <c r="C4435" s="220" t="s">
        <v>5567</v>
      </c>
      <c r="D4435" s="220" t="s">
        <v>50</v>
      </c>
      <c r="E4435" s="165">
        <v>246</v>
      </c>
    </row>
    <row r="4436" spans="1:5" x14ac:dyDescent="0.25">
      <c r="A4436" s="216" t="s">
        <v>6505</v>
      </c>
      <c r="B4436" s="218" t="s">
        <v>48</v>
      </c>
      <c r="C4436" s="220" t="s">
        <v>6506</v>
      </c>
      <c r="D4436" s="220" t="s">
        <v>53</v>
      </c>
      <c r="E4436" s="165">
        <v>246</v>
      </c>
    </row>
    <row r="4437" spans="1:5" x14ac:dyDescent="0.25">
      <c r="A4437" s="216" t="s">
        <v>11283</v>
      </c>
      <c r="B4437" s="218">
        <v>1</v>
      </c>
      <c r="C4437" s="220" t="s">
        <v>86</v>
      </c>
      <c r="D4437" s="220" t="s">
        <v>87</v>
      </c>
      <c r="E4437" s="165">
        <v>246</v>
      </c>
    </row>
    <row r="4438" spans="1:5" x14ac:dyDescent="0.25">
      <c r="A4438" s="216" t="s">
        <v>6163</v>
      </c>
      <c r="B4438" s="218" t="s">
        <v>48</v>
      </c>
      <c r="C4438" s="220" t="s">
        <v>2370</v>
      </c>
      <c r="D4438" s="220" t="s">
        <v>710</v>
      </c>
      <c r="E4438" s="165">
        <v>246</v>
      </c>
    </row>
    <row r="4439" spans="1:5" x14ac:dyDescent="0.25">
      <c r="A4439" s="216" t="s">
        <v>7063</v>
      </c>
      <c r="B4439" s="218">
        <v>1</v>
      </c>
      <c r="C4439" s="220" t="s">
        <v>7064</v>
      </c>
      <c r="D4439" s="220" t="s">
        <v>130</v>
      </c>
      <c r="E4439" s="165">
        <v>246</v>
      </c>
    </row>
    <row r="4440" spans="1:5" x14ac:dyDescent="0.25">
      <c r="A4440" s="216" t="s">
        <v>5559</v>
      </c>
      <c r="B4440" s="218">
        <v>1</v>
      </c>
      <c r="C4440" s="220" t="s">
        <v>3192</v>
      </c>
      <c r="D4440" s="220" t="s">
        <v>50</v>
      </c>
      <c r="E4440" s="165">
        <v>246</v>
      </c>
    </row>
    <row r="4441" spans="1:5" x14ac:dyDescent="0.25">
      <c r="A4441" s="216" t="s">
        <v>11284</v>
      </c>
      <c r="B4441" s="218">
        <v>1</v>
      </c>
      <c r="C4441" s="220" t="s">
        <v>138</v>
      </c>
      <c r="D4441" s="220" t="s">
        <v>139</v>
      </c>
      <c r="E4441" s="165">
        <v>246</v>
      </c>
    </row>
    <row r="4442" spans="1:5" x14ac:dyDescent="0.25">
      <c r="A4442" s="216" t="s">
        <v>6852</v>
      </c>
      <c r="B4442" s="218" t="s">
        <v>48</v>
      </c>
      <c r="C4442" s="220" t="s">
        <v>2535</v>
      </c>
      <c r="D4442" s="220" t="s">
        <v>75</v>
      </c>
      <c r="E4442" s="165">
        <v>246</v>
      </c>
    </row>
    <row r="4443" spans="1:5" x14ac:dyDescent="0.25">
      <c r="A4443" s="216" t="s">
        <v>5800</v>
      </c>
      <c r="B4443" s="218" t="s">
        <v>48</v>
      </c>
      <c r="C4443" s="220" t="s">
        <v>2218</v>
      </c>
      <c r="D4443" s="220" t="s">
        <v>56</v>
      </c>
      <c r="E4443" s="165">
        <v>246</v>
      </c>
    </row>
    <row r="4444" spans="1:5" x14ac:dyDescent="0.25">
      <c r="A4444" s="216" t="s">
        <v>6102</v>
      </c>
      <c r="B4444" s="218">
        <v>1</v>
      </c>
      <c r="C4444" s="220" t="s">
        <v>1295</v>
      </c>
      <c r="D4444" s="220" t="s">
        <v>50</v>
      </c>
      <c r="E4444" s="165">
        <v>246</v>
      </c>
    </row>
    <row r="4445" spans="1:5" x14ac:dyDescent="0.25">
      <c r="A4445" s="216" t="s">
        <v>8141</v>
      </c>
      <c r="B4445" s="218" t="s">
        <v>48</v>
      </c>
      <c r="C4445" s="220" t="s">
        <v>1924</v>
      </c>
      <c r="D4445" s="220" t="s">
        <v>50</v>
      </c>
      <c r="E4445" s="165">
        <v>245</v>
      </c>
    </row>
    <row r="4446" spans="1:5" x14ac:dyDescent="0.25">
      <c r="A4446" s="216" t="s">
        <v>9520</v>
      </c>
      <c r="B4446" s="218" t="s">
        <v>48</v>
      </c>
      <c r="C4446" s="220" t="s">
        <v>144</v>
      </c>
      <c r="D4446" s="220" t="s">
        <v>59</v>
      </c>
      <c r="E4446" s="165">
        <v>245</v>
      </c>
    </row>
    <row r="4447" spans="1:5" x14ac:dyDescent="0.25">
      <c r="A4447" s="216" t="s">
        <v>6522</v>
      </c>
      <c r="B4447" s="218" t="s">
        <v>48</v>
      </c>
      <c r="C4447" s="220" t="s">
        <v>5528</v>
      </c>
      <c r="D4447" s="220" t="s">
        <v>63</v>
      </c>
      <c r="E4447" s="165">
        <v>245</v>
      </c>
    </row>
    <row r="4448" spans="1:5" x14ac:dyDescent="0.25">
      <c r="A4448" s="216" t="s">
        <v>5893</v>
      </c>
      <c r="B4448" s="218" t="s">
        <v>48</v>
      </c>
      <c r="C4448" s="220" t="s">
        <v>5894</v>
      </c>
      <c r="D4448" s="220" t="s">
        <v>59</v>
      </c>
      <c r="E4448" s="165">
        <v>245</v>
      </c>
    </row>
    <row r="4449" spans="1:5" x14ac:dyDescent="0.25">
      <c r="A4449" s="216" t="s">
        <v>6286</v>
      </c>
      <c r="B4449" s="218">
        <v>1</v>
      </c>
      <c r="C4449" s="220" t="s">
        <v>6287</v>
      </c>
      <c r="D4449" s="220" t="s">
        <v>66</v>
      </c>
      <c r="E4449" s="165">
        <v>245</v>
      </c>
    </row>
    <row r="4450" spans="1:5" x14ac:dyDescent="0.25">
      <c r="A4450" s="216" t="s">
        <v>11285</v>
      </c>
      <c r="B4450" s="218">
        <v>1</v>
      </c>
      <c r="C4450" s="220" t="s">
        <v>138</v>
      </c>
      <c r="D4450" s="220" t="s">
        <v>139</v>
      </c>
      <c r="E4450" s="165">
        <v>245</v>
      </c>
    </row>
    <row r="4451" spans="1:5" x14ac:dyDescent="0.25">
      <c r="A4451" s="216" t="s">
        <v>8995</v>
      </c>
      <c r="B4451" s="218" t="s">
        <v>48</v>
      </c>
      <c r="C4451" s="220" t="s">
        <v>8996</v>
      </c>
      <c r="D4451" s="220" t="s">
        <v>585</v>
      </c>
      <c r="E4451" s="165">
        <v>245</v>
      </c>
    </row>
    <row r="4452" spans="1:5" x14ac:dyDescent="0.25">
      <c r="A4452" s="216" t="s">
        <v>6584</v>
      </c>
      <c r="B4452" s="218">
        <v>1</v>
      </c>
      <c r="C4452" s="220" t="s">
        <v>6585</v>
      </c>
      <c r="D4452" s="220" t="s">
        <v>575</v>
      </c>
      <c r="E4452" s="165">
        <v>244</v>
      </c>
    </row>
    <row r="4453" spans="1:5" x14ac:dyDescent="0.25">
      <c r="A4453" s="216" t="s">
        <v>6140</v>
      </c>
      <c r="B4453" s="218">
        <v>1</v>
      </c>
      <c r="C4453" s="220" t="s">
        <v>4486</v>
      </c>
      <c r="D4453" s="220" t="s">
        <v>277</v>
      </c>
      <c r="E4453" s="165">
        <v>244</v>
      </c>
    </row>
    <row r="4454" spans="1:5" x14ac:dyDescent="0.25">
      <c r="A4454" s="216" t="s">
        <v>5571</v>
      </c>
      <c r="B4454" s="218">
        <v>1</v>
      </c>
      <c r="C4454" s="220" t="s">
        <v>1295</v>
      </c>
      <c r="D4454" s="220" t="s">
        <v>50</v>
      </c>
      <c r="E4454" s="165">
        <v>244</v>
      </c>
    </row>
    <row r="4455" spans="1:5" x14ac:dyDescent="0.25">
      <c r="A4455" s="216" t="s">
        <v>4978</v>
      </c>
      <c r="B4455" s="218" t="s">
        <v>48</v>
      </c>
      <c r="C4455" s="220" t="s">
        <v>4979</v>
      </c>
      <c r="D4455" s="220" t="s">
        <v>82</v>
      </c>
      <c r="E4455" s="165">
        <v>244</v>
      </c>
    </row>
    <row r="4456" spans="1:5" x14ac:dyDescent="0.25">
      <c r="A4456" s="216" t="s">
        <v>6038</v>
      </c>
      <c r="B4456" s="218">
        <v>1</v>
      </c>
      <c r="C4456" s="220" t="s">
        <v>6039</v>
      </c>
      <c r="D4456" s="220" t="s">
        <v>201</v>
      </c>
      <c r="E4456" s="165">
        <v>244</v>
      </c>
    </row>
    <row r="4457" spans="1:5" x14ac:dyDescent="0.25">
      <c r="A4457" s="216" t="s">
        <v>11286</v>
      </c>
      <c r="B4457" s="218">
        <v>1</v>
      </c>
      <c r="C4457" s="220" t="s">
        <v>4065</v>
      </c>
      <c r="D4457" s="220" t="s">
        <v>66</v>
      </c>
      <c r="E4457" s="165">
        <v>244</v>
      </c>
    </row>
    <row r="4458" spans="1:5" x14ac:dyDescent="0.25">
      <c r="A4458" s="216" t="s">
        <v>9887</v>
      </c>
      <c r="B4458" s="218" t="s">
        <v>48</v>
      </c>
      <c r="C4458" s="220" t="s">
        <v>289</v>
      </c>
      <c r="D4458" s="220" t="s">
        <v>69</v>
      </c>
      <c r="E4458" s="165">
        <v>244</v>
      </c>
    </row>
    <row r="4459" spans="1:5" x14ac:dyDescent="0.25">
      <c r="A4459" s="216" t="s">
        <v>6401</v>
      </c>
      <c r="B4459" s="218">
        <v>1</v>
      </c>
      <c r="C4459" s="220" t="s">
        <v>2277</v>
      </c>
      <c r="D4459" s="220" t="s">
        <v>50</v>
      </c>
      <c r="E4459" s="165">
        <v>244</v>
      </c>
    </row>
    <row r="4460" spans="1:5" x14ac:dyDescent="0.25">
      <c r="A4460" s="216" t="s">
        <v>11287</v>
      </c>
      <c r="B4460" s="218">
        <v>1</v>
      </c>
      <c r="C4460" s="220" t="s">
        <v>1096</v>
      </c>
      <c r="D4460" s="220" t="s">
        <v>56</v>
      </c>
      <c r="E4460" s="165">
        <v>244</v>
      </c>
    </row>
    <row r="4461" spans="1:5" x14ac:dyDescent="0.25">
      <c r="A4461" s="216" t="s">
        <v>6146</v>
      </c>
      <c r="B4461" s="218">
        <v>1</v>
      </c>
      <c r="C4461" s="220" t="s">
        <v>6147</v>
      </c>
      <c r="D4461" s="220" t="s">
        <v>50</v>
      </c>
      <c r="E4461" s="165">
        <v>244</v>
      </c>
    </row>
    <row r="4462" spans="1:5" x14ac:dyDescent="0.25">
      <c r="A4462" s="216" t="s">
        <v>6471</v>
      </c>
      <c r="B4462" s="218">
        <v>1</v>
      </c>
      <c r="C4462" s="220" t="s">
        <v>5924</v>
      </c>
      <c r="D4462" s="220" t="s">
        <v>188</v>
      </c>
      <c r="E4462" s="165">
        <v>243</v>
      </c>
    </row>
    <row r="4463" spans="1:5" x14ac:dyDescent="0.25">
      <c r="A4463" s="216" t="s">
        <v>6361</v>
      </c>
      <c r="B4463" s="218">
        <v>1</v>
      </c>
      <c r="C4463" s="220" t="s">
        <v>6304</v>
      </c>
      <c r="D4463" s="220" t="s">
        <v>63</v>
      </c>
      <c r="E4463" s="165">
        <v>243</v>
      </c>
    </row>
    <row r="4464" spans="1:5" x14ac:dyDescent="0.25">
      <c r="A4464" s="216" t="s">
        <v>1966</v>
      </c>
      <c r="B4464" s="218">
        <v>1</v>
      </c>
      <c r="C4464" s="220" t="s">
        <v>1967</v>
      </c>
      <c r="D4464" s="220" t="s">
        <v>192</v>
      </c>
      <c r="E4464" s="165">
        <v>243</v>
      </c>
    </row>
    <row r="4465" spans="1:5" x14ac:dyDescent="0.25">
      <c r="A4465" s="216" t="s">
        <v>6154</v>
      </c>
      <c r="B4465" s="218">
        <v>1</v>
      </c>
      <c r="C4465" s="220" t="s">
        <v>2413</v>
      </c>
      <c r="D4465" s="220" t="s">
        <v>272</v>
      </c>
      <c r="E4465" s="165">
        <v>243</v>
      </c>
    </row>
    <row r="4466" spans="1:5" x14ac:dyDescent="0.25">
      <c r="A4466" s="216" t="s">
        <v>11288</v>
      </c>
      <c r="B4466" s="218">
        <v>1</v>
      </c>
      <c r="C4466" s="220" t="s">
        <v>259</v>
      </c>
      <c r="D4466" s="220" t="s">
        <v>50</v>
      </c>
      <c r="E4466" s="165">
        <v>243</v>
      </c>
    </row>
    <row r="4467" spans="1:5" x14ac:dyDescent="0.25">
      <c r="A4467" s="216" t="s">
        <v>7506</v>
      </c>
      <c r="B4467" s="218" t="s">
        <v>48</v>
      </c>
      <c r="C4467" s="220" t="s">
        <v>7507</v>
      </c>
      <c r="D4467" s="220" t="s">
        <v>206</v>
      </c>
      <c r="E4467" s="165">
        <v>243</v>
      </c>
    </row>
    <row r="4468" spans="1:5" x14ac:dyDescent="0.25">
      <c r="A4468" s="216" t="s">
        <v>6260</v>
      </c>
      <c r="B4468" s="218">
        <v>1</v>
      </c>
      <c r="C4468" s="220" t="s">
        <v>3059</v>
      </c>
      <c r="D4468" s="220" t="s">
        <v>56</v>
      </c>
      <c r="E4468" s="165">
        <v>243</v>
      </c>
    </row>
    <row r="4469" spans="1:5" x14ac:dyDescent="0.25">
      <c r="A4469" s="216" t="s">
        <v>6288</v>
      </c>
      <c r="B4469" s="218">
        <v>1</v>
      </c>
      <c r="C4469" s="220" t="s">
        <v>90</v>
      </c>
      <c r="D4469" s="220" t="s">
        <v>66</v>
      </c>
      <c r="E4469" s="165">
        <v>243</v>
      </c>
    </row>
    <row r="4470" spans="1:5" x14ac:dyDescent="0.25">
      <c r="A4470" s="216" t="s">
        <v>6424</v>
      </c>
      <c r="B4470" s="218" t="s">
        <v>48</v>
      </c>
      <c r="C4470" s="220" t="s">
        <v>6425</v>
      </c>
      <c r="D4470" s="220" t="s">
        <v>277</v>
      </c>
      <c r="E4470" s="165">
        <v>242</v>
      </c>
    </row>
    <row r="4471" spans="1:5" x14ac:dyDescent="0.25">
      <c r="A4471" s="216" t="s">
        <v>5987</v>
      </c>
      <c r="B4471" s="218">
        <v>1</v>
      </c>
      <c r="C4471" s="220" t="s">
        <v>5988</v>
      </c>
      <c r="D4471" s="220" t="s">
        <v>87</v>
      </c>
      <c r="E4471" s="165">
        <v>242</v>
      </c>
    </row>
    <row r="4472" spans="1:5" x14ac:dyDescent="0.25">
      <c r="A4472" s="216" t="s">
        <v>6427</v>
      </c>
      <c r="B4472" s="218">
        <v>1</v>
      </c>
      <c r="C4472" s="220" t="s">
        <v>1337</v>
      </c>
      <c r="D4472" s="220" t="s">
        <v>394</v>
      </c>
      <c r="E4472" s="165">
        <v>242</v>
      </c>
    </row>
    <row r="4473" spans="1:5" x14ac:dyDescent="0.25">
      <c r="A4473" s="216" t="s">
        <v>6235</v>
      </c>
      <c r="B4473" s="218" t="s">
        <v>48</v>
      </c>
      <c r="C4473" s="220" t="s">
        <v>4466</v>
      </c>
      <c r="D4473" s="220" t="s">
        <v>75</v>
      </c>
      <c r="E4473" s="165">
        <v>242</v>
      </c>
    </row>
    <row r="4474" spans="1:5" x14ac:dyDescent="0.25">
      <c r="A4474" s="216" t="s">
        <v>7930</v>
      </c>
      <c r="B4474" s="218" t="s">
        <v>48</v>
      </c>
      <c r="C4474" s="220" t="s">
        <v>7931</v>
      </c>
      <c r="D4474" s="220" t="s">
        <v>82</v>
      </c>
      <c r="E4474" s="165">
        <v>241</v>
      </c>
    </row>
    <row r="4475" spans="1:5" x14ac:dyDescent="0.25">
      <c r="A4475" s="216" t="s">
        <v>6178</v>
      </c>
      <c r="B4475" s="218">
        <v>1</v>
      </c>
      <c r="C4475" s="220" t="s">
        <v>6179</v>
      </c>
      <c r="D4475" s="220" t="s">
        <v>50</v>
      </c>
      <c r="E4475" s="165">
        <v>241</v>
      </c>
    </row>
    <row r="4476" spans="1:5" x14ac:dyDescent="0.25">
      <c r="A4476" s="216" t="s">
        <v>6245</v>
      </c>
      <c r="B4476" s="218">
        <v>1</v>
      </c>
      <c r="C4476" s="220" t="s">
        <v>169</v>
      </c>
      <c r="D4476" s="220" t="s">
        <v>56</v>
      </c>
      <c r="E4476" s="165">
        <v>241</v>
      </c>
    </row>
    <row r="4477" spans="1:5" x14ac:dyDescent="0.25">
      <c r="A4477" s="216" t="s">
        <v>6119</v>
      </c>
      <c r="B4477" s="218">
        <v>1</v>
      </c>
      <c r="C4477" s="220" t="s">
        <v>1138</v>
      </c>
      <c r="D4477" s="220" t="s">
        <v>127</v>
      </c>
      <c r="E4477" s="165">
        <v>241</v>
      </c>
    </row>
    <row r="4478" spans="1:5" x14ac:dyDescent="0.25">
      <c r="A4478" s="216" t="s">
        <v>6185</v>
      </c>
      <c r="B4478" s="218">
        <v>1</v>
      </c>
      <c r="C4478" s="220" t="s">
        <v>2380</v>
      </c>
      <c r="D4478" s="220" t="s">
        <v>50</v>
      </c>
      <c r="E4478" s="165">
        <v>241</v>
      </c>
    </row>
    <row r="4479" spans="1:5" x14ac:dyDescent="0.25">
      <c r="A4479" s="216" t="s">
        <v>6735</v>
      </c>
      <c r="B4479" s="218" t="s">
        <v>48</v>
      </c>
      <c r="C4479" s="220" t="s">
        <v>797</v>
      </c>
      <c r="D4479" s="220" t="s">
        <v>130</v>
      </c>
      <c r="E4479" s="165">
        <v>241</v>
      </c>
    </row>
    <row r="4480" spans="1:5" x14ac:dyDescent="0.25">
      <c r="A4480" s="216" t="s">
        <v>6246</v>
      </c>
      <c r="B4480" s="218">
        <v>1</v>
      </c>
      <c r="C4480" s="220" t="s">
        <v>6247</v>
      </c>
      <c r="D4480" s="220" t="s">
        <v>56</v>
      </c>
      <c r="E4480" s="165">
        <v>241</v>
      </c>
    </row>
    <row r="4481" spans="1:5" x14ac:dyDescent="0.25">
      <c r="A4481" s="216" t="s">
        <v>6047</v>
      </c>
      <c r="B4481" s="218" t="s">
        <v>48</v>
      </c>
      <c r="C4481" s="220" t="s">
        <v>6048</v>
      </c>
      <c r="D4481" s="220" t="s">
        <v>206</v>
      </c>
      <c r="E4481" s="165">
        <v>241</v>
      </c>
    </row>
    <row r="4482" spans="1:5" x14ac:dyDescent="0.25">
      <c r="A4482" s="216" t="s">
        <v>6194</v>
      </c>
      <c r="B4482" s="218">
        <v>1</v>
      </c>
      <c r="C4482" s="220" t="s">
        <v>259</v>
      </c>
      <c r="D4482" s="220" t="s">
        <v>50</v>
      </c>
      <c r="E4482" s="165">
        <v>241</v>
      </c>
    </row>
    <row r="4483" spans="1:5" x14ac:dyDescent="0.25">
      <c r="A4483" s="216" t="s">
        <v>5524</v>
      </c>
      <c r="B4483" s="218" t="s">
        <v>48</v>
      </c>
      <c r="C4483" s="220" t="s">
        <v>313</v>
      </c>
      <c r="D4483" s="220" t="s">
        <v>90</v>
      </c>
      <c r="E4483" s="165">
        <v>240</v>
      </c>
    </row>
    <row r="4484" spans="1:5" x14ac:dyDescent="0.25">
      <c r="A4484" s="216" t="s">
        <v>11289</v>
      </c>
      <c r="B4484" s="218" t="s">
        <v>48</v>
      </c>
      <c r="C4484" s="220" t="s">
        <v>10985</v>
      </c>
      <c r="D4484" s="220" t="s">
        <v>56</v>
      </c>
      <c r="E4484" s="165">
        <v>240</v>
      </c>
    </row>
    <row r="4485" spans="1:5" x14ac:dyDescent="0.25">
      <c r="A4485" s="216" t="s">
        <v>11290</v>
      </c>
      <c r="B4485" s="218">
        <v>1</v>
      </c>
      <c r="C4485" s="220" t="s">
        <v>238</v>
      </c>
      <c r="D4485" s="220" t="s">
        <v>93</v>
      </c>
      <c r="E4485" s="165">
        <v>240</v>
      </c>
    </row>
    <row r="4486" spans="1:5" x14ac:dyDescent="0.25">
      <c r="A4486" s="216" t="s">
        <v>5729</v>
      </c>
      <c r="B4486" s="218" t="s">
        <v>48</v>
      </c>
      <c r="C4486" s="220" t="s">
        <v>5730</v>
      </c>
      <c r="D4486" s="220" t="s">
        <v>75</v>
      </c>
      <c r="E4486" s="165">
        <v>240</v>
      </c>
    </row>
    <row r="4487" spans="1:5" x14ac:dyDescent="0.25">
      <c r="A4487" s="216" t="s">
        <v>6914</v>
      </c>
      <c r="B4487" s="218" t="s">
        <v>48</v>
      </c>
      <c r="C4487" s="220" t="s">
        <v>306</v>
      </c>
      <c r="D4487" s="220" t="s">
        <v>108</v>
      </c>
      <c r="E4487" s="165">
        <v>240</v>
      </c>
    </row>
    <row r="4488" spans="1:5" x14ac:dyDescent="0.25">
      <c r="A4488" s="216" t="s">
        <v>5553</v>
      </c>
      <c r="B4488" s="218" t="s">
        <v>48</v>
      </c>
      <c r="C4488" s="220" t="s">
        <v>1730</v>
      </c>
      <c r="D4488" s="220" t="s">
        <v>575</v>
      </c>
      <c r="E4488" s="165">
        <v>240</v>
      </c>
    </row>
    <row r="4489" spans="1:5" x14ac:dyDescent="0.25">
      <c r="A4489" s="216" t="s">
        <v>4030</v>
      </c>
      <c r="B4489" s="218">
        <v>1</v>
      </c>
      <c r="C4489" s="220" t="s">
        <v>777</v>
      </c>
      <c r="D4489" s="220" t="s">
        <v>56</v>
      </c>
      <c r="E4489" s="165">
        <v>240</v>
      </c>
    </row>
    <row r="4490" spans="1:5" x14ac:dyDescent="0.25">
      <c r="A4490" s="216" t="s">
        <v>6557</v>
      </c>
      <c r="B4490" s="218">
        <v>1</v>
      </c>
      <c r="C4490" s="220" t="s">
        <v>6558</v>
      </c>
      <c r="D4490" s="220" t="s">
        <v>87</v>
      </c>
      <c r="E4490" s="165">
        <v>240</v>
      </c>
    </row>
    <row r="4491" spans="1:5" x14ac:dyDescent="0.25">
      <c r="A4491" s="216" t="s">
        <v>6567</v>
      </c>
      <c r="B4491" s="218">
        <v>1</v>
      </c>
      <c r="C4491" s="220" t="s">
        <v>6568</v>
      </c>
      <c r="D4491" s="220" t="s">
        <v>63</v>
      </c>
      <c r="E4491" s="165">
        <v>240</v>
      </c>
    </row>
    <row r="4492" spans="1:5" x14ac:dyDescent="0.25">
      <c r="A4492" s="216" t="s">
        <v>10803</v>
      </c>
      <c r="B4492" s="218" t="s">
        <v>48</v>
      </c>
      <c r="C4492" s="220" t="s">
        <v>536</v>
      </c>
      <c r="D4492" s="220" t="s">
        <v>56</v>
      </c>
      <c r="E4492" s="165">
        <v>240</v>
      </c>
    </row>
    <row r="4493" spans="1:5" x14ac:dyDescent="0.25">
      <c r="A4493" s="216" t="s">
        <v>11291</v>
      </c>
      <c r="B4493" s="218">
        <v>1</v>
      </c>
      <c r="C4493" s="220" t="s">
        <v>6136</v>
      </c>
      <c r="D4493" s="220" t="s">
        <v>201</v>
      </c>
      <c r="E4493" s="165">
        <v>240</v>
      </c>
    </row>
    <row r="4494" spans="1:5" x14ac:dyDescent="0.25">
      <c r="A4494" s="216" t="s">
        <v>6324</v>
      </c>
      <c r="B4494" s="218">
        <v>1</v>
      </c>
      <c r="C4494" s="220" t="s">
        <v>6325</v>
      </c>
      <c r="D4494" s="220" t="s">
        <v>192</v>
      </c>
      <c r="E4494" s="165">
        <v>239</v>
      </c>
    </row>
    <row r="4495" spans="1:5" x14ac:dyDescent="0.25">
      <c r="A4495" s="216" t="s">
        <v>6721</v>
      </c>
      <c r="B4495" s="218">
        <v>1</v>
      </c>
      <c r="C4495" s="220" t="s">
        <v>2277</v>
      </c>
      <c r="D4495" s="220" t="s">
        <v>118</v>
      </c>
      <c r="E4495" s="165">
        <v>239</v>
      </c>
    </row>
    <row r="4496" spans="1:5" x14ac:dyDescent="0.25">
      <c r="A4496" s="216" t="s">
        <v>6438</v>
      </c>
      <c r="B4496" s="218">
        <v>1</v>
      </c>
      <c r="C4496" s="220" t="s">
        <v>306</v>
      </c>
      <c r="D4496" s="220" t="s">
        <v>63</v>
      </c>
      <c r="E4496" s="165">
        <v>239</v>
      </c>
    </row>
    <row r="4497" spans="1:5" x14ac:dyDescent="0.25">
      <c r="A4497" s="216" t="s">
        <v>6440</v>
      </c>
      <c r="B4497" s="218">
        <v>1</v>
      </c>
      <c r="C4497" s="220" t="s">
        <v>2098</v>
      </c>
      <c r="D4497" s="220" t="s">
        <v>63</v>
      </c>
      <c r="E4497" s="165">
        <v>239</v>
      </c>
    </row>
    <row r="4498" spans="1:5" x14ac:dyDescent="0.25">
      <c r="A4498" s="216" t="s">
        <v>6490</v>
      </c>
      <c r="B4498" s="218">
        <v>1</v>
      </c>
      <c r="C4498" s="220" t="s">
        <v>4841</v>
      </c>
      <c r="D4498" s="220" t="s">
        <v>69</v>
      </c>
      <c r="E4498" s="165">
        <v>239</v>
      </c>
    </row>
    <row r="4499" spans="1:5" x14ac:dyDescent="0.25">
      <c r="A4499" s="216" t="s">
        <v>6290</v>
      </c>
      <c r="B4499" s="218">
        <v>1</v>
      </c>
      <c r="C4499" s="220" t="s">
        <v>6291</v>
      </c>
      <c r="D4499" s="220" t="s">
        <v>56</v>
      </c>
      <c r="E4499" s="165">
        <v>239</v>
      </c>
    </row>
    <row r="4500" spans="1:5" x14ac:dyDescent="0.25">
      <c r="A4500" s="216" t="s">
        <v>7148</v>
      </c>
      <c r="B4500" s="218">
        <v>1</v>
      </c>
      <c r="C4500" s="220" t="s">
        <v>7149</v>
      </c>
      <c r="D4500" s="220" t="s">
        <v>523</v>
      </c>
      <c r="E4500" s="165">
        <v>239</v>
      </c>
    </row>
    <row r="4501" spans="1:5" x14ac:dyDescent="0.25">
      <c r="A4501" s="216" t="s">
        <v>6128</v>
      </c>
      <c r="B4501" s="218">
        <v>1</v>
      </c>
      <c r="C4501" s="220" t="s">
        <v>6129</v>
      </c>
      <c r="D4501" s="220" t="s">
        <v>93</v>
      </c>
      <c r="E4501" s="165">
        <v>239</v>
      </c>
    </row>
    <row r="4502" spans="1:5" x14ac:dyDescent="0.25">
      <c r="A4502" s="216" t="s">
        <v>6335</v>
      </c>
      <c r="B4502" s="218">
        <v>1</v>
      </c>
      <c r="C4502" s="220" t="s">
        <v>5498</v>
      </c>
      <c r="D4502" s="220" t="s">
        <v>172</v>
      </c>
      <c r="E4502" s="165">
        <v>239</v>
      </c>
    </row>
    <row r="4503" spans="1:5" x14ac:dyDescent="0.25">
      <c r="A4503" s="216" t="s">
        <v>6500</v>
      </c>
      <c r="B4503" s="218">
        <v>1</v>
      </c>
      <c r="C4503" s="220" t="s">
        <v>6501</v>
      </c>
      <c r="D4503" s="220" t="s">
        <v>69</v>
      </c>
      <c r="E4503" s="165">
        <v>239</v>
      </c>
    </row>
    <row r="4504" spans="1:5" x14ac:dyDescent="0.25">
      <c r="A4504" s="216" t="s">
        <v>6297</v>
      </c>
      <c r="B4504" s="218">
        <v>1</v>
      </c>
      <c r="C4504" s="220" t="s">
        <v>784</v>
      </c>
      <c r="D4504" s="220" t="s">
        <v>56</v>
      </c>
      <c r="E4504" s="165">
        <v>239</v>
      </c>
    </row>
    <row r="4505" spans="1:5" x14ac:dyDescent="0.25">
      <c r="A4505" s="216" t="s">
        <v>6770</v>
      </c>
      <c r="B4505" s="218" t="s">
        <v>48</v>
      </c>
      <c r="C4505" s="220" t="s">
        <v>6771</v>
      </c>
      <c r="D4505" s="220" t="s">
        <v>236</v>
      </c>
      <c r="E4505" s="165">
        <v>238</v>
      </c>
    </row>
    <row r="4506" spans="1:5" x14ac:dyDescent="0.25">
      <c r="A4506" s="216" t="s">
        <v>6426</v>
      </c>
      <c r="B4506" s="218">
        <v>1</v>
      </c>
      <c r="C4506" s="220" t="s">
        <v>864</v>
      </c>
      <c r="D4506" s="220" t="s">
        <v>63</v>
      </c>
      <c r="E4506" s="165">
        <v>238</v>
      </c>
    </row>
    <row r="4507" spans="1:5" x14ac:dyDescent="0.25">
      <c r="A4507" s="216" t="s">
        <v>6398</v>
      </c>
      <c r="B4507" s="218">
        <v>1</v>
      </c>
      <c r="C4507" s="220" t="s">
        <v>6399</v>
      </c>
      <c r="D4507" s="220" t="s">
        <v>192</v>
      </c>
      <c r="E4507" s="165">
        <v>238</v>
      </c>
    </row>
    <row r="4508" spans="1:5" x14ac:dyDescent="0.25">
      <c r="A4508" s="216" t="s">
        <v>5209</v>
      </c>
      <c r="B4508" s="218">
        <v>1</v>
      </c>
      <c r="C4508" s="220" t="s">
        <v>5210</v>
      </c>
      <c r="D4508" s="220" t="s">
        <v>69</v>
      </c>
      <c r="E4508" s="165">
        <v>238</v>
      </c>
    </row>
    <row r="4509" spans="1:5" x14ac:dyDescent="0.25">
      <c r="A4509" s="216" t="s">
        <v>5855</v>
      </c>
      <c r="B4509" s="218">
        <v>1</v>
      </c>
      <c r="C4509" s="220" t="s">
        <v>5856</v>
      </c>
      <c r="D4509" s="220" t="s">
        <v>72</v>
      </c>
      <c r="E4509" s="165">
        <v>238</v>
      </c>
    </row>
    <row r="4510" spans="1:5" x14ac:dyDescent="0.25">
      <c r="A4510" s="216" t="s">
        <v>7938</v>
      </c>
      <c r="B4510" s="218" t="s">
        <v>48</v>
      </c>
      <c r="C4510" s="220" t="s">
        <v>1405</v>
      </c>
      <c r="D4510" s="220" t="s">
        <v>710</v>
      </c>
      <c r="E4510" s="165">
        <v>237</v>
      </c>
    </row>
    <row r="4511" spans="1:5" x14ac:dyDescent="0.25">
      <c r="A4511" s="216" t="s">
        <v>5346</v>
      </c>
      <c r="B4511" s="218" t="s">
        <v>48</v>
      </c>
      <c r="C4511" s="220" t="s">
        <v>221</v>
      </c>
      <c r="D4511" s="220" t="s">
        <v>166</v>
      </c>
      <c r="E4511" s="165">
        <v>237</v>
      </c>
    </row>
    <row r="4512" spans="1:5" x14ac:dyDescent="0.25">
      <c r="A4512" s="216" t="s">
        <v>7018</v>
      </c>
      <c r="B4512" s="218">
        <v>1</v>
      </c>
      <c r="C4512" s="220" t="s">
        <v>11292</v>
      </c>
      <c r="D4512" s="220" t="s">
        <v>105</v>
      </c>
      <c r="E4512" s="165">
        <v>237</v>
      </c>
    </row>
    <row r="4513" spans="1:5" x14ac:dyDescent="0.25">
      <c r="A4513" s="216" t="s">
        <v>6132</v>
      </c>
      <c r="B4513" s="218">
        <v>1</v>
      </c>
      <c r="C4513" s="220" t="s">
        <v>110</v>
      </c>
      <c r="D4513" s="220" t="s">
        <v>69</v>
      </c>
      <c r="E4513" s="165">
        <v>237</v>
      </c>
    </row>
    <row r="4514" spans="1:5" x14ac:dyDescent="0.25">
      <c r="A4514" s="216" t="s">
        <v>7249</v>
      </c>
      <c r="B4514" s="218" t="s">
        <v>48</v>
      </c>
      <c r="C4514" s="220" t="s">
        <v>222</v>
      </c>
      <c r="D4514" s="220" t="s">
        <v>166</v>
      </c>
      <c r="E4514" s="165">
        <v>237</v>
      </c>
    </row>
    <row r="4515" spans="1:5" x14ac:dyDescent="0.25">
      <c r="A4515" s="216" t="s">
        <v>6958</v>
      </c>
      <c r="B4515" s="218" t="s">
        <v>48</v>
      </c>
      <c r="C4515" s="220" t="s">
        <v>6959</v>
      </c>
      <c r="D4515" s="220" t="s">
        <v>206</v>
      </c>
      <c r="E4515" s="165">
        <v>236</v>
      </c>
    </row>
    <row r="4516" spans="1:5" x14ac:dyDescent="0.25">
      <c r="A4516" s="216" t="s">
        <v>6008</v>
      </c>
      <c r="B4516" s="218" t="s">
        <v>48</v>
      </c>
      <c r="C4516" s="220" t="s">
        <v>1087</v>
      </c>
      <c r="D4516" s="220" t="s">
        <v>188</v>
      </c>
      <c r="E4516" s="165">
        <v>236</v>
      </c>
    </row>
    <row r="4517" spans="1:5" x14ac:dyDescent="0.25">
      <c r="A4517" s="216" t="s">
        <v>5245</v>
      </c>
      <c r="B4517" s="218" t="s">
        <v>48</v>
      </c>
      <c r="C4517" s="220" t="s">
        <v>5246</v>
      </c>
      <c r="D4517" s="220" t="s">
        <v>90</v>
      </c>
      <c r="E4517" s="165">
        <v>236</v>
      </c>
    </row>
    <row r="4518" spans="1:5" x14ac:dyDescent="0.25">
      <c r="A4518" s="216" t="s">
        <v>6911</v>
      </c>
      <c r="B4518" s="218" t="s">
        <v>48</v>
      </c>
      <c r="C4518" s="220" t="s">
        <v>6912</v>
      </c>
      <c r="D4518" s="220" t="s">
        <v>166</v>
      </c>
      <c r="E4518" s="165">
        <v>236</v>
      </c>
    </row>
    <row r="4519" spans="1:5" x14ac:dyDescent="0.25">
      <c r="A4519" s="216" t="s">
        <v>6375</v>
      </c>
      <c r="B4519" s="218" t="s">
        <v>48</v>
      </c>
      <c r="C4519" s="220" t="s">
        <v>4341</v>
      </c>
      <c r="D4519" s="220" t="s">
        <v>90</v>
      </c>
      <c r="E4519" s="165">
        <v>236</v>
      </c>
    </row>
    <row r="4520" spans="1:5" x14ac:dyDescent="0.25">
      <c r="A4520" s="216" t="s">
        <v>11293</v>
      </c>
      <c r="B4520" s="218" t="s">
        <v>48</v>
      </c>
      <c r="C4520" s="220" t="s">
        <v>11294</v>
      </c>
      <c r="D4520" s="220" t="s">
        <v>75</v>
      </c>
      <c r="E4520" s="165">
        <v>236</v>
      </c>
    </row>
    <row r="4521" spans="1:5" x14ac:dyDescent="0.25">
      <c r="A4521" s="216" t="s">
        <v>11295</v>
      </c>
      <c r="B4521" s="218">
        <v>1</v>
      </c>
      <c r="C4521" s="220" t="s">
        <v>1162</v>
      </c>
      <c r="D4521" s="220" t="s">
        <v>188</v>
      </c>
      <c r="E4521" s="165">
        <v>236</v>
      </c>
    </row>
    <row r="4522" spans="1:5" x14ac:dyDescent="0.25">
      <c r="A4522" s="216" t="s">
        <v>6197</v>
      </c>
      <c r="B4522" s="218">
        <v>1</v>
      </c>
      <c r="C4522" s="220" t="s">
        <v>6198</v>
      </c>
      <c r="D4522" s="220" t="s">
        <v>201</v>
      </c>
      <c r="E4522" s="165">
        <v>236</v>
      </c>
    </row>
    <row r="4523" spans="1:5" x14ac:dyDescent="0.25">
      <c r="A4523" s="216" t="s">
        <v>6402</v>
      </c>
      <c r="B4523" s="218">
        <v>1</v>
      </c>
      <c r="C4523" s="220" t="s">
        <v>6403</v>
      </c>
      <c r="D4523" s="220" t="s">
        <v>66</v>
      </c>
      <c r="E4523" s="165">
        <v>236</v>
      </c>
    </row>
    <row r="4524" spans="1:5" x14ac:dyDescent="0.25">
      <c r="A4524" s="216" t="s">
        <v>6580</v>
      </c>
      <c r="B4524" s="218">
        <v>1</v>
      </c>
      <c r="C4524" s="220" t="s">
        <v>6581</v>
      </c>
      <c r="D4524" s="220" t="s">
        <v>188</v>
      </c>
      <c r="E4524" s="165">
        <v>236</v>
      </c>
    </row>
    <row r="4525" spans="1:5" x14ac:dyDescent="0.25">
      <c r="A4525" s="216" t="s">
        <v>6486</v>
      </c>
      <c r="B4525" s="218" t="s">
        <v>48</v>
      </c>
      <c r="C4525" s="220" t="s">
        <v>6487</v>
      </c>
      <c r="D4525" s="220" t="s">
        <v>53</v>
      </c>
      <c r="E4525" s="165">
        <v>235</v>
      </c>
    </row>
    <row r="4526" spans="1:5" x14ac:dyDescent="0.25">
      <c r="A4526" s="216" t="s">
        <v>6254</v>
      </c>
      <c r="B4526" s="218">
        <v>1</v>
      </c>
      <c r="C4526" s="220" t="s">
        <v>390</v>
      </c>
      <c r="D4526" s="220" t="s">
        <v>277</v>
      </c>
      <c r="E4526" s="165">
        <v>235</v>
      </c>
    </row>
    <row r="4527" spans="1:5" x14ac:dyDescent="0.25">
      <c r="A4527" s="216" t="s">
        <v>6034</v>
      </c>
      <c r="B4527" s="218" t="s">
        <v>48</v>
      </c>
      <c r="C4527" s="220" t="s">
        <v>3850</v>
      </c>
      <c r="D4527" s="220" t="s">
        <v>93</v>
      </c>
      <c r="E4527" s="165">
        <v>235</v>
      </c>
    </row>
    <row r="4528" spans="1:5" x14ac:dyDescent="0.25">
      <c r="A4528" s="216" t="s">
        <v>8886</v>
      </c>
      <c r="B4528" s="218" t="s">
        <v>48</v>
      </c>
      <c r="C4528" s="220" t="s">
        <v>8887</v>
      </c>
      <c r="D4528" s="220" t="s">
        <v>142</v>
      </c>
      <c r="E4528" s="165">
        <v>235</v>
      </c>
    </row>
    <row r="4529" spans="1:5" x14ac:dyDescent="0.25">
      <c r="A4529" s="216" t="s">
        <v>6120</v>
      </c>
      <c r="B4529" s="218">
        <v>1</v>
      </c>
      <c r="C4529" s="220" t="s">
        <v>6121</v>
      </c>
      <c r="D4529" s="220" t="s">
        <v>130</v>
      </c>
      <c r="E4529" s="165">
        <v>235</v>
      </c>
    </row>
    <row r="4530" spans="1:5" x14ac:dyDescent="0.25">
      <c r="A4530" s="216" t="s">
        <v>6578</v>
      </c>
      <c r="B4530" s="218">
        <v>1</v>
      </c>
      <c r="C4530" s="220" t="s">
        <v>3269</v>
      </c>
      <c r="D4530" s="220" t="s">
        <v>56</v>
      </c>
      <c r="E4530" s="165">
        <v>235</v>
      </c>
    </row>
    <row r="4531" spans="1:5" x14ac:dyDescent="0.25">
      <c r="A4531" s="216" t="s">
        <v>6365</v>
      </c>
      <c r="B4531" s="218">
        <v>1</v>
      </c>
      <c r="C4531" s="220" t="s">
        <v>2179</v>
      </c>
      <c r="D4531" s="220" t="s">
        <v>66</v>
      </c>
      <c r="E4531" s="165">
        <v>235</v>
      </c>
    </row>
    <row r="4532" spans="1:5" x14ac:dyDescent="0.25">
      <c r="A4532" s="216" t="s">
        <v>11296</v>
      </c>
      <c r="B4532" s="218">
        <v>1</v>
      </c>
      <c r="C4532" s="220" t="s">
        <v>11297</v>
      </c>
      <c r="D4532" s="220" t="s">
        <v>56</v>
      </c>
      <c r="E4532" s="165">
        <v>235</v>
      </c>
    </row>
    <row r="4533" spans="1:5" x14ac:dyDescent="0.25">
      <c r="A4533" s="216" t="s">
        <v>6561</v>
      </c>
      <c r="B4533" s="218">
        <v>1</v>
      </c>
      <c r="C4533" s="220" t="s">
        <v>4959</v>
      </c>
      <c r="D4533" s="220" t="s">
        <v>69</v>
      </c>
      <c r="E4533" s="165">
        <v>235</v>
      </c>
    </row>
    <row r="4534" spans="1:5" x14ac:dyDescent="0.25">
      <c r="A4534" s="216" t="s">
        <v>6528</v>
      </c>
      <c r="B4534" s="218" t="s">
        <v>48</v>
      </c>
      <c r="C4534" s="220" t="s">
        <v>6529</v>
      </c>
      <c r="D4534" s="220" t="s">
        <v>108</v>
      </c>
      <c r="E4534" s="165">
        <v>235</v>
      </c>
    </row>
    <row r="4535" spans="1:5" x14ac:dyDescent="0.25">
      <c r="A4535" s="216" t="s">
        <v>6482</v>
      </c>
      <c r="B4535" s="218">
        <v>1</v>
      </c>
      <c r="C4535" s="220" t="s">
        <v>63</v>
      </c>
      <c r="D4535" s="220" t="s">
        <v>63</v>
      </c>
      <c r="E4535" s="165">
        <v>235</v>
      </c>
    </row>
    <row r="4536" spans="1:5" x14ac:dyDescent="0.25">
      <c r="A4536" s="216" t="s">
        <v>6391</v>
      </c>
      <c r="B4536" s="218">
        <v>1</v>
      </c>
      <c r="C4536" s="220" t="s">
        <v>6392</v>
      </c>
      <c r="D4536" s="220" t="s">
        <v>66</v>
      </c>
      <c r="E4536" s="165">
        <v>234</v>
      </c>
    </row>
    <row r="4537" spans="1:5" x14ac:dyDescent="0.25">
      <c r="A4537" s="216" t="s">
        <v>6437</v>
      </c>
      <c r="B4537" s="218">
        <v>1</v>
      </c>
      <c r="C4537" s="220" t="s">
        <v>1105</v>
      </c>
      <c r="D4537" s="220" t="s">
        <v>192</v>
      </c>
      <c r="E4537" s="165">
        <v>234</v>
      </c>
    </row>
    <row r="4538" spans="1:5" x14ac:dyDescent="0.25">
      <c r="A4538" s="216" t="s">
        <v>6576</v>
      </c>
      <c r="B4538" s="218" t="s">
        <v>48</v>
      </c>
      <c r="C4538" s="220" t="s">
        <v>6577</v>
      </c>
      <c r="D4538" s="220" t="s">
        <v>90</v>
      </c>
      <c r="E4538" s="165">
        <v>234</v>
      </c>
    </row>
    <row r="4539" spans="1:5" x14ac:dyDescent="0.25">
      <c r="A4539" s="216" t="s">
        <v>6863</v>
      </c>
      <c r="B4539" s="218" t="s">
        <v>48</v>
      </c>
      <c r="C4539" s="220" t="s">
        <v>6864</v>
      </c>
      <c r="D4539" s="220" t="s">
        <v>166</v>
      </c>
      <c r="E4539" s="165">
        <v>234</v>
      </c>
    </row>
    <row r="4540" spans="1:5" x14ac:dyDescent="0.25">
      <c r="A4540" s="216" t="s">
        <v>6352</v>
      </c>
      <c r="B4540" s="218">
        <v>1</v>
      </c>
      <c r="C4540" s="220" t="s">
        <v>6353</v>
      </c>
      <c r="D4540" s="220" t="s">
        <v>56</v>
      </c>
      <c r="E4540" s="165">
        <v>234</v>
      </c>
    </row>
    <row r="4541" spans="1:5" x14ac:dyDescent="0.25">
      <c r="A4541" s="216" t="s">
        <v>5501</v>
      </c>
      <c r="B4541" s="218">
        <v>1</v>
      </c>
      <c r="C4541" s="220" t="s">
        <v>2834</v>
      </c>
      <c r="D4541" s="220" t="s">
        <v>272</v>
      </c>
      <c r="E4541" s="165">
        <v>234</v>
      </c>
    </row>
    <row r="4542" spans="1:5" x14ac:dyDescent="0.25">
      <c r="A4542" s="216" t="s">
        <v>6358</v>
      </c>
      <c r="B4542" s="218">
        <v>1</v>
      </c>
      <c r="C4542" s="220" t="s">
        <v>986</v>
      </c>
      <c r="D4542" s="220" t="s">
        <v>56</v>
      </c>
      <c r="E4542" s="165">
        <v>234</v>
      </c>
    </row>
    <row r="4543" spans="1:5" x14ac:dyDescent="0.25">
      <c r="A4543" s="216" t="s">
        <v>6629</v>
      </c>
      <c r="B4543" s="218">
        <v>1</v>
      </c>
      <c r="C4543" s="220" t="s">
        <v>6630</v>
      </c>
      <c r="D4543" s="220" t="s">
        <v>63</v>
      </c>
      <c r="E4543" s="165">
        <v>233</v>
      </c>
    </row>
    <row r="4544" spans="1:5" x14ac:dyDescent="0.25">
      <c r="A4544" s="216" t="s">
        <v>6206</v>
      </c>
      <c r="B4544" s="218">
        <v>1</v>
      </c>
      <c r="C4544" s="220" t="s">
        <v>6207</v>
      </c>
      <c r="D4544" s="220" t="s">
        <v>222</v>
      </c>
      <c r="E4544" s="165">
        <v>233</v>
      </c>
    </row>
    <row r="4545" spans="1:5" x14ac:dyDescent="0.25">
      <c r="A4545" s="216" t="s">
        <v>7576</v>
      </c>
      <c r="B4545" s="218" t="s">
        <v>48</v>
      </c>
      <c r="C4545" s="220" t="s">
        <v>4188</v>
      </c>
      <c r="D4545" s="220" t="s">
        <v>98</v>
      </c>
      <c r="E4545" s="165">
        <v>233</v>
      </c>
    </row>
    <row r="4546" spans="1:5" x14ac:dyDescent="0.25">
      <c r="A4546" s="216" t="s">
        <v>6773</v>
      </c>
      <c r="B4546" s="218">
        <v>1</v>
      </c>
      <c r="C4546" s="220" t="s">
        <v>1667</v>
      </c>
      <c r="D4546" s="220" t="s">
        <v>575</v>
      </c>
      <c r="E4546" s="165">
        <v>233</v>
      </c>
    </row>
    <row r="4547" spans="1:5" x14ac:dyDescent="0.25">
      <c r="A4547" s="216" t="s">
        <v>9731</v>
      </c>
      <c r="B4547" s="218" t="s">
        <v>48</v>
      </c>
      <c r="C4547" s="220" t="s">
        <v>342</v>
      </c>
      <c r="D4547" s="220" t="s">
        <v>277</v>
      </c>
      <c r="E4547" s="165">
        <v>233</v>
      </c>
    </row>
    <row r="4548" spans="1:5" x14ac:dyDescent="0.25">
      <c r="A4548" s="216" t="s">
        <v>6280</v>
      </c>
      <c r="B4548" s="218">
        <v>1</v>
      </c>
      <c r="C4548" s="220" t="s">
        <v>2355</v>
      </c>
      <c r="D4548" s="220" t="s">
        <v>272</v>
      </c>
      <c r="E4548" s="165">
        <v>233</v>
      </c>
    </row>
    <row r="4549" spans="1:5" x14ac:dyDescent="0.25">
      <c r="A4549" s="216" t="s">
        <v>6572</v>
      </c>
      <c r="B4549" s="218" t="s">
        <v>48</v>
      </c>
      <c r="C4549" s="220" t="s">
        <v>3056</v>
      </c>
      <c r="D4549" s="220" t="s">
        <v>90</v>
      </c>
      <c r="E4549" s="165">
        <v>233</v>
      </c>
    </row>
    <row r="4550" spans="1:5" x14ac:dyDescent="0.25">
      <c r="A4550" s="216" t="s">
        <v>6531</v>
      </c>
      <c r="B4550" s="218">
        <v>1</v>
      </c>
      <c r="C4550" s="220" t="s">
        <v>1113</v>
      </c>
      <c r="D4550" s="220" t="s">
        <v>50</v>
      </c>
      <c r="E4550" s="165">
        <v>232</v>
      </c>
    </row>
    <row r="4551" spans="1:5" x14ac:dyDescent="0.25">
      <c r="A4551" s="216" t="s">
        <v>10546</v>
      </c>
      <c r="B4551" s="218" t="s">
        <v>48</v>
      </c>
      <c r="C4551" s="220" t="s">
        <v>11298</v>
      </c>
      <c r="D4551" s="220" t="s">
        <v>78</v>
      </c>
      <c r="E4551" s="165">
        <v>232</v>
      </c>
    </row>
    <row r="4552" spans="1:5" x14ac:dyDescent="0.25">
      <c r="A4552" s="216" t="s">
        <v>7138</v>
      </c>
      <c r="B4552" s="218">
        <v>1</v>
      </c>
      <c r="C4552" s="220" t="s">
        <v>7139</v>
      </c>
      <c r="D4552" s="220" t="s">
        <v>337</v>
      </c>
      <c r="E4552" s="165">
        <v>232</v>
      </c>
    </row>
    <row r="4553" spans="1:5" x14ac:dyDescent="0.25">
      <c r="A4553" s="216" t="s">
        <v>6535</v>
      </c>
      <c r="B4553" s="218">
        <v>1</v>
      </c>
      <c r="C4553" s="220" t="s">
        <v>1924</v>
      </c>
      <c r="D4553" s="220" t="s">
        <v>50</v>
      </c>
      <c r="E4553" s="165">
        <v>232</v>
      </c>
    </row>
    <row r="4554" spans="1:5" x14ac:dyDescent="0.25">
      <c r="A4554" s="216" t="s">
        <v>11299</v>
      </c>
      <c r="B4554" s="218">
        <v>1</v>
      </c>
      <c r="C4554" s="220" t="s">
        <v>1113</v>
      </c>
      <c r="D4554" s="220" t="s">
        <v>50</v>
      </c>
      <c r="E4554" s="165">
        <v>232</v>
      </c>
    </row>
    <row r="4555" spans="1:5" x14ac:dyDescent="0.25">
      <c r="A4555" s="216" t="s">
        <v>6523</v>
      </c>
      <c r="B4555" s="218">
        <v>1</v>
      </c>
      <c r="C4555" s="220" t="s">
        <v>1050</v>
      </c>
      <c r="D4555" s="220" t="s">
        <v>63</v>
      </c>
      <c r="E4555" s="165">
        <v>232</v>
      </c>
    </row>
    <row r="4556" spans="1:5" x14ac:dyDescent="0.25">
      <c r="A4556" s="216" t="s">
        <v>6538</v>
      </c>
      <c r="B4556" s="218">
        <v>1</v>
      </c>
      <c r="C4556" s="220" t="s">
        <v>6539</v>
      </c>
      <c r="D4556" s="220" t="s">
        <v>50</v>
      </c>
      <c r="E4556" s="165">
        <v>232</v>
      </c>
    </row>
    <row r="4557" spans="1:5" x14ac:dyDescent="0.25">
      <c r="A4557" s="216" t="s">
        <v>6951</v>
      </c>
      <c r="B4557" s="218">
        <v>1</v>
      </c>
      <c r="C4557" s="220" t="s">
        <v>6952</v>
      </c>
      <c r="D4557" s="220" t="s">
        <v>236</v>
      </c>
      <c r="E4557" s="165">
        <v>232</v>
      </c>
    </row>
    <row r="4558" spans="1:5" x14ac:dyDescent="0.25">
      <c r="A4558" s="216" t="s">
        <v>5755</v>
      </c>
      <c r="B4558" s="218" t="s">
        <v>48</v>
      </c>
      <c r="C4558" s="220" t="s">
        <v>11300</v>
      </c>
      <c r="D4558" s="220" t="s">
        <v>59</v>
      </c>
      <c r="E4558" s="165">
        <v>232</v>
      </c>
    </row>
    <row r="4559" spans="1:5" x14ac:dyDescent="0.25">
      <c r="A4559" s="216" t="s">
        <v>6088</v>
      </c>
      <c r="B4559" s="218" t="s">
        <v>48</v>
      </c>
      <c r="C4559" s="220" t="s">
        <v>6089</v>
      </c>
      <c r="D4559" s="220" t="s">
        <v>75</v>
      </c>
      <c r="E4559" s="165">
        <v>232</v>
      </c>
    </row>
    <row r="4560" spans="1:5" x14ac:dyDescent="0.25">
      <c r="A4560" s="216" t="s">
        <v>6259</v>
      </c>
      <c r="B4560" s="218" t="s">
        <v>48</v>
      </c>
      <c r="C4560" s="220" t="s">
        <v>289</v>
      </c>
      <c r="D4560" s="220" t="s">
        <v>69</v>
      </c>
      <c r="E4560" s="165">
        <v>232</v>
      </c>
    </row>
    <row r="4561" spans="1:5" x14ac:dyDescent="0.25">
      <c r="A4561" s="216" t="s">
        <v>6573</v>
      </c>
      <c r="B4561" s="218" t="s">
        <v>48</v>
      </c>
      <c r="C4561" s="220" t="s">
        <v>5506</v>
      </c>
      <c r="D4561" s="220" t="s">
        <v>66</v>
      </c>
      <c r="E4561" s="165">
        <v>232</v>
      </c>
    </row>
    <row r="4562" spans="1:5" x14ac:dyDescent="0.25">
      <c r="A4562" s="216" t="s">
        <v>8504</v>
      </c>
      <c r="B4562" s="218" t="s">
        <v>48</v>
      </c>
      <c r="C4562" s="220" t="s">
        <v>8505</v>
      </c>
      <c r="D4562" s="220" t="s">
        <v>90</v>
      </c>
      <c r="E4562" s="165">
        <v>231</v>
      </c>
    </row>
    <row r="4563" spans="1:5" x14ac:dyDescent="0.25">
      <c r="A4563" s="216" t="s">
        <v>6257</v>
      </c>
      <c r="B4563" s="218" t="s">
        <v>48</v>
      </c>
      <c r="C4563" s="220" t="s">
        <v>2849</v>
      </c>
      <c r="D4563" s="220" t="s">
        <v>277</v>
      </c>
      <c r="E4563" s="165">
        <v>231</v>
      </c>
    </row>
    <row r="4564" spans="1:5" x14ac:dyDescent="0.25">
      <c r="A4564" s="216" t="s">
        <v>6595</v>
      </c>
      <c r="B4564" s="218" t="s">
        <v>48</v>
      </c>
      <c r="C4564" s="220" t="s">
        <v>1837</v>
      </c>
      <c r="D4564" s="220" t="s">
        <v>53</v>
      </c>
      <c r="E4564" s="165">
        <v>231</v>
      </c>
    </row>
    <row r="4565" spans="1:5" x14ac:dyDescent="0.25">
      <c r="A4565" s="216" t="s">
        <v>6542</v>
      </c>
      <c r="B4565" s="218">
        <v>1</v>
      </c>
      <c r="C4565" s="220" t="s">
        <v>3738</v>
      </c>
      <c r="D4565" s="220" t="s">
        <v>63</v>
      </c>
      <c r="E4565" s="165">
        <v>231</v>
      </c>
    </row>
    <row r="4566" spans="1:5" x14ac:dyDescent="0.25">
      <c r="A4566" s="216" t="s">
        <v>5757</v>
      </c>
      <c r="B4566" s="218">
        <v>1</v>
      </c>
      <c r="C4566" s="220" t="s">
        <v>5758</v>
      </c>
      <c r="D4566" s="220" t="s">
        <v>277</v>
      </c>
      <c r="E4566" s="165">
        <v>230</v>
      </c>
    </row>
    <row r="4567" spans="1:5" x14ac:dyDescent="0.25">
      <c r="A4567" s="216" t="s">
        <v>6980</v>
      </c>
      <c r="B4567" s="218">
        <v>1</v>
      </c>
      <c r="C4567" s="220" t="s">
        <v>6981</v>
      </c>
      <c r="D4567" s="220" t="s">
        <v>56</v>
      </c>
      <c r="E4567" s="165">
        <v>230</v>
      </c>
    </row>
    <row r="4568" spans="1:5" x14ac:dyDescent="0.25">
      <c r="A4568" s="216" t="s">
        <v>6326</v>
      </c>
      <c r="B4568" s="218" t="s">
        <v>48</v>
      </c>
      <c r="C4568" s="220" t="s">
        <v>283</v>
      </c>
      <c r="D4568" s="220" t="s">
        <v>59</v>
      </c>
      <c r="E4568" s="165">
        <v>230</v>
      </c>
    </row>
    <row r="4569" spans="1:5" x14ac:dyDescent="0.25">
      <c r="A4569" s="216" t="s">
        <v>6414</v>
      </c>
      <c r="B4569" s="218">
        <v>1</v>
      </c>
      <c r="C4569" s="220" t="s">
        <v>84</v>
      </c>
      <c r="D4569" s="220" t="s">
        <v>56</v>
      </c>
      <c r="E4569" s="165">
        <v>230</v>
      </c>
    </row>
    <row r="4570" spans="1:5" x14ac:dyDescent="0.25">
      <c r="A4570" s="216" t="s">
        <v>5817</v>
      </c>
      <c r="B4570" s="218" t="s">
        <v>48</v>
      </c>
      <c r="C4570" s="220" t="s">
        <v>5076</v>
      </c>
      <c r="D4570" s="220" t="s">
        <v>188</v>
      </c>
      <c r="E4570" s="165">
        <v>230</v>
      </c>
    </row>
    <row r="4571" spans="1:5" x14ac:dyDescent="0.25">
      <c r="A4571" s="216" t="s">
        <v>5312</v>
      </c>
      <c r="B4571" s="218" t="s">
        <v>48</v>
      </c>
      <c r="C4571" s="220" t="s">
        <v>4318</v>
      </c>
      <c r="D4571" s="220" t="s">
        <v>124</v>
      </c>
      <c r="E4571" s="165">
        <v>230</v>
      </c>
    </row>
    <row r="4572" spans="1:5" x14ac:dyDescent="0.25">
      <c r="A4572" s="216" t="s">
        <v>11301</v>
      </c>
      <c r="B4572" s="218">
        <v>1</v>
      </c>
      <c r="C4572" s="220" t="s">
        <v>3939</v>
      </c>
      <c r="D4572" s="220" t="s">
        <v>63</v>
      </c>
      <c r="E4572" s="165">
        <v>230</v>
      </c>
    </row>
    <row r="4573" spans="1:5" x14ac:dyDescent="0.25">
      <c r="A4573" s="216" t="s">
        <v>6417</v>
      </c>
      <c r="B4573" s="218">
        <v>1</v>
      </c>
      <c r="C4573" s="220" t="s">
        <v>1142</v>
      </c>
      <c r="D4573" s="220" t="s">
        <v>56</v>
      </c>
      <c r="E4573" s="165">
        <v>230</v>
      </c>
    </row>
    <row r="4574" spans="1:5" x14ac:dyDescent="0.25">
      <c r="A4574" s="216" t="s">
        <v>6269</v>
      </c>
      <c r="B4574" s="218">
        <v>1</v>
      </c>
      <c r="C4574" s="220" t="s">
        <v>221</v>
      </c>
      <c r="D4574" s="220" t="s">
        <v>166</v>
      </c>
      <c r="E4574" s="165">
        <v>230</v>
      </c>
    </row>
    <row r="4575" spans="1:5" x14ac:dyDescent="0.25">
      <c r="A4575" s="216" t="s">
        <v>7266</v>
      </c>
      <c r="B4575" s="218">
        <v>1</v>
      </c>
      <c r="C4575" s="220" t="s">
        <v>841</v>
      </c>
      <c r="D4575" s="220" t="s">
        <v>130</v>
      </c>
      <c r="E4575" s="165">
        <v>230</v>
      </c>
    </row>
    <row r="4576" spans="1:5" x14ac:dyDescent="0.25">
      <c r="A4576" s="216" t="s">
        <v>7391</v>
      </c>
      <c r="B4576" s="218" t="s">
        <v>48</v>
      </c>
      <c r="C4576" s="220" t="s">
        <v>7392</v>
      </c>
      <c r="D4576" s="220" t="s">
        <v>105</v>
      </c>
      <c r="E4576" s="165">
        <v>230</v>
      </c>
    </row>
    <row r="4577" spans="1:5" x14ac:dyDescent="0.25">
      <c r="A4577" s="216" t="s">
        <v>6428</v>
      </c>
      <c r="B4577" s="218">
        <v>1</v>
      </c>
      <c r="C4577" s="220" t="s">
        <v>640</v>
      </c>
      <c r="D4577" s="220" t="s">
        <v>69</v>
      </c>
      <c r="E4577" s="165">
        <v>230</v>
      </c>
    </row>
    <row r="4578" spans="1:5" x14ac:dyDescent="0.25">
      <c r="A4578" s="216" t="s">
        <v>5778</v>
      </c>
      <c r="B4578" s="218" t="s">
        <v>48</v>
      </c>
      <c r="C4578" s="220" t="s">
        <v>121</v>
      </c>
      <c r="D4578" s="220" t="s">
        <v>56</v>
      </c>
      <c r="E4578" s="165">
        <v>230</v>
      </c>
    </row>
    <row r="4579" spans="1:5" x14ac:dyDescent="0.25">
      <c r="A4579" s="216" t="s">
        <v>6617</v>
      </c>
      <c r="B4579" s="218">
        <v>1</v>
      </c>
      <c r="C4579" s="220" t="s">
        <v>6618</v>
      </c>
      <c r="D4579" s="220" t="s">
        <v>56</v>
      </c>
      <c r="E4579" s="165">
        <v>230</v>
      </c>
    </row>
    <row r="4580" spans="1:5" x14ac:dyDescent="0.25">
      <c r="A4580" s="216" t="s">
        <v>6453</v>
      </c>
      <c r="B4580" s="218">
        <v>1</v>
      </c>
      <c r="C4580" s="220" t="s">
        <v>4204</v>
      </c>
      <c r="D4580" s="220" t="s">
        <v>124</v>
      </c>
      <c r="E4580" s="165">
        <v>230</v>
      </c>
    </row>
    <row r="4581" spans="1:5" x14ac:dyDescent="0.25">
      <c r="A4581" s="216" t="s">
        <v>7271</v>
      </c>
      <c r="B4581" s="218">
        <v>1</v>
      </c>
      <c r="C4581" s="220" t="s">
        <v>7272</v>
      </c>
      <c r="D4581" s="220" t="s">
        <v>130</v>
      </c>
      <c r="E4581" s="165">
        <v>230</v>
      </c>
    </row>
    <row r="4582" spans="1:5" x14ac:dyDescent="0.25">
      <c r="A4582" s="216" t="s">
        <v>6420</v>
      </c>
      <c r="B4582" s="218">
        <v>1</v>
      </c>
      <c r="C4582" s="220" t="s">
        <v>233</v>
      </c>
      <c r="D4582" s="220" t="s">
        <v>56</v>
      </c>
      <c r="E4582" s="165">
        <v>230</v>
      </c>
    </row>
    <row r="4583" spans="1:5" x14ac:dyDescent="0.25">
      <c r="A4583" s="216" t="s">
        <v>6421</v>
      </c>
      <c r="B4583" s="218">
        <v>1</v>
      </c>
      <c r="C4583" s="220" t="s">
        <v>3556</v>
      </c>
      <c r="D4583" s="220" t="s">
        <v>56</v>
      </c>
      <c r="E4583" s="165">
        <v>230</v>
      </c>
    </row>
    <row r="4584" spans="1:5" x14ac:dyDescent="0.25">
      <c r="A4584" s="216" t="s">
        <v>6867</v>
      </c>
      <c r="B4584" s="218" t="s">
        <v>48</v>
      </c>
      <c r="C4584" s="220" t="s">
        <v>4310</v>
      </c>
      <c r="D4584" s="220" t="s">
        <v>50</v>
      </c>
      <c r="E4584" s="165">
        <v>230</v>
      </c>
    </row>
    <row r="4585" spans="1:5" x14ac:dyDescent="0.25">
      <c r="A4585" s="216" t="s">
        <v>10240</v>
      </c>
      <c r="B4585" s="218" t="s">
        <v>48</v>
      </c>
      <c r="C4585" s="220" t="s">
        <v>10241</v>
      </c>
      <c r="D4585" s="220" t="s">
        <v>82</v>
      </c>
      <c r="E4585" s="165">
        <v>229</v>
      </c>
    </row>
    <row r="4586" spans="1:5" x14ac:dyDescent="0.25">
      <c r="A4586" s="216" t="s">
        <v>10266</v>
      </c>
      <c r="B4586" s="218" t="s">
        <v>48</v>
      </c>
      <c r="C4586" s="220" t="s">
        <v>10267</v>
      </c>
      <c r="D4586" s="220" t="s">
        <v>59</v>
      </c>
      <c r="E4586" s="165">
        <v>229</v>
      </c>
    </row>
    <row r="4587" spans="1:5" x14ac:dyDescent="0.25">
      <c r="A4587" s="216" t="s">
        <v>11302</v>
      </c>
      <c r="B4587" s="218">
        <v>1</v>
      </c>
      <c r="C4587" s="220" t="s">
        <v>962</v>
      </c>
      <c r="D4587" s="220" t="s">
        <v>50</v>
      </c>
      <c r="E4587" s="165">
        <v>229</v>
      </c>
    </row>
    <row r="4588" spans="1:5" x14ac:dyDescent="0.25">
      <c r="A4588" s="216" t="s">
        <v>6554</v>
      </c>
      <c r="B4588" s="218" t="s">
        <v>48</v>
      </c>
      <c r="C4588" s="220" t="s">
        <v>6555</v>
      </c>
      <c r="D4588" s="220" t="s">
        <v>90</v>
      </c>
      <c r="E4588" s="165">
        <v>229</v>
      </c>
    </row>
    <row r="4589" spans="1:5" x14ac:dyDescent="0.25">
      <c r="A4589" s="216" t="s">
        <v>11303</v>
      </c>
      <c r="B4589" s="218" t="s">
        <v>48</v>
      </c>
      <c r="C4589" s="220" t="s">
        <v>5107</v>
      </c>
      <c r="D4589" s="220" t="s">
        <v>585</v>
      </c>
      <c r="E4589" s="165">
        <v>229</v>
      </c>
    </row>
    <row r="4590" spans="1:5" x14ac:dyDescent="0.25">
      <c r="A4590" s="216" t="s">
        <v>8331</v>
      </c>
      <c r="B4590" s="218" t="s">
        <v>48</v>
      </c>
      <c r="C4590" s="220" t="s">
        <v>2637</v>
      </c>
      <c r="D4590" s="220" t="s">
        <v>59</v>
      </c>
      <c r="E4590" s="165">
        <v>229</v>
      </c>
    </row>
    <row r="4591" spans="1:5" x14ac:dyDescent="0.25">
      <c r="A4591" s="216" t="s">
        <v>6208</v>
      </c>
      <c r="B4591" s="218" t="s">
        <v>48</v>
      </c>
      <c r="C4591" s="220" t="s">
        <v>2032</v>
      </c>
      <c r="D4591" s="220" t="s">
        <v>75</v>
      </c>
      <c r="E4591" s="165">
        <v>229</v>
      </c>
    </row>
    <row r="4592" spans="1:5" x14ac:dyDescent="0.25">
      <c r="A4592" s="216" t="s">
        <v>6209</v>
      </c>
      <c r="B4592" s="218" t="s">
        <v>48</v>
      </c>
      <c r="C4592" s="220" t="s">
        <v>6210</v>
      </c>
      <c r="D4592" s="220" t="s">
        <v>166</v>
      </c>
      <c r="E4592" s="165">
        <v>229</v>
      </c>
    </row>
    <row r="4593" spans="1:5" x14ac:dyDescent="0.25">
      <c r="A4593" s="216" t="s">
        <v>6218</v>
      </c>
      <c r="B4593" s="218">
        <v>1</v>
      </c>
      <c r="C4593" s="220" t="s">
        <v>925</v>
      </c>
      <c r="D4593" s="220" t="s">
        <v>394</v>
      </c>
      <c r="E4593" s="165">
        <v>229</v>
      </c>
    </row>
    <row r="4594" spans="1:5" x14ac:dyDescent="0.25">
      <c r="A4594" s="216" t="s">
        <v>5940</v>
      </c>
      <c r="B4594" s="218">
        <v>1</v>
      </c>
      <c r="C4594" s="220" t="s">
        <v>144</v>
      </c>
      <c r="D4594" s="220" t="s">
        <v>59</v>
      </c>
      <c r="E4594" s="165">
        <v>229</v>
      </c>
    </row>
    <row r="4595" spans="1:5" x14ac:dyDescent="0.25">
      <c r="A4595" s="216" t="s">
        <v>6547</v>
      </c>
      <c r="B4595" s="218">
        <v>1</v>
      </c>
      <c r="C4595" s="220" t="s">
        <v>6548</v>
      </c>
      <c r="D4595" s="220" t="s">
        <v>774</v>
      </c>
      <c r="E4595" s="165">
        <v>228</v>
      </c>
    </row>
    <row r="4596" spans="1:5" x14ac:dyDescent="0.25">
      <c r="A4596" s="216" t="s">
        <v>5752</v>
      </c>
      <c r="B4596" s="218">
        <v>1</v>
      </c>
      <c r="C4596" s="220" t="s">
        <v>1669</v>
      </c>
      <c r="D4596" s="220" t="s">
        <v>66</v>
      </c>
      <c r="E4596" s="165">
        <v>228</v>
      </c>
    </row>
    <row r="4597" spans="1:5" x14ac:dyDescent="0.25">
      <c r="A4597" s="216" t="s">
        <v>7600</v>
      </c>
      <c r="B4597" s="218" t="s">
        <v>48</v>
      </c>
      <c r="C4597" s="220" t="s">
        <v>4560</v>
      </c>
      <c r="D4597" s="220" t="s">
        <v>82</v>
      </c>
      <c r="E4597" s="165">
        <v>228</v>
      </c>
    </row>
    <row r="4598" spans="1:5" x14ac:dyDescent="0.25">
      <c r="A4598" s="216" t="s">
        <v>6765</v>
      </c>
      <c r="B4598" s="218">
        <v>1</v>
      </c>
      <c r="C4598" s="220" t="s">
        <v>483</v>
      </c>
      <c r="D4598" s="220" t="s">
        <v>139</v>
      </c>
      <c r="E4598" s="165">
        <v>228</v>
      </c>
    </row>
    <row r="4599" spans="1:5" x14ac:dyDescent="0.25">
      <c r="A4599" s="216" t="s">
        <v>6842</v>
      </c>
      <c r="B4599" s="218" t="s">
        <v>48</v>
      </c>
      <c r="C4599" s="220" t="s">
        <v>5924</v>
      </c>
      <c r="D4599" s="220" t="s">
        <v>188</v>
      </c>
      <c r="E4599" s="165">
        <v>228</v>
      </c>
    </row>
    <row r="4600" spans="1:5" x14ac:dyDescent="0.25">
      <c r="A4600" s="216" t="s">
        <v>7463</v>
      </c>
      <c r="B4600" s="218" t="s">
        <v>48</v>
      </c>
      <c r="C4600" s="220" t="s">
        <v>727</v>
      </c>
      <c r="D4600" s="220" t="s">
        <v>628</v>
      </c>
      <c r="E4600" s="165">
        <v>227</v>
      </c>
    </row>
    <row r="4601" spans="1:5" x14ac:dyDescent="0.25">
      <c r="A4601" s="216" t="s">
        <v>6906</v>
      </c>
      <c r="B4601" s="218" t="s">
        <v>48</v>
      </c>
      <c r="C4601" s="220" t="s">
        <v>6907</v>
      </c>
      <c r="D4601" s="220" t="s">
        <v>63</v>
      </c>
      <c r="E4601" s="165">
        <v>227</v>
      </c>
    </row>
    <row r="4602" spans="1:5" x14ac:dyDescent="0.25">
      <c r="A4602" s="216" t="s">
        <v>6586</v>
      </c>
      <c r="B4602" s="218">
        <v>1</v>
      </c>
      <c r="C4602" s="220" t="s">
        <v>6587</v>
      </c>
      <c r="D4602" s="220" t="s">
        <v>53</v>
      </c>
      <c r="E4602" s="165">
        <v>227</v>
      </c>
    </row>
    <row r="4603" spans="1:5" x14ac:dyDescent="0.25">
      <c r="A4603" s="216" t="s">
        <v>11304</v>
      </c>
      <c r="B4603" s="218" t="s">
        <v>48</v>
      </c>
      <c r="C4603" s="220" t="s">
        <v>2453</v>
      </c>
      <c r="D4603" s="220" t="s">
        <v>628</v>
      </c>
      <c r="E4603" s="165">
        <v>227</v>
      </c>
    </row>
    <row r="4604" spans="1:5" x14ac:dyDescent="0.25">
      <c r="A4604" s="216" t="s">
        <v>6702</v>
      </c>
      <c r="B4604" s="218">
        <v>1</v>
      </c>
      <c r="C4604" s="220" t="s">
        <v>6244</v>
      </c>
      <c r="D4604" s="220" t="s">
        <v>188</v>
      </c>
      <c r="E4604" s="165">
        <v>227</v>
      </c>
    </row>
    <row r="4605" spans="1:5" x14ac:dyDescent="0.25">
      <c r="A4605" s="216" t="s">
        <v>5793</v>
      </c>
      <c r="B4605" s="218">
        <v>1</v>
      </c>
      <c r="C4605" s="220" t="s">
        <v>5794</v>
      </c>
      <c r="D4605" s="220" t="s">
        <v>50</v>
      </c>
      <c r="E4605" s="165">
        <v>227</v>
      </c>
    </row>
    <row r="4606" spans="1:5" x14ac:dyDescent="0.25">
      <c r="A4606" s="216" t="s">
        <v>5519</v>
      </c>
      <c r="B4606" s="218" t="s">
        <v>48</v>
      </c>
      <c r="C4606" s="220" t="s">
        <v>89</v>
      </c>
      <c r="D4606" s="220" t="s">
        <v>90</v>
      </c>
      <c r="E4606" s="165">
        <v>227</v>
      </c>
    </row>
    <row r="4607" spans="1:5" x14ac:dyDescent="0.25">
      <c r="A4607" s="216" t="s">
        <v>6592</v>
      </c>
      <c r="B4607" s="218">
        <v>1</v>
      </c>
      <c r="C4607" s="220" t="s">
        <v>1113</v>
      </c>
      <c r="D4607" s="220" t="s">
        <v>50</v>
      </c>
      <c r="E4607" s="165">
        <v>227</v>
      </c>
    </row>
    <row r="4608" spans="1:5" x14ac:dyDescent="0.25">
      <c r="A4608" s="216" t="s">
        <v>6782</v>
      </c>
      <c r="B4608" s="218">
        <v>1</v>
      </c>
      <c r="C4608" s="220" t="s">
        <v>4478</v>
      </c>
      <c r="D4608" s="220" t="s">
        <v>139</v>
      </c>
      <c r="E4608" s="165">
        <v>227</v>
      </c>
    </row>
    <row r="4609" spans="1:5" x14ac:dyDescent="0.25">
      <c r="A4609" s="216" t="s">
        <v>6464</v>
      </c>
      <c r="B4609" s="218" t="s">
        <v>48</v>
      </c>
      <c r="C4609" s="220" t="s">
        <v>11305</v>
      </c>
      <c r="D4609" s="220" t="s">
        <v>59</v>
      </c>
      <c r="E4609" s="165">
        <v>227</v>
      </c>
    </row>
    <row r="4610" spans="1:5" x14ac:dyDescent="0.25">
      <c r="A4610" s="216" t="s">
        <v>6422</v>
      </c>
      <c r="B4610" s="218">
        <v>1</v>
      </c>
      <c r="C4610" s="220" t="s">
        <v>2576</v>
      </c>
      <c r="D4610" s="220" t="s">
        <v>56</v>
      </c>
      <c r="E4610" s="165">
        <v>227</v>
      </c>
    </row>
    <row r="4611" spans="1:5" x14ac:dyDescent="0.25">
      <c r="A4611" s="216" t="s">
        <v>6423</v>
      </c>
      <c r="B4611" s="218" t="s">
        <v>48</v>
      </c>
      <c r="C4611" s="220" t="s">
        <v>956</v>
      </c>
      <c r="D4611" s="220" t="s">
        <v>69</v>
      </c>
      <c r="E4611" s="165">
        <v>226</v>
      </c>
    </row>
    <row r="4612" spans="1:5" x14ac:dyDescent="0.25">
      <c r="A4612" s="216" t="s">
        <v>7159</v>
      </c>
      <c r="B4612" s="218">
        <v>1</v>
      </c>
      <c r="C4612" s="220" t="s">
        <v>1540</v>
      </c>
      <c r="D4612" s="220" t="s">
        <v>105</v>
      </c>
      <c r="E4612" s="165">
        <v>226</v>
      </c>
    </row>
    <row r="4613" spans="1:5" x14ac:dyDescent="0.25">
      <c r="A4613" s="216" t="s">
        <v>6639</v>
      </c>
      <c r="B4613" s="218" t="s">
        <v>48</v>
      </c>
      <c r="C4613" s="220" t="s">
        <v>6640</v>
      </c>
      <c r="D4613" s="220" t="s">
        <v>75</v>
      </c>
      <c r="E4613" s="165">
        <v>226</v>
      </c>
    </row>
    <row r="4614" spans="1:5" x14ac:dyDescent="0.25">
      <c r="A4614" s="216" t="s">
        <v>5711</v>
      </c>
      <c r="B4614" s="218">
        <v>1</v>
      </c>
      <c r="C4614" s="220" t="s">
        <v>1275</v>
      </c>
      <c r="D4614" s="220" t="s">
        <v>78</v>
      </c>
      <c r="E4614" s="165">
        <v>226</v>
      </c>
    </row>
    <row r="4615" spans="1:5" x14ac:dyDescent="0.25">
      <c r="A4615" s="216" t="s">
        <v>6098</v>
      </c>
      <c r="B4615" s="218">
        <v>1</v>
      </c>
      <c r="C4615" s="220" t="s">
        <v>238</v>
      </c>
      <c r="D4615" s="220" t="s">
        <v>93</v>
      </c>
      <c r="E4615" s="165">
        <v>226</v>
      </c>
    </row>
    <row r="4616" spans="1:5" x14ac:dyDescent="0.25">
      <c r="A4616" s="216" t="s">
        <v>6344</v>
      </c>
      <c r="B4616" s="218" t="s">
        <v>48</v>
      </c>
      <c r="C4616" s="220" t="s">
        <v>6345</v>
      </c>
      <c r="D4616" s="220" t="s">
        <v>166</v>
      </c>
      <c r="E4616" s="165">
        <v>226</v>
      </c>
    </row>
    <row r="4617" spans="1:5" x14ac:dyDescent="0.25">
      <c r="A4617" s="216" t="s">
        <v>6761</v>
      </c>
      <c r="B4617" s="218">
        <v>1</v>
      </c>
      <c r="C4617" s="220" t="s">
        <v>6168</v>
      </c>
      <c r="D4617" s="220" t="s">
        <v>63</v>
      </c>
      <c r="E4617" s="165">
        <v>226</v>
      </c>
    </row>
    <row r="4618" spans="1:5" x14ac:dyDescent="0.25">
      <c r="A4618" s="216" t="s">
        <v>6681</v>
      </c>
      <c r="B4618" s="218" t="s">
        <v>48</v>
      </c>
      <c r="C4618" s="220" t="s">
        <v>855</v>
      </c>
      <c r="D4618" s="220" t="s">
        <v>75</v>
      </c>
      <c r="E4618" s="165">
        <v>226</v>
      </c>
    </row>
    <row r="4619" spans="1:5" x14ac:dyDescent="0.25">
      <c r="A4619" s="216" t="s">
        <v>6920</v>
      </c>
      <c r="B4619" s="218" t="s">
        <v>48</v>
      </c>
      <c r="C4619" s="220" t="s">
        <v>6921</v>
      </c>
      <c r="D4619" s="220" t="s">
        <v>206</v>
      </c>
      <c r="E4619" s="165">
        <v>226</v>
      </c>
    </row>
    <row r="4620" spans="1:5" x14ac:dyDescent="0.25">
      <c r="A4620" s="216" t="s">
        <v>6772</v>
      </c>
      <c r="B4620" s="218" t="s">
        <v>48</v>
      </c>
      <c r="C4620" s="220" t="s">
        <v>86</v>
      </c>
      <c r="D4620" s="220" t="s">
        <v>166</v>
      </c>
      <c r="E4620" s="165">
        <v>225</v>
      </c>
    </row>
    <row r="4621" spans="1:5" x14ac:dyDescent="0.25">
      <c r="A4621" s="216" t="s">
        <v>6172</v>
      </c>
      <c r="B4621" s="218" t="s">
        <v>48</v>
      </c>
      <c r="C4621" s="220" t="s">
        <v>6011</v>
      </c>
      <c r="D4621" s="220" t="s">
        <v>236</v>
      </c>
      <c r="E4621" s="165">
        <v>225</v>
      </c>
    </row>
    <row r="4622" spans="1:5" x14ac:dyDescent="0.25">
      <c r="A4622" s="216" t="s">
        <v>6474</v>
      </c>
      <c r="B4622" s="218">
        <v>1</v>
      </c>
      <c r="C4622" s="220" t="s">
        <v>640</v>
      </c>
      <c r="D4622" s="220" t="s">
        <v>69</v>
      </c>
      <c r="E4622" s="165">
        <v>225</v>
      </c>
    </row>
    <row r="4623" spans="1:5" x14ac:dyDescent="0.25">
      <c r="A4623" s="216" t="s">
        <v>3232</v>
      </c>
      <c r="B4623" s="218">
        <v>1</v>
      </c>
      <c r="C4623" s="220" t="s">
        <v>2299</v>
      </c>
      <c r="D4623" s="220" t="s">
        <v>118</v>
      </c>
      <c r="E4623" s="165">
        <v>225</v>
      </c>
    </row>
    <row r="4624" spans="1:5" x14ac:dyDescent="0.25">
      <c r="A4624" s="216" t="s">
        <v>6994</v>
      </c>
      <c r="B4624" s="218" t="s">
        <v>48</v>
      </c>
      <c r="C4624" s="220" t="s">
        <v>5405</v>
      </c>
      <c r="D4624" s="220" t="s">
        <v>108</v>
      </c>
      <c r="E4624" s="165">
        <v>225</v>
      </c>
    </row>
    <row r="4625" spans="1:5" x14ac:dyDescent="0.25">
      <c r="A4625" s="216" t="s">
        <v>6460</v>
      </c>
      <c r="B4625" s="218">
        <v>1</v>
      </c>
      <c r="C4625" s="220" t="s">
        <v>1516</v>
      </c>
      <c r="D4625" s="220" t="s">
        <v>56</v>
      </c>
      <c r="E4625" s="165">
        <v>225</v>
      </c>
    </row>
    <row r="4626" spans="1:5" x14ac:dyDescent="0.25">
      <c r="A4626" s="216" t="s">
        <v>11306</v>
      </c>
      <c r="B4626" s="218">
        <v>1</v>
      </c>
      <c r="C4626" s="220" t="s">
        <v>263</v>
      </c>
      <c r="D4626" s="220" t="s">
        <v>264</v>
      </c>
      <c r="E4626" s="165">
        <v>225</v>
      </c>
    </row>
    <row r="4627" spans="1:5" x14ac:dyDescent="0.25">
      <c r="A4627" s="216" t="s">
        <v>11307</v>
      </c>
      <c r="B4627" s="218">
        <v>1</v>
      </c>
      <c r="C4627" s="220" t="s">
        <v>138</v>
      </c>
      <c r="D4627" s="220" t="s">
        <v>139</v>
      </c>
      <c r="E4627" s="165">
        <v>225</v>
      </c>
    </row>
    <row r="4628" spans="1:5" x14ac:dyDescent="0.25">
      <c r="A4628" s="216" t="s">
        <v>6683</v>
      </c>
      <c r="B4628" s="218">
        <v>1</v>
      </c>
      <c r="C4628" s="220" t="s">
        <v>110</v>
      </c>
      <c r="D4628" s="220" t="s">
        <v>69</v>
      </c>
      <c r="E4628" s="165">
        <v>225</v>
      </c>
    </row>
    <row r="4629" spans="1:5" x14ac:dyDescent="0.25">
      <c r="A4629" s="216" t="s">
        <v>6684</v>
      </c>
      <c r="B4629" s="218">
        <v>1</v>
      </c>
      <c r="C4629" s="220" t="s">
        <v>640</v>
      </c>
      <c r="D4629" s="220" t="s">
        <v>69</v>
      </c>
      <c r="E4629" s="165">
        <v>225</v>
      </c>
    </row>
    <row r="4630" spans="1:5" x14ac:dyDescent="0.25">
      <c r="A4630" s="216" t="s">
        <v>4701</v>
      </c>
      <c r="B4630" s="218" t="s">
        <v>48</v>
      </c>
      <c r="C4630" s="220" t="s">
        <v>1753</v>
      </c>
      <c r="D4630" s="220" t="s">
        <v>130</v>
      </c>
      <c r="E4630" s="165">
        <v>225</v>
      </c>
    </row>
    <row r="4631" spans="1:5" x14ac:dyDescent="0.25">
      <c r="A4631" s="216" t="s">
        <v>11308</v>
      </c>
      <c r="B4631" s="218" t="s">
        <v>48</v>
      </c>
      <c r="C4631" s="220" t="s">
        <v>11309</v>
      </c>
      <c r="D4631" s="220" t="s">
        <v>130</v>
      </c>
      <c r="E4631" s="165">
        <v>225</v>
      </c>
    </row>
    <row r="4632" spans="1:5" x14ac:dyDescent="0.25">
      <c r="A4632" s="216" t="s">
        <v>6468</v>
      </c>
      <c r="B4632" s="218">
        <v>1</v>
      </c>
      <c r="C4632" s="220" t="s">
        <v>169</v>
      </c>
      <c r="D4632" s="220" t="s">
        <v>56</v>
      </c>
      <c r="E4632" s="165">
        <v>225</v>
      </c>
    </row>
    <row r="4633" spans="1:5" x14ac:dyDescent="0.25">
      <c r="A4633" s="216" t="s">
        <v>6356</v>
      </c>
      <c r="B4633" s="218">
        <v>1</v>
      </c>
      <c r="C4633" s="220" t="s">
        <v>6357</v>
      </c>
      <c r="D4633" s="220" t="s">
        <v>78</v>
      </c>
      <c r="E4633" s="165">
        <v>225</v>
      </c>
    </row>
    <row r="4634" spans="1:5" x14ac:dyDescent="0.25">
      <c r="A4634" s="216" t="s">
        <v>6708</v>
      </c>
      <c r="B4634" s="218">
        <v>1</v>
      </c>
      <c r="C4634" s="220" t="s">
        <v>6709</v>
      </c>
      <c r="D4634" s="220" t="s">
        <v>56</v>
      </c>
      <c r="E4634" s="165">
        <v>225</v>
      </c>
    </row>
    <row r="4635" spans="1:5" x14ac:dyDescent="0.25">
      <c r="A4635" s="216" t="s">
        <v>7779</v>
      </c>
      <c r="B4635" s="218" t="s">
        <v>48</v>
      </c>
      <c r="C4635" s="220" t="s">
        <v>281</v>
      </c>
      <c r="D4635" s="220" t="s">
        <v>206</v>
      </c>
      <c r="E4635" s="165">
        <v>225</v>
      </c>
    </row>
    <row r="4636" spans="1:5" x14ac:dyDescent="0.25">
      <c r="A4636" s="216" t="s">
        <v>6436</v>
      </c>
      <c r="B4636" s="218" t="s">
        <v>48</v>
      </c>
      <c r="C4636" s="220" t="s">
        <v>477</v>
      </c>
      <c r="D4636" s="220" t="s">
        <v>56</v>
      </c>
      <c r="E4636" s="165">
        <v>224</v>
      </c>
    </row>
    <row r="4637" spans="1:5" x14ac:dyDescent="0.25">
      <c r="A4637" s="216" t="s">
        <v>11310</v>
      </c>
      <c r="B4637" s="218">
        <v>1</v>
      </c>
      <c r="C4637" s="220" t="s">
        <v>11311</v>
      </c>
      <c r="D4637" s="220" t="s">
        <v>188</v>
      </c>
      <c r="E4637" s="165">
        <v>224</v>
      </c>
    </row>
    <row r="4638" spans="1:5" x14ac:dyDescent="0.25">
      <c r="A4638" s="216" t="s">
        <v>6122</v>
      </c>
      <c r="B4638" s="218">
        <v>1</v>
      </c>
      <c r="C4638" s="220" t="s">
        <v>129</v>
      </c>
      <c r="D4638" s="220" t="s">
        <v>93</v>
      </c>
      <c r="E4638" s="165">
        <v>224</v>
      </c>
    </row>
    <row r="4639" spans="1:5" x14ac:dyDescent="0.25">
      <c r="A4639" s="216" t="s">
        <v>7632</v>
      </c>
      <c r="B4639" s="218">
        <v>1</v>
      </c>
      <c r="C4639" s="220" t="s">
        <v>4506</v>
      </c>
      <c r="D4639" s="220" t="s">
        <v>118</v>
      </c>
      <c r="E4639" s="165">
        <v>224</v>
      </c>
    </row>
    <row r="4640" spans="1:5" x14ac:dyDescent="0.25">
      <c r="A4640" s="216" t="s">
        <v>6823</v>
      </c>
      <c r="B4640" s="218">
        <v>1</v>
      </c>
      <c r="C4640" s="220" t="s">
        <v>6824</v>
      </c>
      <c r="D4640" s="220" t="s">
        <v>139</v>
      </c>
      <c r="E4640" s="165">
        <v>224</v>
      </c>
    </row>
    <row r="4641" spans="1:5" x14ac:dyDescent="0.25">
      <c r="A4641" s="216" t="s">
        <v>5055</v>
      </c>
      <c r="B4641" s="218">
        <v>1</v>
      </c>
      <c r="C4641" s="220" t="s">
        <v>727</v>
      </c>
      <c r="D4641" s="220" t="s">
        <v>628</v>
      </c>
      <c r="E4641" s="165">
        <v>224</v>
      </c>
    </row>
    <row r="4642" spans="1:5" x14ac:dyDescent="0.25">
      <c r="A4642" s="216" t="s">
        <v>9335</v>
      </c>
      <c r="B4642" s="218" t="s">
        <v>48</v>
      </c>
      <c r="C4642" s="220" t="s">
        <v>9336</v>
      </c>
      <c r="D4642" s="220" t="s">
        <v>1200</v>
      </c>
      <c r="E4642" s="165">
        <v>224</v>
      </c>
    </row>
    <row r="4643" spans="1:5" x14ac:dyDescent="0.25">
      <c r="A4643" s="216" t="s">
        <v>6107</v>
      </c>
      <c r="B4643" s="218">
        <v>1</v>
      </c>
      <c r="C4643" s="220" t="s">
        <v>2499</v>
      </c>
      <c r="D4643" s="220" t="s">
        <v>139</v>
      </c>
      <c r="E4643" s="165">
        <v>223</v>
      </c>
    </row>
    <row r="4644" spans="1:5" x14ac:dyDescent="0.25">
      <c r="A4644" s="216" t="s">
        <v>7311</v>
      </c>
      <c r="B4644" s="218">
        <v>1</v>
      </c>
      <c r="C4644" s="220" t="s">
        <v>565</v>
      </c>
      <c r="D4644" s="220" t="s">
        <v>139</v>
      </c>
      <c r="E4644" s="165">
        <v>223</v>
      </c>
    </row>
    <row r="4645" spans="1:5" x14ac:dyDescent="0.25">
      <c r="A4645" s="216" t="s">
        <v>11312</v>
      </c>
      <c r="B4645" s="218">
        <v>1</v>
      </c>
      <c r="C4645" s="220" t="s">
        <v>6812</v>
      </c>
      <c r="D4645" s="220" t="s">
        <v>56</v>
      </c>
      <c r="E4645" s="165">
        <v>223</v>
      </c>
    </row>
    <row r="4646" spans="1:5" x14ac:dyDescent="0.25">
      <c r="A4646" s="216" t="s">
        <v>6549</v>
      </c>
      <c r="B4646" s="218" t="s">
        <v>48</v>
      </c>
      <c r="C4646" s="220" t="s">
        <v>622</v>
      </c>
      <c r="D4646" s="220" t="s">
        <v>124</v>
      </c>
      <c r="E4646" s="165">
        <v>223</v>
      </c>
    </row>
    <row r="4647" spans="1:5" x14ac:dyDescent="0.25">
      <c r="A4647" s="216" t="s">
        <v>6329</v>
      </c>
      <c r="B4647" s="218">
        <v>1</v>
      </c>
      <c r="C4647" s="220" t="s">
        <v>1849</v>
      </c>
      <c r="D4647" s="220" t="s">
        <v>93</v>
      </c>
      <c r="E4647" s="165">
        <v>223</v>
      </c>
    </row>
    <row r="4648" spans="1:5" x14ac:dyDescent="0.25">
      <c r="A4648" s="216" t="s">
        <v>6493</v>
      </c>
      <c r="B4648" s="218">
        <v>1</v>
      </c>
      <c r="C4648" s="220" t="s">
        <v>219</v>
      </c>
      <c r="D4648" s="220" t="s">
        <v>56</v>
      </c>
      <c r="E4648" s="165">
        <v>223</v>
      </c>
    </row>
    <row r="4649" spans="1:5" x14ac:dyDescent="0.25">
      <c r="A4649" s="216" t="s">
        <v>4703</v>
      </c>
      <c r="B4649" s="218" t="s">
        <v>48</v>
      </c>
      <c r="C4649" s="220" t="s">
        <v>4704</v>
      </c>
      <c r="D4649" s="220" t="s">
        <v>166</v>
      </c>
      <c r="E4649" s="165">
        <v>223</v>
      </c>
    </row>
    <row r="4650" spans="1:5" x14ac:dyDescent="0.25">
      <c r="A4650" s="216" t="s">
        <v>6406</v>
      </c>
      <c r="B4650" s="218">
        <v>1</v>
      </c>
      <c r="C4650" s="220" t="s">
        <v>6407</v>
      </c>
      <c r="D4650" s="220" t="s">
        <v>50</v>
      </c>
      <c r="E4650" s="165">
        <v>223</v>
      </c>
    </row>
    <row r="4651" spans="1:5" x14ac:dyDescent="0.25">
      <c r="A4651" s="216" t="s">
        <v>9755</v>
      </c>
      <c r="B4651" s="218">
        <v>1</v>
      </c>
      <c r="C4651" s="220" t="s">
        <v>922</v>
      </c>
      <c r="D4651" s="220" t="s">
        <v>188</v>
      </c>
      <c r="E4651" s="165">
        <v>222</v>
      </c>
    </row>
    <row r="4652" spans="1:5" x14ac:dyDescent="0.25">
      <c r="A4652" s="216" t="s">
        <v>7998</v>
      </c>
      <c r="B4652" s="218">
        <v>1</v>
      </c>
      <c r="C4652" s="220" t="s">
        <v>3119</v>
      </c>
      <c r="D4652" s="220" t="s">
        <v>277</v>
      </c>
      <c r="E4652" s="165">
        <v>222</v>
      </c>
    </row>
    <row r="4653" spans="1:5" x14ac:dyDescent="0.25">
      <c r="A4653" s="216" t="s">
        <v>11313</v>
      </c>
      <c r="B4653" s="218" t="s">
        <v>48</v>
      </c>
      <c r="C4653" s="220" t="s">
        <v>11314</v>
      </c>
      <c r="D4653" s="220" t="s">
        <v>206</v>
      </c>
      <c r="E4653" s="165">
        <v>222</v>
      </c>
    </row>
    <row r="4654" spans="1:5" x14ac:dyDescent="0.25">
      <c r="A4654" s="216" t="s">
        <v>10582</v>
      </c>
      <c r="B4654" s="218" t="s">
        <v>48</v>
      </c>
      <c r="C4654" s="220" t="s">
        <v>179</v>
      </c>
      <c r="D4654" s="220" t="s">
        <v>66</v>
      </c>
      <c r="E4654" s="165">
        <v>222</v>
      </c>
    </row>
    <row r="4655" spans="1:5" x14ac:dyDescent="0.25">
      <c r="A4655" s="216" t="s">
        <v>6373</v>
      </c>
      <c r="B4655" s="218">
        <v>1</v>
      </c>
      <c r="C4655" s="220" t="s">
        <v>1199</v>
      </c>
      <c r="D4655" s="220" t="s">
        <v>1200</v>
      </c>
      <c r="E4655" s="165">
        <v>222</v>
      </c>
    </row>
    <row r="4656" spans="1:5" x14ac:dyDescent="0.25">
      <c r="A4656" s="216" t="s">
        <v>8348</v>
      </c>
      <c r="B4656" s="218">
        <v>1</v>
      </c>
      <c r="C4656" s="220" t="s">
        <v>4606</v>
      </c>
      <c r="D4656" s="220" t="s">
        <v>277</v>
      </c>
      <c r="E4656" s="165">
        <v>222</v>
      </c>
    </row>
    <row r="4657" spans="1:5" x14ac:dyDescent="0.25">
      <c r="A4657" s="216" t="s">
        <v>7067</v>
      </c>
      <c r="B4657" s="218">
        <v>1</v>
      </c>
      <c r="C4657" s="220" t="s">
        <v>1792</v>
      </c>
      <c r="D4657" s="220" t="s">
        <v>56</v>
      </c>
      <c r="E4657" s="165">
        <v>222</v>
      </c>
    </row>
    <row r="4658" spans="1:5" x14ac:dyDescent="0.25">
      <c r="A4658" s="216" t="s">
        <v>6651</v>
      </c>
      <c r="B4658" s="218">
        <v>1</v>
      </c>
      <c r="C4658" s="220" t="s">
        <v>71</v>
      </c>
      <c r="D4658" s="220" t="s">
        <v>50</v>
      </c>
      <c r="E4658" s="165">
        <v>222</v>
      </c>
    </row>
    <row r="4659" spans="1:5" x14ac:dyDescent="0.25">
      <c r="A4659" s="216" t="s">
        <v>7820</v>
      </c>
      <c r="B4659" s="218">
        <v>1</v>
      </c>
      <c r="C4659" s="220" t="s">
        <v>259</v>
      </c>
      <c r="D4659" s="220" t="s">
        <v>50</v>
      </c>
      <c r="E4659" s="165">
        <v>222</v>
      </c>
    </row>
    <row r="4660" spans="1:5" x14ac:dyDescent="0.25">
      <c r="A4660" s="216" t="s">
        <v>9182</v>
      </c>
      <c r="B4660" s="218">
        <v>1</v>
      </c>
      <c r="C4660" s="220" t="s">
        <v>4299</v>
      </c>
      <c r="D4660" s="220" t="s">
        <v>98</v>
      </c>
      <c r="E4660" s="165">
        <v>222</v>
      </c>
    </row>
    <row r="4661" spans="1:5" x14ac:dyDescent="0.25">
      <c r="A4661" s="216" t="s">
        <v>6670</v>
      </c>
      <c r="B4661" s="218">
        <v>1</v>
      </c>
      <c r="C4661" s="220" t="s">
        <v>6671</v>
      </c>
      <c r="D4661" s="220" t="s">
        <v>50</v>
      </c>
      <c r="E4661" s="165">
        <v>222</v>
      </c>
    </row>
    <row r="4662" spans="1:5" x14ac:dyDescent="0.25">
      <c r="A4662" s="216" t="s">
        <v>7697</v>
      </c>
      <c r="B4662" s="218">
        <v>1</v>
      </c>
      <c r="C4662" s="220" t="s">
        <v>306</v>
      </c>
      <c r="D4662" s="220" t="s">
        <v>63</v>
      </c>
      <c r="E4662" s="165">
        <v>222</v>
      </c>
    </row>
    <row r="4663" spans="1:5" x14ac:dyDescent="0.25">
      <c r="A4663" s="216" t="s">
        <v>11315</v>
      </c>
      <c r="B4663" s="218">
        <v>1</v>
      </c>
      <c r="C4663" s="220" t="s">
        <v>5835</v>
      </c>
      <c r="D4663" s="220" t="s">
        <v>66</v>
      </c>
      <c r="E4663" s="165">
        <v>222</v>
      </c>
    </row>
    <row r="4664" spans="1:5" x14ac:dyDescent="0.25">
      <c r="A4664" s="216" t="s">
        <v>7441</v>
      </c>
      <c r="B4664" s="218" t="s">
        <v>48</v>
      </c>
      <c r="C4664" s="220" t="s">
        <v>7442</v>
      </c>
      <c r="D4664" s="220" t="s">
        <v>188</v>
      </c>
      <c r="E4664" s="165">
        <v>221</v>
      </c>
    </row>
    <row r="4665" spans="1:5" x14ac:dyDescent="0.25">
      <c r="A4665" s="216" t="s">
        <v>6521</v>
      </c>
      <c r="B4665" s="218">
        <v>1</v>
      </c>
      <c r="C4665" s="220" t="s">
        <v>477</v>
      </c>
      <c r="D4665" s="220" t="s">
        <v>56</v>
      </c>
      <c r="E4665" s="165">
        <v>221</v>
      </c>
    </row>
    <row r="4666" spans="1:5" x14ac:dyDescent="0.25">
      <c r="A4666" s="216" t="s">
        <v>6248</v>
      </c>
      <c r="B4666" s="218">
        <v>1</v>
      </c>
      <c r="C4666" s="220" t="s">
        <v>6249</v>
      </c>
      <c r="D4666" s="220" t="s">
        <v>272</v>
      </c>
      <c r="E4666" s="165">
        <v>221</v>
      </c>
    </row>
    <row r="4667" spans="1:5" x14ac:dyDescent="0.25">
      <c r="A4667" s="216" t="s">
        <v>5447</v>
      </c>
      <c r="B4667" s="218" t="s">
        <v>48</v>
      </c>
      <c r="C4667" s="220" t="s">
        <v>1117</v>
      </c>
      <c r="D4667" s="220" t="s">
        <v>53</v>
      </c>
      <c r="E4667" s="165">
        <v>221</v>
      </c>
    </row>
    <row r="4668" spans="1:5" x14ac:dyDescent="0.25">
      <c r="A4668" s="216" t="s">
        <v>10761</v>
      </c>
      <c r="B4668" s="218">
        <v>1</v>
      </c>
      <c r="C4668" s="220" t="s">
        <v>11316</v>
      </c>
      <c r="D4668" s="220" t="s">
        <v>517</v>
      </c>
      <c r="E4668" s="165">
        <v>221</v>
      </c>
    </row>
    <row r="4669" spans="1:5" x14ac:dyDescent="0.25">
      <c r="A4669" s="216" t="s">
        <v>6495</v>
      </c>
      <c r="B4669" s="218">
        <v>1</v>
      </c>
      <c r="C4669" s="220" t="s">
        <v>6496</v>
      </c>
      <c r="D4669" s="220" t="s">
        <v>56</v>
      </c>
      <c r="E4669" s="165">
        <v>221</v>
      </c>
    </row>
    <row r="4670" spans="1:5" x14ac:dyDescent="0.25">
      <c r="A4670" s="216" t="s">
        <v>6937</v>
      </c>
      <c r="B4670" s="218" t="s">
        <v>48</v>
      </c>
      <c r="C4670" s="220" t="s">
        <v>1125</v>
      </c>
      <c r="D4670" s="220" t="s">
        <v>264</v>
      </c>
      <c r="E4670" s="165">
        <v>221</v>
      </c>
    </row>
    <row r="4671" spans="1:5" x14ac:dyDescent="0.25">
      <c r="A4671" s="216" t="s">
        <v>6564</v>
      </c>
      <c r="B4671" s="218">
        <v>1</v>
      </c>
      <c r="C4671" s="220" t="s">
        <v>289</v>
      </c>
      <c r="D4671" s="220" t="s">
        <v>69</v>
      </c>
      <c r="E4671" s="165">
        <v>220</v>
      </c>
    </row>
    <row r="4672" spans="1:5" x14ac:dyDescent="0.25">
      <c r="A4672" s="216" t="s">
        <v>8020</v>
      </c>
      <c r="B4672" s="218" t="s">
        <v>48</v>
      </c>
      <c r="C4672" s="220" t="s">
        <v>235</v>
      </c>
      <c r="D4672" s="220" t="s">
        <v>139</v>
      </c>
      <c r="E4672" s="165">
        <v>220</v>
      </c>
    </row>
    <row r="4673" spans="1:5" x14ac:dyDescent="0.25">
      <c r="A4673" s="216" t="s">
        <v>11317</v>
      </c>
      <c r="B4673" s="218">
        <v>1</v>
      </c>
      <c r="C4673" s="220" t="s">
        <v>270</v>
      </c>
      <c r="D4673" s="220" t="s">
        <v>177</v>
      </c>
      <c r="E4673" s="165">
        <v>220</v>
      </c>
    </row>
    <row r="4674" spans="1:5" x14ac:dyDescent="0.25">
      <c r="A4674" s="216" t="s">
        <v>6458</v>
      </c>
      <c r="B4674" s="218" t="s">
        <v>48</v>
      </c>
      <c r="C4674" s="220" t="s">
        <v>756</v>
      </c>
      <c r="D4674" s="220" t="s">
        <v>66</v>
      </c>
      <c r="E4674" s="165">
        <v>220</v>
      </c>
    </row>
    <row r="4675" spans="1:5" x14ac:dyDescent="0.25">
      <c r="A4675" s="216" t="s">
        <v>7502</v>
      </c>
      <c r="B4675" s="218" t="s">
        <v>48</v>
      </c>
      <c r="C4675" s="220" t="s">
        <v>144</v>
      </c>
      <c r="D4675" s="220" t="s">
        <v>59</v>
      </c>
      <c r="E4675" s="165">
        <v>220</v>
      </c>
    </row>
    <row r="4676" spans="1:5" x14ac:dyDescent="0.25">
      <c r="A4676" s="216" t="s">
        <v>5993</v>
      </c>
      <c r="B4676" s="218" t="s">
        <v>48</v>
      </c>
      <c r="C4676" s="220" t="s">
        <v>5994</v>
      </c>
      <c r="D4676" s="220" t="s">
        <v>108</v>
      </c>
      <c r="E4676" s="165">
        <v>220</v>
      </c>
    </row>
    <row r="4677" spans="1:5" x14ac:dyDescent="0.25">
      <c r="A4677" s="216" t="s">
        <v>6791</v>
      </c>
      <c r="B4677" s="218" t="s">
        <v>48</v>
      </c>
      <c r="C4677" s="220" t="s">
        <v>1693</v>
      </c>
      <c r="D4677" s="220" t="s">
        <v>139</v>
      </c>
      <c r="E4677" s="165">
        <v>220</v>
      </c>
    </row>
    <row r="4678" spans="1:5" x14ac:dyDescent="0.25">
      <c r="A4678" s="216" t="s">
        <v>6590</v>
      </c>
      <c r="B4678" s="218" t="s">
        <v>48</v>
      </c>
      <c r="C4678" s="220" t="s">
        <v>1047</v>
      </c>
      <c r="D4678" s="220" t="s">
        <v>53</v>
      </c>
      <c r="E4678" s="165">
        <v>220</v>
      </c>
    </row>
    <row r="4679" spans="1:5" x14ac:dyDescent="0.25">
      <c r="A4679" s="216" t="s">
        <v>5907</v>
      </c>
      <c r="B4679" s="218">
        <v>1</v>
      </c>
      <c r="C4679" s="220" t="s">
        <v>5908</v>
      </c>
      <c r="D4679" s="220" t="s">
        <v>277</v>
      </c>
      <c r="E4679" s="165">
        <v>220</v>
      </c>
    </row>
    <row r="4680" spans="1:5" x14ac:dyDescent="0.25">
      <c r="A4680" s="216" t="s">
        <v>11318</v>
      </c>
      <c r="B4680" s="218" t="s">
        <v>48</v>
      </c>
      <c r="C4680" s="220" t="s">
        <v>350</v>
      </c>
      <c r="D4680" s="220" t="s">
        <v>69</v>
      </c>
      <c r="E4680" s="165">
        <v>220</v>
      </c>
    </row>
    <row r="4681" spans="1:5" x14ac:dyDescent="0.25">
      <c r="A4681" s="216" t="s">
        <v>6686</v>
      </c>
      <c r="B4681" s="218">
        <v>1</v>
      </c>
      <c r="C4681" s="220" t="s">
        <v>306</v>
      </c>
      <c r="D4681" s="220" t="s">
        <v>63</v>
      </c>
      <c r="E4681" s="165">
        <v>220</v>
      </c>
    </row>
    <row r="4682" spans="1:5" x14ac:dyDescent="0.25">
      <c r="A4682" s="216" t="s">
        <v>7206</v>
      </c>
      <c r="B4682" s="218" t="s">
        <v>48</v>
      </c>
      <c r="C4682" s="220" t="s">
        <v>7207</v>
      </c>
      <c r="D4682" s="220" t="s">
        <v>108</v>
      </c>
      <c r="E4682" s="165">
        <v>220</v>
      </c>
    </row>
    <row r="4683" spans="1:5" x14ac:dyDescent="0.25">
      <c r="A4683" s="216" t="s">
        <v>7303</v>
      </c>
      <c r="B4683" s="218" t="s">
        <v>48</v>
      </c>
      <c r="C4683" s="220" t="s">
        <v>615</v>
      </c>
      <c r="D4683" s="220" t="s">
        <v>63</v>
      </c>
      <c r="E4683" s="165">
        <v>220</v>
      </c>
    </row>
    <row r="4684" spans="1:5" x14ac:dyDescent="0.25">
      <c r="A4684" s="216" t="s">
        <v>5913</v>
      </c>
      <c r="B4684" s="218">
        <v>1</v>
      </c>
      <c r="C4684" s="220" t="s">
        <v>1103</v>
      </c>
      <c r="D4684" s="220" t="s">
        <v>277</v>
      </c>
      <c r="E4684" s="165">
        <v>220</v>
      </c>
    </row>
    <row r="4685" spans="1:5" x14ac:dyDescent="0.25">
      <c r="A4685" s="216" t="s">
        <v>6570</v>
      </c>
      <c r="B4685" s="218">
        <v>1</v>
      </c>
      <c r="C4685" s="220" t="s">
        <v>868</v>
      </c>
      <c r="D4685" s="220" t="s">
        <v>69</v>
      </c>
      <c r="E4685" s="165">
        <v>220</v>
      </c>
    </row>
    <row r="4686" spans="1:5" x14ac:dyDescent="0.25">
      <c r="A4686" s="216" t="s">
        <v>6432</v>
      </c>
      <c r="B4686" s="218">
        <v>1</v>
      </c>
      <c r="C4686" s="220" t="s">
        <v>6433</v>
      </c>
      <c r="D4686" s="220" t="s">
        <v>628</v>
      </c>
      <c r="E4686" s="165">
        <v>220</v>
      </c>
    </row>
    <row r="4687" spans="1:5" x14ac:dyDescent="0.25">
      <c r="A4687" s="216" t="s">
        <v>6167</v>
      </c>
      <c r="B4687" s="218">
        <v>1</v>
      </c>
      <c r="C4687" s="220" t="s">
        <v>6168</v>
      </c>
      <c r="D4687" s="220" t="s">
        <v>139</v>
      </c>
      <c r="E4687" s="165">
        <v>220</v>
      </c>
    </row>
    <row r="4688" spans="1:5" x14ac:dyDescent="0.25">
      <c r="A4688" s="216" t="s">
        <v>11319</v>
      </c>
      <c r="B4688" s="218">
        <v>1</v>
      </c>
      <c r="C4688" s="220" t="s">
        <v>952</v>
      </c>
      <c r="D4688" s="220" t="s">
        <v>56</v>
      </c>
      <c r="E4688" s="165">
        <v>219</v>
      </c>
    </row>
    <row r="4689" spans="1:5" x14ac:dyDescent="0.25">
      <c r="A4689" s="216" t="s">
        <v>11320</v>
      </c>
      <c r="B4689" s="218">
        <v>1</v>
      </c>
      <c r="C4689" s="220" t="s">
        <v>263</v>
      </c>
      <c r="D4689" s="220" t="s">
        <v>264</v>
      </c>
      <c r="E4689" s="165">
        <v>219</v>
      </c>
    </row>
    <row r="4690" spans="1:5" x14ac:dyDescent="0.25">
      <c r="A4690" s="216" t="s">
        <v>6299</v>
      </c>
      <c r="B4690" s="218">
        <v>1</v>
      </c>
      <c r="C4690" s="220" t="s">
        <v>86</v>
      </c>
      <c r="D4690" s="220" t="s">
        <v>87</v>
      </c>
      <c r="E4690" s="165">
        <v>219</v>
      </c>
    </row>
    <row r="4691" spans="1:5" x14ac:dyDescent="0.25">
      <c r="A4691" s="216" t="s">
        <v>7135</v>
      </c>
      <c r="B4691" s="218">
        <v>1</v>
      </c>
      <c r="C4691" s="220" t="s">
        <v>179</v>
      </c>
      <c r="D4691" s="220" t="s">
        <v>66</v>
      </c>
      <c r="E4691" s="165">
        <v>219</v>
      </c>
    </row>
    <row r="4692" spans="1:5" x14ac:dyDescent="0.25">
      <c r="A4692" s="216" t="s">
        <v>6803</v>
      </c>
      <c r="B4692" s="218">
        <v>1</v>
      </c>
      <c r="C4692" s="220" t="s">
        <v>121</v>
      </c>
      <c r="D4692" s="220" t="s">
        <v>56</v>
      </c>
      <c r="E4692" s="165">
        <v>219</v>
      </c>
    </row>
    <row r="4693" spans="1:5" x14ac:dyDescent="0.25">
      <c r="A4693" s="216" t="s">
        <v>6057</v>
      </c>
      <c r="B4693" s="218">
        <v>1</v>
      </c>
      <c r="C4693" s="220" t="s">
        <v>6058</v>
      </c>
      <c r="D4693" s="220" t="s">
        <v>127</v>
      </c>
      <c r="E4693" s="165">
        <v>219</v>
      </c>
    </row>
    <row r="4694" spans="1:5" x14ac:dyDescent="0.25">
      <c r="A4694" s="216" t="s">
        <v>11321</v>
      </c>
      <c r="B4694" s="218">
        <v>1</v>
      </c>
      <c r="C4694" s="220" t="s">
        <v>48</v>
      </c>
      <c r="D4694" s="220" t="s">
        <v>72</v>
      </c>
      <c r="E4694" s="165">
        <v>219</v>
      </c>
    </row>
    <row r="4695" spans="1:5" x14ac:dyDescent="0.25">
      <c r="A4695" s="216" t="s">
        <v>11322</v>
      </c>
      <c r="B4695" s="218">
        <v>1</v>
      </c>
      <c r="C4695" s="220" t="s">
        <v>11323</v>
      </c>
      <c r="D4695" s="220" t="s">
        <v>56</v>
      </c>
      <c r="E4695" s="165">
        <v>219</v>
      </c>
    </row>
    <row r="4696" spans="1:5" x14ac:dyDescent="0.25">
      <c r="A4696" s="216" t="s">
        <v>11324</v>
      </c>
      <c r="B4696" s="218">
        <v>1</v>
      </c>
      <c r="C4696" s="220" t="s">
        <v>9030</v>
      </c>
      <c r="D4696" s="220" t="s">
        <v>394</v>
      </c>
      <c r="E4696" s="165">
        <v>219</v>
      </c>
    </row>
    <row r="4697" spans="1:5" x14ac:dyDescent="0.25">
      <c r="A4697" s="216" t="s">
        <v>11325</v>
      </c>
      <c r="B4697" s="218">
        <v>1</v>
      </c>
      <c r="C4697" s="220" t="s">
        <v>864</v>
      </c>
      <c r="D4697" s="220" t="s">
        <v>63</v>
      </c>
      <c r="E4697" s="165">
        <v>219</v>
      </c>
    </row>
    <row r="4698" spans="1:5" x14ac:dyDescent="0.25">
      <c r="A4698" s="216" t="s">
        <v>11326</v>
      </c>
      <c r="B4698" s="218">
        <v>1</v>
      </c>
      <c r="C4698" s="220" t="s">
        <v>11327</v>
      </c>
      <c r="D4698" s="220" t="s">
        <v>98</v>
      </c>
      <c r="E4698" s="165">
        <v>219</v>
      </c>
    </row>
    <row r="4699" spans="1:5" x14ac:dyDescent="0.25">
      <c r="A4699" s="216" t="s">
        <v>11328</v>
      </c>
      <c r="B4699" s="218">
        <v>1</v>
      </c>
      <c r="C4699" s="220" t="s">
        <v>3662</v>
      </c>
      <c r="D4699" s="220" t="s">
        <v>118</v>
      </c>
      <c r="E4699" s="165">
        <v>219</v>
      </c>
    </row>
    <row r="4700" spans="1:5" x14ac:dyDescent="0.25">
      <c r="A4700" s="216" t="s">
        <v>11329</v>
      </c>
      <c r="B4700" s="218">
        <v>1</v>
      </c>
      <c r="C4700" s="220" t="s">
        <v>2263</v>
      </c>
      <c r="D4700" s="220" t="s">
        <v>192</v>
      </c>
      <c r="E4700" s="165">
        <v>219</v>
      </c>
    </row>
    <row r="4701" spans="1:5" x14ac:dyDescent="0.25">
      <c r="A4701" s="216" t="s">
        <v>11330</v>
      </c>
      <c r="B4701" s="218">
        <v>1</v>
      </c>
      <c r="C4701" s="220" t="s">
        <v>6618</v>
      </c>
      <c r="D4701" s="220" t="s">
        <v>56</v>
      </c>
      <c r="E4701" s="165">
        <v>219</v>
      </c>
    </row>
    <row r="4702" spans="1:5" x14ac:dyDescent="0.25">
      <c r="A4702" s="216" t="s">
        <v>11331</v>
      </c>
      <c r="B4702" s="218">
        <v>1</v>
      </c>
      <c r="C4702" s="220" t="s">
        <v>4276</v>
      </c>
      <c r="D4702" s="220" t="s">
        <v>72</v>
      </c>
      <c r="E4702" s="165">
        <v>219</v>
      </c>
    </row>
    <row r="4703" spans="1:5" x14ac:dyDescent="0.25">
      <c r="A4703" s="216" t="s">
        <v>11332</v>
      </c>
      <c r="B4703" s="218">
        <v>1</v>
      </c>
      <c r="C4703" s="220" t="s">
        <v>11333</v>
      </c>
      <c r="D4703" s="220" t="s">
        <v>63</v>
      </c>
      <c r="E4703" s="165">
        <v>219</v>
      </c>
    </row>
    <row r="4704" spans="1:5" x14ac:dyDescent="0.25">
      <c r="A4704" s="216" t="s">
        <v>11334</v>
      </c>
      <c r="B4704" s="218">
        <v>1</v>
      </c>
      <c r="C4704" s="220" t="s">
        <v>11335</v>
      </c>
      <c r="D4704" s="220" t="s">
        <v>66</v>
      </c>
      <c r="E4704" s="165">
        <v>219</v>
      </c>
    </row>
    <row r="4705" spans="1:5" x14ac:dyDescent="0.25">
      <c r="A4705" s="216" t="s">
        <v>11336</v>
      </c>
      <c r="B4705" s="218">
        <v>1</v>
      </c>
      <c r="C4705" s="220" t="s">
        <v>3596</v>
      </c>
      <c r="D4705" s="220" t="s">
        <v>75</v>
      </c>
      <c r="E4705" s="165">
        <v>219</v>
      </c>
    </row>
    <row r="4706" spans="1:5" x14ac:dyDescent="0.25">
      <c r="A4706" s="216" t="s">
        <v>4791</v>
      </c>
      <c r="B4706" s="218" t="s">
        <v>48</v>
      </c>
      <c r="C4706" s="220" t="s">
        <v>4172</v>
      </c>
      <c r="D4706" s="220" t="s">
        <v>53</v>
      </c>
      <c r="E4706" s="165">
        <v>219</v>
      </c>
    </row>
    <row r="4707" spans="1:5" x14ac:dyDescent="0.25">
      <c r="A4707" s="216" t="s">
        <v>6066</v>
      </c>
      <c r="B4707" s="218">
        <v>1</v>
      </c>
      <c r="C4707" s="220" t="s">
        <v>6067</v>
      </c>
      <c r="D4707" s="220" t="s">
        <v>127</v>
      </c>
      <c r="E4707" s="165">
        <v>219</v>
      </c>
    </row>
    <row r="4708" spans="1:5" x14ac:dyDescent="0.25">
      <c r="A4708" s="216" t="s">
        <v>6510</v>
      </c>
      <c r="B4708" s="218">
        <v>1</v>
      </c>
      <c r="C4708" s="220" t="s">
        <v>6511</v>
      </c>
      <c r="D4708" s="220" t="s">
        <v>98</v>
      </c>
      <c r="E4708" s="165">
        <v>219</v>
      </c>
    </row>
    <row r="4709" spans="1:5" x14ac:dyDescent="0.25">
      <c r="A4709" s="216" t="s">
        <v>10272</v>
      </c>
      <c r="B4709" s="218" t="s">
        <v>48</v>
      </c>
      <c r="C4709" s="220" t="s">
        <v>10273</v>
      </c>
      <c r="D4709" s="220" t="s">
        <v>75</v>
      </c>
      <c r="E4709" s="165">
        <v>219</v>
      </c>
    </row>
    <row r="4710" spans="1:5" x14ac:dyDescent="0.25">
      <c r="A4710" s="216" t="s">
        <v>5920</v>
      </c>
      <c r="B4710" s="218">
        <v>1</v>
      </c>
      <c r="C4710" s="220" t="s">
        <v>1295</v>
      </c>
      <c r="D4710" s="220" t="s">
        <v>50</v>
      </c>
      <c r="E4710" s="165">
        <v>219</v>
      </c>
    </row>
    <row r="4711" spans="1:5" x14ac:dyDescent="0.25">
      <c r="A4711" s="216" t="s">
        <v>7089</v>
      </c>
      <c r="B4711" s="218" t="s">
        <v>48</v>
      </c>
      <c r="C4711" s="220" t="s">
        <v>144</v>
      </c>
      <c r="D4711" s="220" t="s">
        <v>59</v>
      </c>
      <c r="E4711" s="165">
        <v>218</v>
      </c>
    </row>
    <row r="4712" spans="1:5" x14ac:dyDescent="0.25">
      <c r="A4712" s="216" t="s">
        <v>6359</v>
      </c>
      <c r="B4712" s="218">
        <v>1</v>
      </c>
      <c r="C4712" s="220" t="s">
        <v>6360</v>
      </c>
      <c r="D4712" s="220" t="s">
        <v>142</v>
      </c>
      <c r="E4712" s="165">
        <v>218</v>
      </c>
    </row>
    <row r="4713" spans="1:5" x14ac:dyDescent="0.25">
      <c r="A4713" s="216" t="s">
        <v>7497</v>
      </c>
      <c r="B4713" s="218" t="s">
        <v>48</v>
      </c>
      <c r="C4713" s="220" t="s">
        <v>7498</v>
      </c>
      <c r="D4713" s="220" t="s">
        <v>75</v>
      </c>
      <c r="E4713" s="165">
        <v>218</v>
      </c>
    </row>
    <row r="4714" spans="1:5" x14ac:dyDescent="0.25">
      <c r="A4714" s="216" t="s">
        <v>6124</v>
      </c>
      <c r="B4714" s="218">
        <v>1</v>
      </c>
      <c r="C4714" s="220" t="s">
        <v>6125</v>
      </c>
      <c r="D4714" s="220" t="s">
        <v>50</v>
      </c>
      <c r="E4714" s="165">
        <v>218</v>
      </c>
    </row>
    <row r="4715" spans="1:5" x14ac:dyDescent="0.25">
      <c r="A4715" s="216" t="s">
        <v>7578</v>
      </c>
      <c r="B4715" s="218" t="s">
        <v>48</v>
      </c>
      <c r="C4715" s="220" t="s">
        <v>7579</v>
      </c>
      <c r="D4715" s="220" t="s">
        <v>53</v>
      </c>
      <c r="E4715" s="165">
        <v>218</v>
      </c>
    </row>
    <row r="4716" spans="1:5" x14ac:dyDescent="0.25">
      <c r="A4716" s="216" t="s">
        <v>6692</v>
      </c>
      <c r="B4716" s="218">
        <v>1</v>
      </c>
      <c r="C4716" s="220" t="s">
        <v>6693</v>
      </c>
      <c r="D4716" s="220" t="s">
        <v>63</v>
      </c>
      <c r="E4716" s="165">
        <v>218</v>
      </c>
    </row>
    <row r="4717" spans="1:5" x14ac:dyDescent="0.25">
      <c r="A4717" s="216" t="s">
        <v>10640</v>
      </c>
      <c r="B4717" s="218">
        <v>1</v>
      </c>
      <c r="C4717" s="220" t="s">
        <v>11337</v>
      </c>
      <c r="D4717" s="220" t="s">
        <v>188</v>
      </c>
      <c r="E4717" s="165">
        <v>218</v>
      </c>
    </row>
    <row r="4718" spans="1:5" x14ac:dyDescent="0.25">
      <c r="A4718" s="216" t="s">
        <v>11338</v>
      </c>
      <c r="B4718" s="218">
        <v>1</v>
      </c>
      <c r="C4718" s="220" t="s">
        <v>3423</v>
      </c>
      <c r="D4718" s="220" t="s">
        <v>69</v>
      </c>
      <c r="E4718" s="165">
        <v>218</v>
      </c>
    </row>
    <row r="4719" spans="1:5" x14ac:dyDescent="0.25">
      <c r="A4719" s="216" t="s">
        <v>5521</v>
      </c>
      <c r="B4719" s="218">
        <v>1</v>
      </c>
      <c r="C4719" s="220" t="s">
        <v>5522</v>
      </c>
      <c r="D4719" s="220" t="s">
        <v>201</v>
      </c>
      <c r="E4719" s="165">
        <v>218</v>
      </c>
    </row>
    <row r="4720" spans="1:5" x14ac:dyDescent="0.25">
      <c r="A4720" s="216" t="s">
        <v>6805</v>
      </c>
      <c r="B4720" s="218">
        <v>1</v>
      </c>
      <c r="C4720" s="220" t="s">
        <v>1500</v>
      </c>
      <c r="D4720" s="220" t="s">
        <v>69</v>
      </c>
      <c r="E4720" s="165">
        <v>218</v>
      </c>
    </row>
    <row r="4721" spans="1:5" x14ac:dyDescent="0.25">
      <c r="A4721" s="216" t="s">
        <v>6612</v>
      </c>
      <c r="B4721" s="218" t="s">
        <v>48</v>
      </c>
      <c r="C4721" s="220" t="s">
        <v>6613</v>
      </c>
      <c r="D4721" s="220" t="s">
        <v>53</v>
      </c>
      <c r="E4721" s="165">
        <v>218</v>
      </c>
    </row>
    <row r="4722" spans="1:5" x14ac:dyDescent="0.25">
      <c r="A4722" s="216" t="s">
        <v>6780</v>
      </c>
      <c r="B4722" s="218">
        <v>1</v>
      </c>
      <c r="C4722" s="220" t="s">
        <v>235</v>
      </c>
      <c r="D4722" s="220" t="s">
        <v>394</v>
      </c>
      <c r="E4722" s="165">
        <v>218</v>
      </c>
    </row>
    <row r="4723" spans="1:5" x14ac:dyDescent="0.25">
      <c r="A4723" s="216" t="s">
        <v>6569</v>
      </c>
      <c r="B4723" s="218" t="s">
        <v>48</v>
      </c>
      <c r="C4723" s="220" t="s">
        <v>2407</v>
      </c>
      <c r="D4723" s="220" t="s">
        <v>75</v>
      </c>
      <c r="E4723" s="165">
        <v>218</v>
      </c>
    </row>
    <row r="4724" spans="1:5" x14ac:dyDescent="0.25">
      <c r="A4724" s="216" t="s">
        <v>6408</v>
      </c>
      <c r="B4724" s="218">
        <v>1</v>
      </c>
      <c r="C4724" s="220" t="s">
        <v>6409</v>
      </c>
      <c r="D4724" s="220" t="s">
        <v>93</v>
      </c>
      <c r="E4724" s="165">
        <v>218</v>
      </c>
    </row>
    <row r="4725" spans="1:5" x14ac:dyDescent="0.25">
      <c r="A4725" s="216" t="s">
        <v>7261</v>
      </c>
      <c r="B4725" s="218" t="s">
        <v>48</v>
      </c>
      <c r="C4725" s="220" t="s">
        <v>2698</v>
      </c>
      <c r="D4725" s="220" t="s">
        <v>277</v>
      </c>
      <c r="E4725" s="165">
        <v>217</v>
      </c>
    </row>
    <row r="4726" spans="1:5" x14ac:dyDescent="0.25">
      <c r="A4726" s="216" t="s">
        <v>7022</v>
      </c>
      <c r="B4726" s="218" t="s">
        <v>48</v>
      </c>
      <c r="C4726" s="220" t="s">
        <v>1405</v>
      </c>
      <c r="D4726" s="220" t="s">
        <v>710</v>
      </c>
      <c r="E4726" s="165">
        <v>217</v>
      </c>
    </row>
    <row r="4727" spans="1:5" x14ac:dyDescent="0.25">
      <c r="A4727" s="216" t="s">
        <v>5976</v>
      </c>
      <c r="B4727" s="218" t="s">
        <v>48</v>
      </c>
      <c r="C4727" s="220" t="s">
        <v>5977</v>
      </c>
      <c r="D4727" s="220" t="s">
        <v>108</v>
      </c>
      <c r="E4727" s="165">
        <v>217</v>
      </c>
    </row>
    <row r="4728" spans="1:5" x14ac:dyDescent="0.25">
      <c r="A4728" s="216" t="s">
        <v>6662</v>
      </c>
      <c r="B4728" s="218">
        <v>1</v>
      </c>
      <c r="C4728" s="220" t="s">
        <v>323</v>
      </c>
      <c r="D4728" s="220" t="s">
        <v>98</v>
      </c>
      <c r="E4728" s="165">
        <v>217</v>
      </c>
    </row>
    <row r="4729" spans="1:5" x14ac:dyDescent="0.25">
      <c r="A4729" s="216" t="s">
        <v>11339</v>
      </c>
      <c r="B4729" s="218">
        <v>1</v>
      </c>
      <c r="C4729" s="220" t="s">
        <v>7991</v>
      </c>
      <c r="D4729" s="220" t="s">
        <v>523</v>
      </c>
      <c r="E4729" s="165">
        <v>217</v>
      </c>
    </row>
    <row r="4730" spans="1:5" x14ac:dyDescent="0.25">
      <c r="A4730" s="216" t="s">
        <v>5971</v>
      </c>
      <c r="B4730" s="218">
        <v>1</v>
      </c>
      <c r="C4730" s="220" t="s">
        <v>3544</v>
      </c>
      <c r="D4730" s="220" t="s">
        <v>277</v>
      </c>
      <c r="E4730" s="165">
        <v>216</v>
      </c>
    </row>
    <row r="4731" spans="1:5" x14ac:dyDescent="0.25">
      <c r="A4731" s="216" t="s">
        <v>11340</v>
      </c>
      <c r="B4731" s="218">
        <v>1</v>
      </c>
      <c r="C4731" s="220" t="s">
        <v>86</v>
      </c>
      <c r="D4731" s="220" t="s">
        <v>87</v>
      </c>
      <c r="E4731" s="165">
        <v>216</v>
      </c>
    </row>
    <row r="4732" spans="1:5" x14ac:dyDescent="0.25">
      <c r="A4732" s="216" t="s">
        <v>8445</v>
      </c>
      <c r="B4732" s="218" t="s">
        <v>48</v>
      </c>
      <c r="C4732" s="220" t="s">
        <v>2983</v>
      </c>
      <c r="D4732" s="220" t="s">
        <v>69</v>
      </c>
      <c r="E4732" s="165">
        <v>216</v>
      </c>
    </row>
    <row r="4733" spans="1:5" x14ac:dyDescent="0.25">
      <c r="A4733" s="216" t="s">
        <v>6724</v>
      </c>
      <c r="B4733" s="218" t="s">
        <v>48</v>
      </c>
      <c r="C4733" s="220" t="s">
        <v>6725</v>
      </c>
      <c r="D4733" s="220" t="s">
        <v>585</v>
      </c>
      <c r="E4733" s="165">
        <v>216</v>
      </c>
    </row>
    <row r="4734" spans="1:5" x14ac:dyDescent="0.25">
      <c r="A4734" s="216" t="s">
        <v>6637</v>
      </c>
      <c r="B4734" s="218">
        <v>1</v>
      </c>
      <c r="C4734" s="220" t="s">
        <v>11341</v>
      </c>
      <c r="D4734" s="220" t="s">
        <v>192</v>
      </c>
      <c r="E4734" s="165">
        <v>216</v>
      </c>
    </row>
    <row r="4735" spans="1:5" x14ac:dyDescent="0.25">
      <c r="A4735" s="216" t="s">
        <v>7160</v>
      </c>
      <c r="B4735" s="218">
        <v>1</v>
      </c>
      <c r="C4735" s="220" t="s">
        <v>4723</v>
      </c>
      <c r="D4735" s="220" t="s">
        <v>236</v>
      </c>
      <c r="E4735" s="165">
        <v>216</v>
      </c>
    </row>
    <row r="4736" spans="1:5" x14ac:dyDescent="0.25">
      <c r="A4736" s="216" t="s">
        <v>5978</v>
      </c>
      <c r="B4736" s="218">
        <v>1</v>
      </c>
      <c r="C4736" s="220" t="s">
        <v>1290</v>
      </c>
      <c r="D4736" s="220" t="s">
        <v>277</v>
      </c>
      <c r="E4736" s="165">
        <v>216</v>
      </c>
    </row>
    <row r="4737" spans="1:5" x14ac:dyDescent="0.25">
      <c r="A4737" s="216" t="s">
        <v>5980</v>
      </c>
      <c r="B4737" s="218">
        <v>1</v>
      </c>
      <c r="C4737" s="220" t="s">
        <v>404</v>
      </c>
      <c r="D4737" s="220" t="s">
        <v>277</v>
      </c>
      <c r="E4737" s="165">
        <v>216</v>
      </c>
    </row>
    <row r="4738" spans="1:5" x14ac:dyDescent="0.25">
      <c r="A4738" s="216" t="s">
        <v>6664</v>
      </c>
      <c r="B4738" s="218">
        <v>1</v>
      </c>
      <c r="C4738" s="220" t="s">
        <v>6665</v>
      </c>
      <c r="D4738" s="220" t="s">
        <v>192</v>
      </c>
      <c r="E4738" s="165">
        <v>216</v>
      </c>
    </row>
    <row r="4739" spans="1:5" x14ac:dyDescent="0.25">
      <c r="A4739" s="216" t="s">
        <v>5195</v>
      </c>
      <c r="B4739" s="218">
        <v>1</v>
      </c>
      <c r="C4739" s="220" t="s">
        <v>5196</v>
      </c>
      <c r="D4739" s="220" t="s">
        <v>222</v>
      </c>
      <c r="E4739" s="165">
        <v>216</v>
      </c>
    </row>
    <row r="4740" spans="1:5" x14ac:dyDescent="0.25">
      <c r="A4740" s="216" t="s">
        <v>6252</v>
      </c>
      <c r="B4740" s="218" t="s">
        <v>48</v>
      </c>
      <c r="C4740" s="220" t="s">
        <v>144</v>
      </c>
      <c r="D4740" s="220" t="s">
        <v>59</v>
      </c>
      <c r="E4740" s="165">
        <v>216</v>
      </c>
    </row>
    <row r="4741" spans="1:5" x14ac:dyDescent="0.25">
      <c r="A4741" s="216" t="s">
        <v>2775</v>
      </c>
      <c r="B4741" s="218" t="s">
        <v>48</v>
      </c>
      <c r="C4741" s="220" t="s">
        <v>1643</v>
      </c>
      <c r="D4741" s="220" t="s">
        <v>63</v>
      </c>
      <c r="E4741" s="165">
        <v>216</v>
      </c>
    </row>
    <row r="4742" spans="1:5" x14ac:dyDescent="0.25">
      <c r="A4742" s="216" t="s">
        <v>6716</v>
      </c>
      <c r="B4742" s="218">
        <v>1</v>
      </c>
      <c r="C4742" s="220" t="s">
        <v>6717</v>
      </c>
      <c r="D4742" s="220" t="s">
        <v>774</v>
      </c>
      <c r="E4742" s="165">
        <v>215</v>
      </c>
    </row>
    <row r="4743" spans="1:5" x14ac:dyDescent="0.25">
      <c r="A4743" s="216" t="s">
        <v>11342</v>
      </c>
      <c r="B4743" s="218">
        <v>1</v>
      </c>
      <c r="C4743" s="220" t="s">
        <v>11343</v>
      </c>
      <c r="D4743" s="220" t="s">
        <v>53</v>
      </c>
      <c r="E4743" s="165">
        <v>215</v>
      </c>
    </row>
    <row r="4744" spans="1:5" x14ac:dyDescent="0.25">
      <c r="A4744" s="216" t="s">
        <v>6726</v>
      </c>
      <c r="B4744" s="218">
        <v>1</v>
      </c>
      <c r="C4744" s="220" t="s">
        <v>6727</v>
      </c>
      <c r="D4744" s="220" t="s">
        <v>774</v>
      </c>
      <c r="E4744" s="165">
        <v>215</v>
      </c>
    </row>
    <row r="4745" spans="1:5" x14ac:dyDescent="0.25">
      <c r="A4745" s="216" t="s">
        <v>6834</v>
      </c>
      <c r="B4745" s="218">
        <v>1</v>
      </c>
      <c r="C4745" s="220" t="s">
        <v>270</v>
      </c>
      <c r="D4745" s="220" t="s">
        <v>177</v>
      </c>
      <c r="E4745" s="165">
        <v>215</v>
      </c>
    </row>
    <row r="4746" spans="1:5" x14ac:dyDescent="0.25">
      <c r="A4746" s="216" t="s">
        <v>7174</v>
      </c>
      <c r="B4746" s="218" t="s">
        <v>48</v>
      </c>
      <c r="C4746" s="220" t="s">
        <v>3315</v>
      </c>
      <c r="D4746" s="220" t="s">
        <v>166</v>
      </c>
      <c r="E4746" s="165">
        <v>215</v>
      </c>
    </row>
    <row r="4747" spans="1:5" x14ac:dyDescent="0.25">
      <c r="A4747" s="216" t="s">
        <v>9569</v>
      </c>
      <c r="B4747" s="218" t="s">
        <v>48</v>
      </c>
      <c r="C4747" s="220" t="s">
        <v>8642</v>
      </c>
      <c r="D4747" s="220" t="s">
        <v>50</v>
      </c>
      <c r="E4747" s="165">
        <v>215</v>
      </c>
    </row>
    <row r="4748" spans="1:5" x14ac:dyDescent="0.25">
      <c r="A4748" s="216" t="s">
        <v>6591</v>
      </c>
      <c r="B4748" s="218">
        <v>1</v>
      </c>
      <c r="C4748" s="220" t="s">
        <v>452</v>
      </c>
      <c r="D4748" s="220" t="s">
        <v>78</v>
      </c>
      <c r="E4748" s="165">
        <v>215</v>
      </c>
    </row>
    <row r="4749" spans="1:5" x14ac:dyDescent="0.25">
      <c r="A4749" s="216" t="s">
        <v>6270</v>
      </c>
      <c r="B4749" s="218" t="s">
        <v>48</v>
      </c>
      <c r="C4749" s="220" t="s">
        <v>6271</v>
      </c>
      <c r="D4749" s="220" t="s">
        <v>108</v>
      </c>
      <c r="E4749" s="165">
        <v>215</v>
      </c>
    </row>
    <row r="4750" spans="1:5" x14ac:dyDescent="0.25">
      <c r="A4750" s="216" t="s">
        <v>6653</v>
      </c>
      <c r="B4750" s="218">
        <v>1</v>
      </c>
      <c r="C4750" s="220" t="s">
        <v>6654</v>
      </c>
      <c r="D4750" s="220" t="s">
        <v>66</v>
      </c>
      <c r="E4750" s="165">
        <v>215</v>
      </c>
    </row>
    <row r="4751" spans="1:5" x14ac:dyDescent="0.25">
      <c r="A4751" s="216" t="s">
        <v>6418</v>
      </c>
      <c r="B4751" s="218" t="s">
        <v>48</v>
      </c>
      <c r="C4751" s="220" t="s">
        <v>6419</v>
      </c>
      <c r="D4751" s="220" t="s">
        <v>56</v>
      </c>
      <c r="E4751" s="165">
        <v>215</v>
      </c>
    </row>
    <row r="4752" spans="1:5" x14ac:dyDescent="0.25">
      <c r="A4752" s="216" t="s">
        <v>6667</v>
      </c>
      <c r="B4752" s="218">
        <v>1</v>
      </c>
      <c r="C4752" s="220" t="s">
        <v>1295</v>
      </c>
      <c r="D4752" s="220" t="s">
        <v>66</v>
      </c>
      <c r="E4752" s="165">
        <v>215</v>
      </c>
    </row>
    <row r="4753" spans="1:5" x14ac:dyDescent="0.25">
      <c r="A4753" s="216" t="s">
        <v>6895</v>
      </c>
      <c r="B4753" s="218">
        <v>1</v>
      </c>
      <c r="C4753" s="220" t="s">
        <v>6896</v>
      </c>
      <c r="D4753" s="220" t="s">
        <v>188</v>
      </c>
      <c r="E4753" s="165">
        <v>215</v>
      </c>
    </row>
    <row r="4754" spans="1:5" x14ac:dyDescent="0.25">
      <c r="A4754" s="216" t="s">
        <v>6672</v>
      </c>
      <c r="B4754" s="218">
        <v>1</v>
      </c>
      <c r="C4754" s="220" t="s">
        <v>6673</v>
      </c>
      <c r="D4754" s="220" t="s">
        <v>66</v>
      </c>
      <c r="E4754" s="165">
        <v>215</v>
      </c>
    </row>
    <row r="4755" spans="1:5" x14ac:dyDescent="0.25">
      <c r="A4755" s="216" t="s">
        <v>6030</v>
      </c>
      <c r="B4755" s="218" t="s">
        <v>48</v>
      </c>
      <c r="C4755" s="220" t="s">
        <v>4957</v>
      </c>
      <c r="D4755" s="220" t="s">
        <v>53</v>
      </c>
      <c r="E4755" s="165">
        <v>215</v>
      </c>
    </row>
    <row r="4756" spans="1:5" x14ac:dyDescent="0.25">
      <c r="A4756" s="216" t="s">
        <v>5953</v>
      </c>
      <c r="B4756" s="218" t="s">
        <v>48</v>
      </c>
      <c r="C4756" s="220" t="s">
        <v>3753</v>
      </c>
      <c r="D4756" s="220" t="s">
        <v>53</v>
      </c>
      <c r="E4756" s="165">
        <v>215</v>
      </c>
    </row>
    <row r="4757" spans="1:5" x14ac:dyDescent="0.25">
      <c r="A4757" s="216" t="s">
        <v>6676</v>
      </c>
      <c r="B4757" s="218">
        <v>1</v>
      </c>
      <c r="C4757" s="220" t="s">
        <v>3375</v>
      </c>
      <c r="D4757" s="220" t="s">
        <v>66</v>
      </c>
      <c r="E4757" s="165">
        <v>215</v>
      </c>
    </row>
    <row r="4758" spans="1:5" x14ac:dyDescent="0.25">
      <c r="A4758" s="216" t="s">
        <v>5564</v>
      </c>
      <c r="B4758" s="218" t="s">
        <v>48</v>
      </c>
      <c r="C4758" s="220" t="s">
        <v>1199</v>
      </c>
      <c r="D4758" s="220" t="s">
        <v>1200</v>
      </c>
      <c r="E4758" s="165">
        <v>215</v>
      </c>
    </row>
    <row r="4759" spans="1:5" x14ac:dyDescent="0.25">
      <c r="A4759" s="216" t="s">
        <v>6874</v>
      </c>
      <c r="B4759" s="218">
        <v>1</v>
      </c>
      <c r="C4759" s="220" t="s">
        <v>4468</v>
      </c>
      <c r="D4759" s="220" t="s">
        <v>56</v>
      </c>
      <c r="E4759" s="165">
        <v>214</v>
      </c>
    </row>
    <row r="4760" spans="1:5" x14ac:dyDescent="0.25">
      <c r="A4760" s="216" t="s">
        <v>6722</v>
      </c>
      <c r="B4760" s="218">
        <v>1</v>
      </c>
      <c r="C4760" s="220" t="s">
        <v>1807</v>
      </c>
      <c r="D4760" s="220" t="s">
        <v>222</v>
      </c>
      <c r="E4760" s="165">
        <v>214</v>
      </c>
    </row>
    <row r="4761" spans="1:5" x14ac:dyDescent="0.25">
      <c r="A4761" s="216" t="s">
        <v>6439</v>
      </c>
      <c r="B4761" s="218">
        <v>1</v>
      </c>
      <c r="C4761" s="220" t="s">
        <v>709</v>
      </c>
      <c r="D4761" s="220" t="s">
        <v>710</v>
      </c>
      <c r="E4761" s="165">
        <v>214</v>
      </c>
    </row>
    <row r="4762" spans="1:5" x14ac:dyDescent="0.25">
      <c r="A4762" s="216" t="s">
        <v>6901</v>
      </c>
      <c r="B4762" s="218">
        <v>1</v>
      </c>
      <c r="C4762" s="220" t="s">
        <v>2258</v>
      </c>
      <c r="D4762" s="220" t="s">
        <v>188</v>
      </c>
      <c r="E4762" s="165">
        <v>214</v>
      </c>
    </row>
    <row r="4763" spans="1:5" x14ac:dyDescent="0.25">
      <c r="A4763" s="216" t="s">
        <v>6905</v>
      </c>
      <c r="B4763" s="218">
        <v>1</v>
      </c>
      <c r="C4763" s="220" t="s">
        <v>1472</v>
      </c>
      <c r="D4763" s="220" t="s">
        <v>188</v>
      </c>
      <c r="E4763" s="165">
        <v>214</v>
      </c>
    </row>
    <row r="4764" spans="1:5" x14ac:dyDescent="0.25">
      <c r="A4764" s="216" t="s">
        <v>5617</v>
      </c>
      <c r="B4764" s="218" t="s">
        <v>48</v>
      </c>
      <c r="C4764" s="220" t="s">
        <v>4859</v>
      </c>
      <c r="D4764" s="220" t="s">
        <v>59</v>
      </c>
      <c r="E4764" s="165">
        <v>214</v>
      </c>
    </row>
    <row r="4765" spans="1:5" x14ac:dyDescent="0.25">
      <c r="A4765" s="216" t="s">
        <v>10601</v>
      </c>
      <c r="B4765" s="218" t="s">
        <v>48</v>
      </c>
      <c r="C4765" s="220" t="s">
        <v>11344</v>
      </c>
      <c r="D4765" s="220" t="s">
        <v>206</v>
      </c>
      <c r="E4765" s="165">
        <v>213</v>
      </c>
    </row>
    <row r="4766" spans="1:5" x14ac:dyDescent="0.25">
      <c r="A4766" s="216" t="s">
        <v>6607</v>
      </c>
      <c r="B4766" s="218">
        <v>1</v>
      </c>
      <c r="C4766" s="220" t="s">
        <v>1004</v>
      </c>
      <c r="D4766" s="220" t="s">
        <v>56</v>
      </c>
      <c r="E4766" s="165">
        <v>213</v>
      </c>
    </row>
    <row r="4767" spans="1:5" x14ac:dyDescent="0.25">
      <c r="A4767" s="216" t="s">
        <v>6788</v>
      </c>
      <c r="B4767" s="218">
        <v>1</v>
      </c>
      <c r="C4767" s="220" t="s">
        <v>6789</v>
      </c>
      <c r="D4767" s="220" t="s">
        <v>63</v>
      </c>
      <c r="E4767" s="165">
        <v>213</v>
      </c>
    </row>
    <row r="4768" spans="1:5" x14ac:dyDescent="0.25">
      <c r="A4768" s="216" t="s">
        <v>5625</v>
      </c>
      <c r="B4768" s="218" t="s">
        <v>48</v>
      </c>
      <c r="C4768" s="220" t="s">
        <v>287</v>
      </c>
      <c r="D4768" s="220" t="s">
        <v>82</v>
      </c>
      <c r="E4768" s="165">
        <v>213</v>
      </c>
    </row>
    <row r="4769" spans="1:5" x14ac:dyDescent="0.25">
      <c r="A4769" s="216" t="s">
        <v>6790</v>
      </c>
      <c r="B4769" s="218">
        <v>1</v>
      </c>
      <c r="C4769" s="220" t="s">
        <v>4294</v>
      </c>
      <c r="D4769" s="220" t="s">
        <v>63</v>
      </c>
      <c r="E4769" s="165">
        <v>213</v>
      </c>
    </row>
    <row r="4770" spans="1:5" x14ac:dyDescent="0.25">
      <c r="A4770" s="216" t="s">
        <v>6608</v>
      </c>
      <c r="B4770" s="218">
        <v>1</v>
      </c>
      <c r="C4770" s="220" t="s">
        <v>6609</v>
      </c>
      <c r="D4770" s="220" t="s">
        <v>56</v>
      </c>
      <c r="E4770" s="165">
        <v>213</v>
      </c>
    </row>
    <row r="4771" spans="1:5" x14ac:dyDescent="0.25">
      <c r="A4771" s="216" t="s">
        <v>6533</v>
      </c>
      <c r="B4771" s="218" t="s">
        <v>48</v>
      </c>
      <c r="C4771" s="220" t="s">
        <v>6534</v>
      </c>
      <c r="D4771" s="220" t="s">
        <v>277</v>
      </c>
      <c r="E4771" s="165">
        <v>213</v>
      </c>
    </row>
    <row r="4772" spans="1:5" x14ac:dyDescent="0.25">
      <c r="A4772" s="216" t="s">
        <v>6850</v>
      </c>
      <c r="B4772" s="218">
        <v>1</v>
      </c>
      <c r="C4772" s="220" t="s">
        <v>3357</v>
      </c>
      <c r="D4772" s="220" t="s">
        <v>394</v>
      </c>
      <c r="E4772" s="165">
        <v>213</v>
      </c>
    </row>
    <row r="4773" spans="1:5" x14ac:dyDescent="0.25">
      <c r="A4773" s="216" t="s">
        <v>6792</v>
      </c>
      <c r="B4773" s="218">
        <v>1</v>
      </c>
      <c r="C4773" s="220" t="s">
        <v>6793</v>
      </c>
      <c r="D4773" s="220" t="s">
        <v>63</v>
      </c>
      <c r="E4773" s="165">
        <v>213</v>
      </c>
    </row>
    <row r="4774" spans="1:5" x14ac:dyDescent="0.25">
      <c r="A4774" s="216" t="s">
        <v>6982</v>
      </c>
      <c r="B4774" s="218" t="s">
        <v>48</v>
      </c>
      <c r="C4774" s="220" t="s">
        <v>257</v>
      </c>
      <c r="D4774" s="220" t="s">
        <v>108</v>
      </c>
      <c r="E4774" s="165">
        <v>213</v>
      </c>
    </row>
    <row r="4775" spans="1:5" x14ac:dyDescent="0.25">
      <c r="A4775" s="216" t="s">
        <v>6236</v>
      </c>
      <c r="B4775" s="218" t="s">
        <v>48</v>
      </c>
      <c r="C4775" s="220" t="s">
        <v>6237</v>
      </c>
      <c r="D4775" s="220" t="s">
        <v>78</v>
      </c>
      <c r="E4775" s="165">
        <v>213</v>
      </c>
    </row>
    <row r="4776" spans="1:5" x14ac:dyDescent="0.25">
      <c r="A4776" s="216" t="s">
        <v>6797</v>
      </c>
      <c r="B4776" s="218">
        <v>1</v>
      </c>
      <c r="C4776" s="220" t="s">
        <v>584</v>
      </c>
      <c r="D4776" s="220" t="s">
        <v>63</v>
      </c>
      <c r="E4776" s="165">
        <v>213</v>
      </c>
    </row>
    <row r="4777" spans="1:5" x14ac:dyDescent="0.25">
      <c r="A4777" s="216" t="s">
        <v>6800</v>
      </c>
      <c r="B4777" s="218">
        <v>1</v>
      </c>
      <c r="C4777" s="220" t="s">
        <v>6801</v>
      </c>
      <c r="D4777" s="220" t="s">
        <v>63</v>
      </c>
      <c r="E4777" s="165">
        <v>213</v>
      </c>
    </row>
    <row r="4778" spans="1:5" x14ac:dyDescent="0.25">
      <c r="A4778" s="216" t="s">
        <v>6753</v>
      </c>
      <c r="B4778" s="218" t="s">
        <v>48</v>
      </c>
      <c r="C4778" s="220" t="s">
        <v>443</v>
      </c>
      <c r="D4778" s="220" t="s">
        <v>166</v>
      </c>
      <c r="E4778" s="165">
        <v>213</v>
      </c>
    </row>
    <row r="4779" spans="1:5" x14ac:dyDescent="0.25">
      <c r="A4779" s="216" t="s">
        <v>6769</v>
      </c>
      <c r="B4779" s="218">
        <v>1</v>
      </c>
      <c r="C4779" s="220" t="s">
        <v>4276</v>
      </c>
      <c r="D4779" s="220" t="s">
        <v>98</v>
      </c>
      <c r="E4779" s="165">
        <v>213</v>
      </c>
    </row>
    <row r="4780" spans="1:5" x14ac:dyDescent="0.25">
      <c r="A4780" s="216" t="s">
        <v>6302</v>
      </c>
      <c r="B4780" s="218" t="s">
        <v>48</v>
      </c>
      <c r="C4780" s="220" t="s">
        <v>5262</v>
      </c>
      <c r="D4780" s="220" t="s">
        <v>108</v>
      </c>
      <c r="E4780" s="165">
        <v>212</v>
      </c>
    </row>
    <row r="4781" spans="1:5" x14ac:dyDescent="0.25">
      <c r="A4781" s="216" t="s">
        <v>6929</v>
      </c>
      <c r="B4781" s="218">
        <v>1</v>
      </c>
      <c r="C4781" s="220" t="s">
        <v>1273</v>
      </c>
      <c r="D4781" s="220" t="s">
        <v>188</v>
      </c>
      <c r="E4781" s="165">
        <v>212</v>
      </c>
    </row>
    <row r="4782" spans="1:5" x14ac:dyDescent="0.25">
      <c r="A4782" s="216" t="s">
        <v>6509</v>
      </c>
      <c r="B4782" s="218">
        <v>1</v>
      </c>
      <c r="C4782" s="220" t="s">
        <v>1243</v>
      </c>
      <c r="D4782" s="220" t="s">
        <v>166</v>
      </c>
      <c r="E4782" s="165">
        <v>212</v>
      </c>
    </row>
    <row r="4783" spans="1:5" x14ac:dyDescent="0.25">
      <c r="A4783" s="216" t="s">
        <v>6012</v>
      </c>
      <c r="B4783" s="218">
        <v>1</v>
      </c>
      <c r="C4783" s="220" t="s">
        <v>6013</v>
      </c>
      <c r="D4783" s="220" t="s">
        <v>277</v>
      </c>
      <c r="E4783" s="165">
        <v>212</v>
      </c>
    </row>
    <row r="4784" spans="1:5" x14ac:dyDescent="0.25">
      <c r="A4784" s="216" t="s">
        <v>6802</v>
      </c>
      <c r="B4784" s="218" t="s">
        <v>48</v>
      </c>
      <c r="C4784" s="220" t="s">
        <v>261</v>
      </c>
      <c r="D4784" s="220" t="s">
        <v>56</v>
      </c>
      <c r="E4784" s="165">
        <v>211</v>
      </c>
    </row>
    <row r="4785" spans="1:5" x14ac:dyDescent="0.25">
      <c r="A4785" s="216" t="s">
        <v>7354</v>
      </c>
      <c r="B4785" s="218" t="s">
        <v>48</v>
      </c>
      <c r="C4785" s="220" t="s">
        <v>2592</v>
      </c>
      <c r="D4785" s="220" t="s">
        <v>59</v>
      </c>
      <c r="E4785" s="165">
        <v>211</v>
      </c>
    </row>
    <row r="4786" spans="1:5" x14ac:dyDescent="0.25">
      <c r="A4786" s="216" t="s">
        <v>4166</v>
      </c>
      <c r="B4786" s="218">
        <v>1</v>
      </c>
      <c r="C4786" s="220" t="s">
        <v>144</v>
      </c>
      <c r="D4786" s="220" t="s">
        <v>59</v>
      </c>
      <c r="E4786" s="165">
        <v>211</v>
      </c>
    </row>
    <row r="4787" spans="1:5" x14ac:dyDescent="0.25">
      <c r="A4787" s="216" t="s">
        <v>6747</v>
      </c>
      <c r="B4787" s="218">
        <v>1</v>
      </c>
      <c r="C4787" s="220" t="s">
        <v>501</v>
      </c>
      <c r="D4787" s="220" t="s">
        <v>264</v>
      </c>
      <c r="E4787" s="165">
        <v>211</v>
      </c>
    </row>
    <row r="4788" spans="1:5" x14ac:dyDescent="0.25">
      <c r="A4788" s="216" t="s">
        <v>6784</v>
      </c>
      <c r="B4788" s="218">
        <v>1</v>
      </c>
      <c r="C4788" s="220" t="s">
        <v>6321</v>
      </c>
      <c r="D4788" s="220" t="s">
        <v>192</v>
      </c>
      <c r="E4788" s="165">
        <v>210</v>
      </c>
    </row>
    <row r="4789" spans="1:5" x14ac:dyDescent="0.25">
      <c r="A4789" s="216" t="s">
        <v>5974</v>
      </c>
      <c r="B4789" s="218">
        <v>1</v>
      </c>
      <c r="C4789" s="220" t="s">
        <v>5975</v>
      </c>
      <c r="D4789" s="220" t="s">
        <v>50</v>
      </c>
      <c r="E4789" s="165">
        <v>210</v>
      </c>
    </row>
    <row r="4790" spans="1:5" x14ac:dyDescent="0.25">
      <c r="A4790" s="216" t="s">
        <v>7539</v>
      </c>
      <c r="B4790" s="218" t="s">
        <v>48</v>
      </c>
      <c r="C4790" s="220" t="s">
        <v>270</v>
      </c>
      <c r="D4790" s="220" t="s">
        <v>177</v>
      </c>
      <c r="E4790" s="165">
        <v>210</v>
      </c>
    </row>
    <row r="4791" spans="1:5" x14ac:dyDescent="0.25">
      <c r="A4791" s="216" t="s">
        <v>6626</v>
      </c>
      <c r="B4791" s="218">
        <v>1</v>
      </c>
      <c r="C4791" s="220" t="s">
        <v>5429</v>
      </c>
      <c r="D4791" s="220" t="s">
        <v>53</v>
      </c>
      <c r="E4791" s="165">
        <v>210</v>
      </c>
    </row>
    <row r="4792" spans="1:5" x14ac:dyDescent="0.25">
      <c r="A4792" s="216" t="s">
        <v>6961</v>
      </c>
      <c r="B4792" s="218" t="s">
        <v>48</v>
      </c>
      <c r="C4792" s="220" t="s">
        <v>6962</v>
      </c>
      <c r="D4792" s="220" t="s">
        <v>93</v>
      </c>
      <c r="E4792" s="165">
        <v>210</v>
      </c>
    </row>
    <row r="4793" spans="1:5" x14ac:dyDescent="0.25">
      <c r="A4793" s="216" t="s">
        <v>11345</v>
      </c>
      <c r="B4793" s="218" t="s">
        <v>48</v>
      </c>
      <c r="C4793" s="220" t="s">
        <v>3485</v>
      </c>
      <c r="D4793" s="220" t="s">
        <v>90</v>
      </c>
      <c r="E4793" s="165">
        <v>210</v>
      </c>
    </row>
    <row r="4794" spans="1:5" x14ac:dyDescent="0.25">
      <c r="A4794" s="216" t="s">
        <v>6829</v>
      </c>
      <c r="B4794" s="218">
        <v>1</v>
      </c>
      <c r="C4794" s="220" t="s">
        <v>5023</v>
      </c>
      <c r="D4794" s="220" t="s">
        <v>774</v>
      </c>
      <c r="E4794" s="165">
        <v>210</v>
      </c>
    </row>
    <row r="4795" spans="1:5" x14ac:dyDescent="0.25">
      <c r="A4795" s="216" t="s">
        <v>6917</v>
      </c>
      <c r="B4795" s="218">
        <v>1</v>
      </c>
      <c r="C4795" s="220" t="s">
        <v>289</v>
      </c>
      <c r="D4795" s="220" t="s">
        <v>69</v>
      </c>
      <c r="E4795" s="165">
        <v>210</v>
      </c>
    </row>
    <row r="4796" spans="1:5" x14ac:dyDescent="0.25">
      <c r="A4796" s="216" t="s">
        <v>5485</v>
      </c>
      <c r="B4796" s="218" t="s">
        <v>48</v>
      </c>
      <c r="C4796" s="220" t="s">
        <v>3188</v>
      </c>
      <c r="D4796" s="220" t="s">
        <v>585</v>
      </c>
      <c r="E4796" s="165">
        <v>210</v>
      </c>
    </row>
    <row r="4797" spans="1:5" x14ac:dyDescent="0.25">
      <c r="A4797" s="216" t="s">
        <v>11346</v>
      </c>
      <c r="B4797" s="218">
        <v>1</v>
      </c>
      <c r="C4797" s="220" t="s">
        <v>11347</v>
      </c>
      <c r="D4797" s="220" t="s">
        <v>222</v>
      </c>
      <c r="E4797" s="165">
        <v>210</v>
      </c>
    </row>
    <row r="4798" spans="1:5" x14ac:dyDescent="0.25">
      <c r="A4798" s="216" t="s">
        <v>7496</v>
      </c>
      <c r="B4798" s="218">
        <v>1</v>
      </c>
      <c r="C4798" s="220" t="s">
        <v>522</v>
      </c>
      <c r="D4798" s="220" t="s">
        <v>523</v>
      </c>
      <c r="E4798" s="165">
        <v>210</v>
      </c>
    </row>
    <row r="4799" spans="1:5" x14ac:dyDescent="0.25">
      <c r="A4799" s="216" t="s">
        <v>6922</v>
      </c>
      <c r="B4799" s="218">
        <v>1</v>
      </c>
      <c r="C4799" s="220" t="s">
        <v>647</v>
      </c>
      <c r="D4799" s="220" t="s">
        <v>69</v>
      </c>
      <c r="E4799" s="165">
        <v>209</v>
      </c>
    </row>
    <row r="4800" spans="1:5" x14ac:dyDescent="0.25">
      <c r="A4800" s="216" t="s">
        <v>6710</v>
      </c>
      <c r="B4800" s="218">
        <v>1</v>
      </c>
      <c r="C4800" s="220" t="s">
        <v>179</v>
      </c>
      <c r="D4800" s="220" t="s">
        <v>66</v>
      </c>
      <c r="E4800" s="165">
        <v>209</v>
      </c>
    </row>
    <row r="4801" spans="1:5" x14ac:dyDescent="0.25">
      <c r="A4801" s="216" t="s">
        <v>6719</v>
      </c>
      <c r="B4801" s="218">
        <v>1</v>
      </c>
      <c r="C4801" s="220" t="s">
        <v>3497</v>
      </c>
      <c r="D4801" s="220" t="s">
        <v>66</v>
      </c>
      <c r="E4801" s="165">
        <v>209</v>
      </c>
    </row>
    <row r="4802" spans="1:5" x14ac:dyDescent="0.25">
      <c r="A4802" s="216" t="s">
        <v>6733</v>
      </c>
      <c r="B4802" s="218">
        <v>1</v>
      </c>
      <c r="C4802" s="220" t="s">
        <v>6734</v>
      </c>
      <c r="D4802" s="220" t="s">
        <v>192</v>
      </c>
      <c r="E4802" s="165">
        <v>209</v>
      </c>
    </row>
    <row r="4803" spans="1:5" x14ac:dyDescent="0.25">
      <c r="A4803" s="216" t="s">
        <v>6250</v>
      </c>
      <c r="B4803" s="218" t="s">
        <v>48</v>
      </c>
      <c r="C4803" s="220" t="s">
        <v>538</v>
      </c>
      <c r="D4803" s="220" t="s">
        <v>90</v>
      </c>
      <c r="E4803" s="165">
        <v>209</v>
      </c>
    </row>
    <row r="4804" spans="1:5" x14ac:dyDescent="0.25">
      <c r="A4804" s="216" t="s">
        <v>6738</v>
      </c>
      <c r="B4804" s="218">
        <v>1</v>
      </c>
      <c r="C4804" s="220" t="s">
        <v>6739</v>
      </c>
      <c r="D4804" s="220" t="s">
        <v>172</v>
      </c>
      <c r="E4804" s="165">
        <v>209</v>
      </c>
    </row>
    <row r="4805" spans="1:5" x14ac:dyDescent="0.25">
      <c r="A4805" s="216" t="s">
        <v>6740</v>
      </c>
      <c r="B4805" s="218">
        <v>1</v>
      </c>
      <c r="C4805" s="220" t="s">
        <v>179</v>
      </c>
      <c r="D4805" s="220" t="s">
        <v>66</v>
      </c>
      <c r="E4805" s="165">
        <v>209</v>
      </c>
    </row>
    <row r="4806" spans="1:5" x14ac:dyDescent="0.25">
      <c r="A4806" s="216" t="s">
        <v>9226</v>
      </c>
      <c r="B4806" s="218">
        <v>1</v>
      </c>
      <c r="C4806" s="220" t="s">
        <v>473</v>
      </c>
      <c r="D4806" s="220" t="s">
        <v>575</v>
      </c>
      <c r="E4806" s="165">
        <v>209</v>
      </c>
    </row>
    <row r="4807" spans="1:5" x14ac:dyDescent="0.25">
      <c r="A4807" s="216" t="s">
        <v>7150</v>
      </c>
      <c r="B4807" s="218">
        <v>1</v>
      </c>
      <c r="C4807" s="220" t="s">
        <v>6380</v>
      </c>
      <c r="D4807" s="220" t="s">
        <v>201</v>
      </c>
      <c r="E4807" s="165">
        <v>209</v>
      </c>
    </row>
    <row r="4808" spans="1:5" x14ac:dyDescent="0.25">
      <c r="A4808" s="216" t="s">
        <v>6698</v>
      </c>
      <c r="B4808" s="218">
        <v>1</v>
      </c>
      <c r="C4808" s="220" t="s">
        <v>1516</v>
      </c>
      <c r="D4808" s="220" t="s">
        <v>56</v>
      </c>
      <c r="E4808" s="165">
        <v>209</v>
      </c>
    </row>
    <row r="4809" spans="1:5" x14ac:dyDescent="0.25">
      <c r="A4809" s="216" t="s">
        <v>6751</v>
      </c>
      <c r="B4809" s="218">
        <v>1</v>
      </c>
      <c r="C4809" s="220" t="s">
        <v>6752</v>
      </c>
      <c r="D4809" s="220" t="s">
        <v>66</v>
      </c>
      <c r="E4809" s="165">
        <v>209</v>
      </c>
    </row>
    <row r="4810" spans="1:5" x14ac:dyDescent="0.25">
      <c r="A4810" s="216" t="s">
        <v>6898</v>
      </c>
      <c r="B4810" s="218">
        <v>1</v>
      </c>
      <c r="C4810" s="220" t="s">
        <v>259</v>
      </c>
      <c r="D4810" s="220" t="s">
        <v>50</v>
      </c>
      <c r="E4810" s="165">
        <v>208</v>
      </c>
    </row>
    <row r="4811" spans="1:5" x14ac:dyDescent="0.25">
      <c r="A4811" s="216" t="s">
        <v>6076</v>
      </c>
      <c r="B4811" s="218">
        <v>1</v>
      </c>
      <c r="C4811" s="220" t="s">
        <v>6077</v>
      </c>
      <c r="D4811" s="220" t="s">
        <v>50</v>
      </c>
      <c r="E4811" s="165">
        <v>208</v>
      </c>
    </row>
    <row r="4812" spans="1:5" x14ac:dyDescent="0.25">
      <c r="A4812" s="216" t="s">
        <v>7280</v>
      </c>
      <c r="B4812" s="218">
        <v>1</v>
      </c>
      <c r="C4812" s="220" t="s">
        <v>7281</v>
      </c>
      <c r="D4812" s="220" t="s">
        <v>50</v>
      </c>
      <c r="E4812" s="165">
        <v>208</v>
      </c>
    </row>
    <row r="4813" spans="1:5" x14ac:dyDescent="0.25">
      <c r="A4813" s="216" t="s">
        <v>6014</v>
      </c>
      <c r="B4813" s="218" t="s">
        <v>48</v>
      </c>
      <c r="C4813" s="220" t="s">
        <v>1906</v>
      </c>
      <c r="D4813" s="220" t="s">
        <v>66</v>
      </c>
      <c r="E4813" s="165">
        <v>208</v>
      </c>
    </row>
    <row r="4814" spans="1:5" x14ac:dyDescent="0.25">
      <c r="A4814" s="216" t="s">
        <v>7366</v>
      </c>
      <c r="B4814" s="218" t="s">
        <v>48</v>
      </c>
      <c r="C4814" s="220" t="s">
        <v>7367</v>
      </c>
      <c r="D4814" s="220" t="s">
        <v>166</v>
      </c>
      <c r="E4814" s="165">
        <v>208</v>
      </c>
    </row>
    <row r="4815" spans="1:5" x14ac:dyDescent="0.25">
      <c r="A4815" s="216" t="s">
        <v>6983</v>
      </c>
      <c r="B4815" s="218" t="s">
        <v>48</v>
      </c>
      <c r="C4815" s="220" t="s">
        <v>6984</v>
      </c>
      <c r="D4815" s="220" t="s">
        <v>93</v>
      </c>
      <c r="E4815" s="165">
        <v>207</v>
      </c>
    </row>
    <row r="4816" spans="1:5" x14ac:dyDescent="0.25">
      <c r="A4816" s="216" t="s">
        <v>6715</v>
      </c>
      <c r="B4816" s="218">
        <v>1</v>
      </c>
      <c r="C4816" s="220" t="s">
        <v>219</v>
      </c>
      <c r="D4816" s="220" t="s">
        <v>56</v>
      </c>
      <c r="E4816" s="165">
        <v>207</v>
      </c>
    </row>
    <row r="4817" spans="1:5" x14ac:dyDescent="0.25">
      <c r="A4817" s="216" t="s">
        <v>6720</v>
      </c>
      <c r="B4817" s="218">
        <v>1</v>
      </c>
      <c r="C4817" s="220" t="s">
        <v>2036</v>
      </c>
      <c r="D4817" s="220" t="s">
        <v>56</v>
      </c>
      <c r="E4817" s="165">
        <v>207</v>
      </c>
    </row>
    <row r="4818" spans="1:5" x14ac:dyDescent="0.25">
      <c r="A4818" s="216" t="s">
        <v>7899</v>
      </c>
      <c r="B4818" s="218" t="s">
        <v>48</v>
      </c>
      <c r="C4818" s="220" t="s">
        <v>7900</v>
      </c>
      <c r="D4818" s="220" t="s">
        <v>56</v>
      </c>
      <c r="E4818" s="165">
        <v>207</v>
      </c>
    </row>
    <row r="4819" spans="1:5" x14ac:dyDescent="0.25">
      <c r="A4819" s="216" t="s">
        <v>6908</v>
      </c>
      <c r="B4819" s="218">
        <v>1</v>
      </c>
      <c r="C4819" s="220" t="s">
        <v>1113</v>
      </c>
      <c r="D4819" s="220" t="s">
        <v>50</v>
      </c>
      <c r="E4819" s="165">
        <v>207</v>
      </c>
    </row>
    <row r="4820" spans="1:5" x14ac:dyDescent="0.25">
      <c r="A4820" s="216" t="s">
        <v>7387</v>
      </c>
      <c r="B4820" s="218" t="s">
        <v>48</v>
      </c>
      <c r="C4820" s="220" t="s">
        <v>7388</v>
      </c>
      <c r="D4820" s="220" t="s">
        <v>378</v>
      </c>
      <c r="E4820" s="165">
        <v>207</v>
      </c>
    </row>
    <row r="4821" spans="1:5" x14ac:dyDescent="0.25">
      <c r="A4821" s="216" t="s">
        <v>5895</v>
      </c>
      <c r="B4821" s="218" t="s">
        <v>48</v>
      </c>
      <c r="C4821" s="220" t="s">
        <v>3685</v>
      </c>
      <c r="D4821" s="220" t="s">
        <v>90</v>
      </c>
      <c r="E4821" s="165">
        <v>207</v>
      </c>
    </row>
    <row r="4822" spans="1:5" x14ac:dyDescent="0.25">
      <c r="A4822" s="216" t="s">
        <v>6605</v>
      </c>
      <c r="B4822" s="218">
        <v>1</v>
      </c>
      <c r="C4822" s="220" t="s">
        <v>5986</v>
      </c>
      <c r="D4822" s="220" t="s">
        <v>236</v>
      </c>
      <c r="E4822" s="165">
        <v>207</v>
      </c>
    </row>
    <row r="4823" spans="1:5" x14ac:dyDescent="0.25">
      <c r="A4823" s="216" t="s">
        <v>7007</v>
      </c>
      <c r="B4823" s="218">
        <v>1</v>
      </c>
      <c r="C4823" s="220" t="s">
        <v>7008</v>
      </c>
      <c r="D4823" s="220" t="s">
        <v>188</v>
      </c>
      <c r="E4823" s="165">
        <v>206</v>
      </c>
    </row>
    <row r="4824" spans="1:5" x14ac:dyDescent="0.25">
      <c r="A4824" s="216" t="s">
        <v>5901</v>
      </c>
      <c r="B4824" s="218" t="s">
        <v>48</v>
      </c>
      <c r="C4824" s="220" t="s">
        <v>1047</v>
      </c>
      <c r="D4824" s="220" t="s">
        <v>166</v>
      </c>
      <c r="E4824" s="165">
        <v>206</v>
      </c>
    </row>
    <row r="4825" spans="1:5" x14ac:dyDescent="0.25">
      <c r="A4825" s="216" t="s">
        <v>7315</v>
      </c>
      <c r="B4825" s="218" t="s">
        <v>48</v>
      </c>
      <c r="C4825" s="220" t="s">
        <v>812</v>
      </c>
      <c r="D4825" s="220" t="s">
        <v>166</v>
      </c>
      <c r="E4825" s="165">
        <v>206</v>
      </c>
    </row>
    <row r="4826" spans="1:5" x14ac:dyDescent="0.25">
      <c r="A4826" s="216" t="s">
        <v>6777</v>
      </c>
      <c r="B4826" s="218">
        <v>1</v>
      </c>
      <c r="C4826" s="220" t="s">
        <v>6778</v>
      </c>
      <c r="D4826" s="220" t="s">
        <v>72</v>
      </c>
      <c r="E4826" s="165">
        <v>206</v>
      </c>
    </row>
    <row r="4827" spans="1:5" x14ac:dyDescent="0.25">
      <c r="A4827" s="216" t="s">
        <v>5761</v>
      </c>
      <c r="B4827" s="218">
        <v>1</v>
      </c>
      <c r="C4827" s="220" t="s">
        <v>4520</v>
      </c>
      <c r="D4827" s="220" t="s">
        <v>166</v>
      </c>
      <c r="E4827" s="165">
        <v>206</v>
      </c>
    </row>
    <row r="4828" spans="1:5" x14ac:dyDescent="0.25">
      <c r="A4828" s="216" t="s">
        <v>9084</v>
      </c>
      <c r="B4828" s="218" t="s">
        <v>48</v>
      </c>
      <c r="C4828" s="220" t="s">
        <v>8442</v>
      </c>
      <c r="D4828" s="220" t="s">
        <v>166</v>
      </c>
      <c r="E4828" s="165">
        <v>206</v>
      </c>
    </row>
    <row r="4829" spans="1:5" x14ac:dyDescent="0.25">
      <c r="A4829" s="216" t="s">
        <v>6750</v>
      </c>
      <c r="B4829" s="218">
        <v>1</v>
      </c>
      <c r="C4829" s="220" t="s">
        <v>1275</v>
      </c>
      <c r="D4829" s="220" t="s">
        <v>78</v>
      </c>
      <c r="E4829" s="165">
        <v>206</v>
      </c>
    </row>
    <row r="4830" spans="1:5" x14ac:dyDescent="0.25">
      <c r="A4830" s="216" t="s">
        <v>10842</v>
      </c>
      <c r="B4830" s="218" t="s">
        <v>48</v>
      </c>
      <c r="C4830" s="220" t="s">
        <v>11348</v>
      </c>
      <c r="D4830" s="220" t="s">
        <v>130</v>
      </c>
      <c r="E4830" s="165">
        <v>206</v>
      </c>
    </row>
    <row r="4831" spans="1:5" x14ac:dyDescent="0.25">
      <c r="A4831" s="216" t="s">
        <v>10620</v>
      </c>
      <c r="B4831" s="218" t="s">
        <v>48</v>
      </c>
      <c r="C4831" s="220" t="s">
        <v>11349</v>
      </c>
      <c r="D4831" s="220" t="s">
        <v>192</v>
      </c>
      <c r="E4831" s="165">
        <v>205</v>
      </c>
    </row>
    <row r="4832" spans="1:5" x14ac:dyDescent="0.25">
      <c r="A4832" s="216" t="s">
        <v>6775</v>
      </c>
      <c r="B4832" s="218">
        <v>1</v>
      </c>
      <c r="C4832" s="220" t="s">
        <v>6776</v>
      </c>
      <c r="D4832" s="220" t="s">
        <v>56</v>
      </c>
      <c r="E4832" s="165">
        <v>205</v>
      </c>
    </row>
    <row r="4833" spans="1:5" x14ac:dyDescent="0.25">
      <c r="A4833" s="216" t="s">
        <v>7546</v>
      </c>
      <c r="B4833" s="218">
        <v>1</v>
      </c>
      <c r="C4833" s="220" t="s">
        <v>7547</v>
      </c>
      <c r="D4833" s="220" t="s">
        <v>523</v>
      </c>
      <c r="E4833" s="165">
        <v>205</v>
      </c>
    </row>
    <row r="4834" spans="1:5" x14ac:dyDescent="0.25">
      <c r="A4834" s="216" t="s">
        <v>7548</v>
      </c>
      <c r="B4834" s="218" t="s">
        <v>48</v>
      </c>
      <c r="C4834" s="220" t="s">
        <v>7549</v>
      </c>
      <c r="D4834" s="220" t="s">
        <v>710</v>
      </c>
      <c r="E4834" s="165">
        <v>205</v>
      </c>
    </row>
    <row r="4835" spans="1:5" x14ac:dyDescent="0.25">
      <c r="A4835" s="216" t="s">
        <v>6658</v>
      </c>
      <c r="B4835" s="218">
        <v>1</v>
      </c>
      <c r="C4835" s="220" t="s">
        <v>6659</v>
      </c>
      <c r="D4835" s="220" t="s">
        <v>50</v>
      </c>
      <c r="E4835" s="165">
        <v>205</v>
      </c>
    </row>
    <row r="4836" spans="1:5" x14ac:dyDescent="0.25">
      <c r="A4836" s="216" t="s">
        <v>6779</v>
      </c>
      <c r="B4836" s="218" t="s">
        <v>48</v>
      </c>
      <c r="C4836" s="220" t="s">
        <v>679</v>
      </c>
      <c r="D4836" s="220" t="s">
        <v>206</v>
      </c>
      <c r="E4836" s="165">
        <v>205</v>
      </c>
    </row>
    <row r="4837" spans="1:5" x14ac:dyDescent="0.25">
      <c r="A4837" s="216" t="s">
        <v>10754</v>
      </c>
      <c r="B4837" s="218" t="s">
        <v>48</v>
      </c>
      <c r="C4837" s="220" t="s">
        <v>61</v>
      </c>
      <c r="D4837" s="220" t="s">
        <v>56</v>
      </c>
      <c r="E4837" s="165">
        <v>205</v>
      </c>
    </row>
    <row r="4838" spans="1:5" x14ac:dyDescent="0.25">
      <c r="A4838" s="216" t="s">
        <v>7870</v>
      </c>
      <c r="B4838" s="218">
        <v>1</v>
      </c>
      <c r="C4838" s="220" t="s">
        <v>1960</v>
      </c>
      <c r="D4838" s="220" t="s">
        <v>118</v>
      </c>
      <c r="E4838" s="165">
        <v>205</v>
      </c>
    </row>
    <row r="4839" spans="1:5" x14ac:dyDescent="0.25">
      <c r="A4839" s="216" t="s">
        <v>6156</v>
      </c>
      <c r="B4839" s="218">
        <v>1</v>
      </c>
      <c r="C4839" s="220" t="s">
        <v>1027</v>
      </c>
      <c r="D4839" s="220" t="s">
        <v>277</v>
      </c>
      <c r="E4839" s="165">
        <v>205</v>
      </c>
    </row>
    <row r="4840" spans="1:5" x14ac:dyDescent="0.25">
      <c r="A4840" s="216" t="s">
        <v>6796</v>
      </c>
      <c r="B4840" s="218">
        <v>1</v>
      </c>
      <c r="C4840" s="220" t="s">
        <v>289</v>
      </c>
      <c r="D4840" s="220" t="s">
        <v>69</v>
      </c>
      <c r="E4840" s="165">
        <v>205</v>
      </c>
    </row>
    <row r="4841" spans="1:5" x14ac:dyDescent="0.25">
      <c r="A4841" s="216" t="s">
        <v>7030</v>
      </c>
      <c r="B4841" s="218" t="s">
        <v>48</v>
      </c>
      <c r="C4841" s="220" t="s">
        <v>2108</v>
      </c>
      <c r="D4841" s="220" t="s">
        <v>575</v>
      </c>
      <c r="E4841" s="165">
        <v>205</v>
      </c>
    </row>
    <row r="4842" spans="1:5" x14ac:dyDescent="0.25">
      <c r="A4842" s="216" t="s">
        <v>6831</v>
      </c>
      <c r="B4842" s="218">
        <v>1</v>
      </c>
      <c r="C4842" s="220" t="s">
        <v>5744</v>
      </c>
      <c r="D4842" s="220" t="s">
        <v>1200</v>
      </c>
      <c r="E4842" s="165">
        <v>205</v>
      </c>
    </row>
    <row r="4843" spans="1:5" x14ac:dyDescent="0.25">
      <c r="A4843" s="216" t="s">
        <v>11350</v>
      </c>
      <c r="B4843" s="218" t="s">
        <v>48</v>
      </c>
      <c r="C4843" s="220" t="s">
        <v>11351</v>
      </c>
      <c r="D4843" s="220" t="s">
        <v>130</v>
      </c>
      <c r="E4843" s="165">
        <v>204</v>
      </c>
    </row>
    <row r="4844" spans="1:5" x14ac:dyDescent="0.25">
      <c r="A4844" s="216" t="s">
        <v>7250</v>
      </c>
      <c r="B4844" s="218" t="s">
        <v>48</v>
      </c>
      <c r="C4844" s="220" t="s">
        <v>7251</v>
      </c>
      <c r="D4844" s="220" t="s">
        <v>166</v>
      </c>
      <c r="E4844" s="165">
        <v>204</v>
      </c>
    </row>
    <row r="4845" spans="1:5" x14ac:dyDescent="0.25">
      <c r="A4845" s="216" t="s">
        <v>7011</v>
      </c>
      <c r="B4845" s="218">
        <v>1</v>
      </c>
      <c r="C4845" s="220" t="s">
        <v>7012</v>
      </c>
      <c r="D4845" s="220" t="s">
        <v>56</v>
      </c>
      <c r="E4845" s="165">
        <v>204</v>
      </c>
    </row>
    <row r="4846" spans="1:5" x14ac:dyDescent="0.25">
      <c r="A4846" s="216" t="s">
        <v>7433</v>
      </c>
      <c r="B4846" s="218">
        <v>1</v>
      </c>
      <c r="C4846" s="220" t="s">
        <v>2345</v>
      </c>
      <c r="D4846" s="220" t="s">
        <v>264</v>
      </c>
      <c r="E4846" s="165">
        <v>204</v>
      </c>
    </row>
    <row r="4847" spans="1:5" x14ac:dyDescent="0.25">
      <c r="A4847" s="216" t="s">
        <v>6930</v>
      </c>
      <c r="B4847" s="218" t="s">
        <v>48</v>
      </c>
      <c r="C4847" s="220" t="s">
        <v>1732</v>
      </c>
      <c r="D4847" s="220" t="s">
        <v>277</v>
      </c>
      <c r="E4847" s="165">
        <v>204</v>
      </c>
    </row>
    <row r="4848" spans="1:5" x14ac:dyDescent="0.25">
      <c r="A4848" s="216" t="s">
        <v>7014</v>
      </c>
      <c r="B4848" s="218">
        <v>1</v>
      </c>
      <c r="C4848" s="220" t="s">
        <v>391</v>
      </c>
      <c r="D4848" s="220" t="s">
        <v>56</v>
      </c>
      <c r="E4848" s="165">
        <v>204</v>
      </c>
    </row>
    <row r="4849" spans="1:5" x14ac:dyDescent="0.25">
      <c r="A4849" s="216" t="s">
        <v>4680</v>
      </c>
      <c r="B4849" s="218" t="s">
        <v>48</v>
      </c>
      <c r="C4849" s="220" t="s">
        <v>4681</v>
      </c>
      <c r="D4849" s="220" t="s">
        <v>53</v>
      </c>
      <c r="E4849" s="165">
        <v>204</v>
      </c>
    </row>
    <row r="4850" spans="1:5" x14ac:dyDescent="0.25">
      <c r="A4850" s="216" t="s">
        <v>6915</v>
      </c>
      <c r="B4850" s="218" t="s">
        <v>48</v>
      </c>
      <c r="C4850" s="220" t="s">
        <v>6916</v>
      </c>
      <c r="D4850" s="220" t="s">
        <v>710</v>
      </c>
      <c r="E4850" s="165">
        <v>204</v>
      </c>
    </row>
    <row r="4851" spans="1:5" x14ac:dyDescent="0.25">
      <c r="A4851" s="216" t="s">
        <v>6948</v>
      </c>
      <c r="B4851" s="218" t="s">
        <v>48</v>
      </c>
      <c r="C4851" s="220" t="s">
        <v>6613</v>
      </c>
      <c r="D4851" s="220" t="s">
        <v>166</v>
      </c>
      <c r="E4851" s="165">
        <v>204</v>
      </c>
    </row>
    <row r="4852" spans="1:5" x14ac:dyDescent="0.25">
      <c r="A4852" s="216" t="s">
        <v>11352</v>
      </c>
      <c r="B4852" s="218">
        <v>1</v>
      </c>
      <c r="C4852" s="220" t="s">
        <v>466</v>
      </c>
      <c r="D4852" s="220" t="s">
        <v>206</v>
      </c>
      <c r="E4852" s="165">
        <v>204</v>
      </c>
    </row>
    <row r="4853" spans="1:5" x14ac:dyDescent="0.25">
      <c r="A4853" s="216" t="s">
        <v>6741</v>
      </c>
      <c r="B4853" s="218">
        <v>1</v>
      </c>
      <c r="C4853" s="220" t="s">
        <v>689</v>
      </c>
      <c r="D4853" s="220" t="s">
        <v>124</v>
      </c>
      <c r="E4853" s="165">
        <v>204</v>
      </c>
    </row>
    <row r="4854" spans="1:5" x14ac:dyDescent="0.25">
      <c r="A4854" s="216" t="s">
        <v>1173</v>
      </c>
      <c r="B4854" s="218" t="s">
        <v>48</v>
      </c>
      <c r="C4854" s="220" t="s">
        <v>1174</v>
      </c>
      <c r="D4854" s="220" t="s">
        <v>90</v>
      </c>
      <c r="E4854" s="165">
        <v>204</v>
      </c>
    </row>
    <row r="4855" spans="1:5" x14ac:dyDescent="0.25">
      <c r="A4855" s="216" t="s">
        <v>7016</v>
      </c>
      <c r="B4855" s="218">
        <v>1</v>
      </c>
      <c r="C4855" s="220" t="s">
        <v>7017</v>
      </c>
      <c r="D4855" s="220" t="s">
        <v>56</v>
      </c>
      <c r="E4855" s="165">
        <v>204</v>
      </c>
    </row>
    <row r="4856" spans="1:5" x14ac:dyDescent="0.25">
      <c r="A4856" s="216" t="s">
        <v>6932</v>
      </c>
      <c r="B4856" s="218">
        <v>1</v>
      </c>
      <c r="C4856" s="220" t="s">
        <v>6933</v>
      </c>
      <c r="D4856" s="220" t="s">
        <v>63</v>
      </c>
      <c r="E4856" s="165">
        <v>204</v>
      </c>
    </row>
    <row r="4857" spans="1:5" x14ac:dyDescent="0.25">
      <c r="A4857" s="216" t="s">
        <v>9028</v>
      </c>
      <c r="B4857" s="218" t="s">
        <v>48</v>
      </c>
      <c r="C4857" s="220" t="s">
        <v>6042</v>
      </c>
      <c r="D4857" s="220" t="s">
        <v>108</v>
      </c>
      <c r="E4857" s="165">
        <v>204</v>
      </c>
    </row>
    <row r="4858" spans="1:5" x14ac:dyDescent="0.25">
      <c r="A4858" s="216" t="s">
        <v>6677</v>
      </c>
      <c r="B4858" s="218">
        <v>1</v>
      </c>
      <c r="C4858" s="220" t="s">
        <v>6678</v>
      </c>
      <c r="D4858" s="220" t="s">
        <v>78</v>
      </c>
      <c r="E4858" s="165">
        <v>204</v>
      </c>
    </row>
    <row r="4859" spans="1:5" x14ac:dyDescent="0.25">
      <c r="A4859" s="216" t="s">
        <v>6957</v>
      </c>
      <c r="B4859" s="218">
        <v>1</v>
      </c>
      <c r="C4859" s="220" t="s">
        <v>80</v>
      </c>
      <c r="D4859" s="220" t="s">
        <v>63</v>
      </c>
      <c r="E4859" s="165">
        <v>204</v>
      </c>
    </row>
    <row r="4860" spans="1:5" x14ac:dyDescent="0.25">
      <c r="A4860" s="216" t="s">
        <v>6690</v>
      </c>
      <c r="B4860" s="218">
        <v>1</v>
      </c>
      <c r="C4860" s="220" t="s">
        <v>1111</v>
      </c>
      <c r="D4860" s="220" t="s">
        <v>50</v>
      </c>
      <c r="E4860" s="165">
        <v>203</v>
      </c>
    </row>
    <row r="4861" spans="1:5" x14ac:dyDescent="0.25">
      <c r="A4861" s="216" t="s">
        <v>6968</v>
      </c>
      <c r="B4861" s="218">
        <v>1</v>
      </c>
      <c r="C4861" s="220" t="s">
        <v>6969</v>
      </c>
      <c r="D4861" s="220" t="s">
        <v>50</v>
      </c>
      <c r="E4861" s="165">
        <v>203</v>
      </c>
    </row>
    <row r="4862" spans="1:5" x14ac:dyDescent="0.25">
      <c r="A4862" s="216" t="s">
        <v>6096</v>
      </c>
      <c r="B4862" s="218" t="s">
        <v>48</v>
      </c>
      <c r="C4862" s="220" t="s">
        <v>6097</v>
      </c>
      <c r="D4862" s="220" t="s">
        <v>82</v>
      </c>
      <c r="E4862" s="165">
        <v>203</v>
      </c>
    </row>
    <row r="4863" spans="1:5" x14ac:dyDescent="0.25">
      <c r="A4863" s="216" t="s">
        <v>5790</v>
      </c>
      <c r="B4863" s="218">
        <v>1</v>
      </c>
      <c r="C4863" s="220" t="s">
        <v>5791</v>
      </c>
      <c r="D4863" s="220" t="s">
        <v>166</v>
      </c>
      <c r="E4863" s="165">
        <v>203</v>
      </c>
    </row>
    <row r="4864" spans="1:5" x14ac:dyDescent="0.25">
      <c r="A4864" s="216" t="s">
        <v>6228</v>
      </c>
      <c r="B4864" s="218" t="s">
        <v>48</v>
      </c>
      <c r="C4864" s="220" t="s">
        <v>6229</v>
      </c>
      <c r="D4864" s="220" t="s">
        <v>59</v>
      </c>
      <c r="E4864" s="165">
        <v>203</v>
      </c>
    </row>
    <row r="4865" spans="1:5" x14ac:dyDescent="0.25">
      <c r="A4865" s="216" t="s">
        <v>6231</v>
      </c>
      <c r="B4865" s="218">
        <v>1</v>
      </c>
      <c r="C4865" s="220" t="s">
        <v>1353</v>
      </c>
      <c r="D4865" s="220" t="s">
        <v>63</v>
      </c>
      <c r="E4865" s="165">
        <v>203</v>
      </c>
    </row>
    <row r="4866" spans="1:5" x14ac:dyDescent="0.25">
      <c r="A4866" s="216" t="s">
        <v>6880</v>
      </c>
      <c r="B4866" s="218">
        <v>1</v>
      </c>
      <c r="C4866" s="220" t="s">
        <v>6881</v>
      </c>
      <c r="D4866" s="220" t="s">
        <v>66</v>
      </c>
      <c r="E4866" s="165">
        <v>203</v>
      </c>
    </row>
    <row r="4867" spans="1:5" x14ac:dyDescent="0.25">
      <c r="A4867" s="216" t="s">
        <v>6774</v>
      </c>
      <c r="B4867" s="218">
        <v>1</v>
      </c>
      <c r="C4867" s="220" t="s">
        <v>1884</v>
      </c>
      <c r="D4867" s="220" t="s">
        <v>56</v>
      </c>
      <c r="E4867" s="165">
        <v>203</v>
      </c>
    </row>
    <row r="4868" spans="1:5" x14ac:dyDescent="0.25">
      <c r="A4868" s="216" t="s">
        <v>5840</v>
      </c>
      <c r="B4868" s="218" t="s">
        <v>48</v>
      </c>
      <c r="C4868" s="220" t="s">
        <v>470</v>
      </c>
      <c r="D4868" s="220" t="s">
        <v>108</v>
      </c>
      <c r="E4868" s="165">
        <v>203</v>
      </c>
    </row>
    <row r="4869" spans="1:5" x14ac:dyDescent="0.25">
      <c r="A4869" s="216" t="s">
        <v>7448</v>
      </c>
      <c r="B4869" s="218" t="s">
        <v>48</v>
      </c>
      <c r="C4869" s="220" t="s">
        <v>1293</v>
      </c>
      <c r="D4869" s="220" t="s">
        <v>166</v>
      </c>
      <c r="E4869" s="165">
        <v>203</v>
      </c>
    </row>
    <row r="4870" spans="1:5" x14ac:dyDescent="0.25">
      <c r="A4870" s="216" t="s">
        <v>6972</v>
      </c>
      <c r="B4870" s="218">
        <v>1</v>
      </c>
      <c r="C4870" s="220" t="s">
        <v>6973</v>
      </c>
      <c r="D4870" s="220" t="s">
        <v>50</v>
      </c>
      <c r="E4870" s="165">
        <v>203</v>
      </c>
    </row>
    <row r="4871" spans="1:5" x14ac:dyDescent="0.25">
      <c r="A4871" s="216" t="s">
        <v>8051</v>
      </c>
      <c r="B4871" s="218" t="s">
        <v>48</v>
      </c>
      <c r="C4871" s="220" t="s">
        <v>1759</v>
      </c>
      <c r="D4871" s="220" t="s">
        <v>166</v>
      </c>
      <c r="E4871" s="165">
        <v>203</v>
      </c>
    </row>
    <row r="4872" spans="1:5" x14ac:dyDescent="0.25">
      <c r="A4872" s="216" t="s">
        <v>6974</v>
      </c>
      <c r="B4872" s="218">
        <v>1</v>
      </c>
      <c r="C4872" s="220" t="s">
        <v>6975</v>
      </c>
      <c r="D4872" s="220" t="s">
        <v>50</v>
      </c>
      <c r="E4872" s="165">
        <v>203</v>
      </c>
    </row>
    <row r="4873" spans="1:5" x14ac:dyDescent="0.25">
      <c r="A4873" s="216" t="s">
        <v>4160</v>
      </c>
      <c r="B4873" s="218">
        <v>1</v>
      </c>
      <c r="C4873" s="220" t="s">
        <v>994</v>
      </c>
      <c r="D4873" s="220" t="s">
        <v>277</v>
      </c>
      <c r="E4873" s="165">
        <v>203</v>
      </c>
    </row>
    <row r="4874" spans="1:5" x14ac:dyDescent="0.25">
      <c r="A4874" s="216" t="s">
        <v>10832</v>
      </c>
      <c r="B4874" s="218">
        <v>1</v>
      </c>
      <c r="C4874" s="220" t="s">
        <v>198</v>
      </c>
      <c r="D4874" s="220" t="s">
        <v>56</v>
      </c>
      <c r="E4874" s="165">
        <v>203</v>
      </c>
    </row>
    <row r="4875" spans="1:5" x14ac:dyDescent="0.25">
      <c r="A4875" s="216" t="s">
        <v>6978</v>
      </c>
      <c r="B4875" s="218">
        <v>1</v>
      </c>
      <c r="C4875" s="220" t="s">
        <v>6979</v>
      </c>
      <c r="D4875" s="220" t="s">
        <v>50</v>
      </c>
      <c r="E4875" s="165">
        <v>203</v>
      </c>
    </row>
    <row r="4876" spans="1:5" x14ac:dyDescent="0.25">
      <c r="A4876" s="216" t="s">
        <v>7155</v>
      </c>
      <c r="B4876" s="218" t="s">
        <v>48</v>
      </c>
      <c r="C4876" s="220" t="s">
        <v>1663</v>
      </c>
      <c r="D4876" s="220" t="s">
        <v>585</v>
      </c>
      <c r="E4876" s="165">
        <v>203</v>
      </c>
    </row>
    <row r="4877" spans="1:5" x14ac:dyDescent="0.25">
      <c r="A4877" s="216" t="s">
        <v>11353</v>
      </c>
      <c r="B4877" s="218" t="s">
        <v>48</v>
      </c>
      <c r="C4877" s="220" t="s">
        <v>11354</v>
      </c>
      <c r="D4877" s="220" t="s">
        <v>206</v>
      </c>
      <c r="E4877" s="165">
        <v>203</v>
      </c>
    </row>
    <row r="4878" spans="1:5" x14ac:dyDescent="0.25">
      <c r="A4878" s="216" t="s">
        <v>6811</v>
      </c>
      <c r="B4878" s="218">
        <v>1</v>
      </c>
      <c r="C4878" s="220" t="s">
        <v>6812</v>
      </c>
      <c r="D4878" s="220" t="s">
        <v>56</v>
      </c>
      <c r="E4878" s="165">
        <v>202</v>
      </c>
    </row>
    <row r="4879" spans="1:5" x14ac:dyDescent="0.25">
      <c r="A4879" s="216" t="s">
        <v>6813</v>
      </c>
      <c r="B4879" s="218">
        <v>1</v>
      </c>
      <c r="C4879" s="220" t="s">
        <v>3483</v>
      </c>
      <c r="D4879" s="220" t="s">
        <v>56</v>
      </c>
      <c r="E4879" s="165">
        <v>202</v>
      </c>
    </row>
    <row r="4880" spans="1:5" x14ac:dyDescent="0.25">
      <c r="A4880" s="216" t="s">
        <v>7212</v>
      </c>
      <c r="B4880" s="218" t="s">
        <v>48</v>
      </c>
      <c r="C4880" s="220" t="s">
        <v>7213</v>
      </c>
      <c r="D4880" s="220" t="s">
        <v>93</v>
      </c>
      <c r="E4880" s="165">
        <v>202</v>
      </c>
    </row>
    <row r="4881" spans="1:5" x14ac:dyDescent="0.25">
      <c r="A4881" s="216" t="s">
        <v>6815</v>
      </c>
      <c r="B4881" s="218">
        <v>1</v>
      </c>
      <c r="C4881" s="220" t="s">
        <v>11355</v>
      </c>
      <c r="D4881" s="220" t="s">
        <v>78</v>
      </c>
      <c r="E4881" s="165">
        <v>202</v>
      </c>
    </row>
    <row r="4882" spans="1:5" x14ac:dyDescent="0.25">
      <c r="A4882" s="216" t="s">
        <v>6816</v>
      </c>
      <c r="B4882" s="218">
        <v>1</v>
      </c>
      <c r="C4882" s="220" t="s">
        <v>6817</v>
      </c>
      <c r="D4882" s="220" t="s">
        <v>56</v>
      </c>
      <c r="E4882" s="165">
        <v>202</v>
      </c>
    </row>
    <row r="4883" spans="1:5" x14ac:dyDescent="0.25">
      <c r="A4883" s="216" t="s">
        <v>6818</v>
      </c>
      <c r="B4883" s="218">
        <v>1</v>
      </c>
      <c r="C4883" s="220" t="s">
        <v>3059</v>
      </c>
      <c r="D4883" s="220" t="s">
        <v>56</v>
      </c>
      <c r="E4883" s="165">
        <v>202</v>
      </c>
    </row>
    <row r="4884" spans="1:5" x14ac:dyDescent="0.25">
      <c r="A4884" s="216" t="s">
        <v>6891</v>
      </c>
      <c r="B4884" s="218">
        <v>1</v>
      </c>
      <c r="C4884" s="220" t="s">
        <v>3497</v>
      </c>
      <c r="D4884" s="220" t="s">
        <v>66</v>
      </c>
      <c r="E4884" s="165">
        <v>202</v>
      </c>
    </row>
    <row r="4885" spans="1:5" x14ac:dyDescent="0.25">
      <c r="A4885" s="216" t="s">
        <v>6332</v>
      </c>
      <c r="B4885" s="218">
        <v>1</v>
      </c>
      <c r="C4885" s="220" t="s">
        <v>6333</v>
      </c>
      <c r="D4885" s="220" t="s">
        <v>127</v>
      </c>
      <c r="E4885" s="165">
        <v>202</v>
      </c>
    </row>
    <row r="4886" spans="1:5" x14ac:dyDescent="0.25">
      <c r="A4886" s="216" t="s">
        <v>6430</v>
      </c>
      <c r="B4886" s="218" t="s">
        <v>48</v>
      </c>
      <c r="C4886" s="220" t="s">
        <v>257</v>
      </c>
      <c r="D4886" s="220" t="s">
        <v>108</v>
      </c>
      <c r="E4886" s="165">
        <v>202</v>
      </c>
    </row>
    <row r="4887" spans="1:5" x14ac:dyDescent="0.25">
      <c r="A4887" s="216" t="s">
        <v>11356</v>
      </c>
      <c r="B4887" s="218">
        <v>1</v>
      </c>
      <c r="C4887" s="220" t="s">
        <v>1295</v>
      </c>
      <c r="D4887" s="220" t="s">
        <v>66</v>
      </c>
      <c r="E4887" s="165">
        <v>202</v>
      </c>
    </row>
    <row r="4888" spans="1:5" x14ac:dyDescent="0.25">
      <c r="A4888" s="216" t="s">
        <v>6604</v>
      </c>
      <c r="B4888" s="218" t="s">
        <v>48</v>
      </c>
      <c r="C4888" s="220" t="s">
        <v>1015</v>
      </c>
      <c r="D4888" s="220" t="s">
        <v>75</v>
      </c>
      <c r="E4888" s="165">
        <v>202</v>
      </c>
    </row>
    <row r="4889" spans="1:5" x14ac:dyDescent="0.25">
      <c r="A4889" s="216" t="s">
        <v>6544</v>
      </c>
      <c r="B4889" s="218">
        <v>1</v>
      </c>
      <c r="C4889" s="220" t="s">
        <v>6545</v>
      </c>
      <c r="D4889" s="220" t="s">
        <v>87</v>
      </c>
      <c r="E4889" s="165">
        <v>202</v>
      </c>
    </row>
    <row r="4890" spans="1:5" x14ac:dyDescent="0.25">
      <c r="A4890" s="216" t="s">
        <v>6711</v>
      </c>
      <c r="B4890" s="218">
        <v>1</v>
      </c>
      <c r="C4890" s="220" t="s">
        <v>6712</v>
      </c>
      <c r="D4890" s="220" t="s">
        <v>50</v>
      </c>
      <c r="E4890" s="165">
        <v>201</v>
      </c>
    </row>
    <row r="4891" spans="1:5" x14ac:dyDescent="0.25">
      <c r="A4891" s="216" t="s">
        <v>6718</v>
      </c>
      <c r="B4891" s="218">
        <v>1</v>
      </c>
      <c r="C4891" s="220" t="s">
        <v>159</v>
      </c>
      <c r="D4891" s="220" t="s">
        <v>130</v>
      </c>
      <c r="E4891" s="165">
        <v>201</v>
      </c>
    </row>
    <row r="4892" spans="1:5" x14ac:dyDescent="0.25">
      <c r="A4892" s="216" t="s">
        <v>6876</v>
      </c>
      <c r="B4892" s="218">
        <v>1</v>
      </c>
      <c r="C4892" s="220" t="s">
        <v>1906</v>
      </c>
      <c r="D4892" s="220" t="s">
        <v>66</v>
      </c>
      <c r="E4892" s="165">
        <v>201</v>
      </c>
    </row>
    <row r="4893" spans="1:5" x14ac:dyDescent="0.25">
      <c r="A4893" s="216" t="s">
        <v>6729</v>
      </c>
      <c r="B4893" s="218">
        <v>1</v>
      </c>
      <c r="C4893" s="220" t="s">
        <v>3439</v>
      </c>
      <c r="D4893" s="220" t="s">
        <v>50</v>
      </c>
      <c r="E4893" s="165">
        <v>201</v>
      </c>
    </row>
    <row r="4894" spans="1:5" x14ac:dyDescent="0.25">
      <c r="A4894" s="216" t="s">
        <v>10637</v>
      </c>
      <c r="B4894" s="218" t="s">
        <v>48</v>
      </c>
      <c r="C4894" s="220" t="s">
        <v>4696</v>
      </c>
      <c r="D4894" s="220" t="s">
        <v>108</v>
      </c>
      <c r="E4894" s="165">
        <v>201</v>
      </c>
    </row>
    <row r="4895" spans="1:5" x14ac:dyDescent="0.25">
      <c r="A4895" s="216" t="s">
        <v>6644</v>
      </c>
      <c r="B4895" s="218">
        <v>1</v>
      </c>
      <c r="C4895" s="220" t="s">
        <v>6645</v>
      </c>
      <c r="D4895" s="220" t="s">
        <v>802</v>
      </c>
      <c r="E4895" s="165">
        <v>201</v>
      </c>
    </row>
    <row r="4896" spans="1:5" x14ac:dyDescent="0.25">
      <c r="A4896" s="216" t="s">
        <v>6647</v>
      </c>
      <c r="B4896" s="218">
        <v>1</v>
      </c>
      <c r="C4896" s="220" t="s">
        <v>6648</v>
      </c>
      <c r="D4896" s="220" t="s">
        <v>113</v>
      </c>
      <c r="E4896" s="165">
        <v>201</v>
      </c>
    </row>
    <row r="4897" spans="1:5" x14ac:dyDescent="0.25">
      <c r="A4897" s="216" t="s">
        <v>5868</v>
      </c>
      <c r="B4897" s="218" t="s">
        <v>48</v>
      </c>
      <c r="C4897" s="220" t="s">
        <v>2203</v>
      </c>
      <c r="D4897" s="220" t="s">
        <v>90</v>
      </c>
      <c r="E4897" s="165">
        <v>201</v>
      </c>
    </row>
    <row r="4898" spans="1:5" x14ac:dyDescent="0.25">
      <c r="A4898" s="216" t="s">
        <v>6828</v>
      </c>
      <c r="B4898" s="218">
        <v>1</v>
      </c>
      <c r="C4898" s="220" t="s">
        <v>121</v>
      </c>
      <c r="D4898" s="220" t="s">
        <v>56</v>
      </c>
      <c r="E4898" s="165">
        <v>201</v>
      </c>
    </row>
    <row r="4899" spans="1:5" x14ac:dyDescent="0.25">
      <c r="A4899" s="216" t="s">
        <v>7052</v>
      </c>
      <c r="B4899" s="218" t="s">
        <v>48</v>
      </c>
      <c r="C4899" s="220" t="s">
        <v>7053</v>
      </c>
      <c r="D4899" s="220" t="s">
        <v>59</v>
      </c>
      <c r="E4899" s="165">
        <v>201</v>
      </c>
    </row>
    <row r="4900" spans="1:5" x14ac:dyDescent="0.25">
      <c r="A4900" s="216" t="s">
        <v>11357</v>
      </c>
      <c r="B4900" s="218">
        <v>1</v>
      </c>
      <c r="C4900" s="220" t="s">
        <v>810</v>
      </c>
      <c r="D4900" s="220" t="s">
        <v>394</v>
      </c>
      <c r="E4900" s="165">
        <v>201</v>
      </c>
    </row>
    <row r="4901" spans="1:5" x14ac:dyDescent="0.25">
      <c r="A4901" s="216" t="s">
        <v>6338</v>
      </c>
      <c r="B4901" s="218" t="s">
        <v>48</v>
      </c>
      <c r="C4901" s="220" t="s">
        <v>3137</v>
      </c>
      <c r="D4901" s="220" t="s">
        <v>50</v>
      </c>
      <c r="E4901" s="165">
        <v>201</v>
      </c>
    </row>
    <row r="4902" spans="1:5" x14ac:dyDescent="0.25">
      <c r="A4902" s="216" t="s">
        <v>6868</v>
      </c>
      <c r="B4902" s="218" t="s">
        <v>48</v>
      </c>
      <c r="C4902" s="220" t="s">
        <v>6869</v>
      </c>
      <c r="D4902" s="220" t="s">
        <v>53</v>
      </c>
      <c r="E4902" s="165">
        <v>201</v>
      </c>
    </row>
    <row r="4903" spans="1:5" x14ac:dyDescent="0.25">
      <c r="A4903" s="216" t="s">
        <v>7309</v>
      </c>
      <c r="B4903" s="218" t="s">
        <v>48</v>
      </c>
      <c r="C4903" s="220" t="s">
        <v>1757</v>
      </c>
      <c r="D4903" s="220" t="s">
        <v>272</v>
      </c>
      <c r="E4903" s="165">
        <v>201</v>
      </c>
    </row>
    <row r="4904" spans="1:5" x14ac:dyDescent="0.25">
      <c r="A4904" s="216" t="s">
        <v>7374</v>
      </c>
      <c r="B4904" s="218">
        <v>1</v>
      </c>
      <c r="C4904" s="220" t="s">
        <v>647</v>
      </c>
      <c r="D4904" s="220" t="s">
        <v>236</v>
      </c>
      <c r="E4904" s="165">
        <v>201</v>
      </c>
    </row>
    <row r="4905" spans="1:5" x14ac:dyDescent="0.25">
      <c r="A4905" s="216" t="s">
        <v>6632</v>
      </c>
      <c r="B4905" s="218">
        <v>1</v>
      </c>
      <c r="C4905" s="220" t="s">
        <v>5941</v>
      </c>
      <c r="D4905" s="220" t="s">
        <v>348</v>
      </c>
      <c r="E4905" s="165">
        <v>200</v>
      </c>
    </row>
    <row r="4906" spans="1:5" x14ac:dyDescent="0.25">
      <c r="A4906" s="216" t="s">
        <v>6985</v>
      </c>
      <c r="B4906" s="218" t="s">
        <v>48</v>
      </c>
      <c r="C4906" s="220" t="s">
        <v>6097</v>
      </c>
      <c r="D4906" s="220" t="s">
        <v>82</v>
      </c>
      <c r="E4906" s="165">
        <v>200</v>
      </c>
    </row>
    <row r="4907" spans="1:5" x14ac:dyDescent="0.25">
      <c r="A4907" s="216" t="s">
        <v>7379</v>
      </c>
      <c r="B4907" s="218" t="s">
        <v>48</v>
      </c>
      <c r="C4907" s="220" t="s">
        <v>3250</v>
      </c>
      <c r="D4907" s="220" t="s">
        <v>98</v>
      </c>
      <c r="E4907" s="165">
        <v>200</v>
      </c>
    </row>
    <row r="4908" spans="1:5" x14ac:dyDescent="0.25">
      <c r="A4908" s="216" t="s">
        <v>6434</v>
      </c>
      <c r="B4908" s="218" t="s">
        <v>48</v>
      </c>
      <c r="C4908" s="220" t="s">
        <v>6435</v>
      </c>
      <c r="D4908" s="220" t="s">
        <v>50</v>
      </c>
      <c r="E4908" s="165">
        <v>200</v>
      </c>
    </row>
    <row r="4909" spans="1:5" x14ac:dyDescent="0.25">
      <c r="A4909" s="216" t="s">
        <v>7058</v>
      </c>
      <c r="B4909" s="218" t="s">
        <v>48</v>
      </c>
      <c r="C4909" s="220" t="s">
        <v>4243</v>
      </c>
      <c r="D4909" s="220" t="s">
        <v>277</v>
      </c>
      <c r="E4909" s="165">
        <v>200</v>
      </c>
    </row>
    <row r="4910" spans="1:5" x14ac:dyDescent="0.25">
      <c r="A4910" s="216" t="s">
        <v>6623</v>
      </c>
      <c r="B4910" s="218" t="s">
        <v>48</v>
      </c>
      <c r="C4910" s="220" t="s">
        <v>135</v>
      </c>
      <c r="D4910" s="220" t="s">
        <v>108</v>
      </c>
      <c r="E4910" s="165">
        <v>200</v>
      </c>
    </row>
    <row r="4911" spans="1:5" x14ac:dyDescent="0.25">
      <c r="A4911" s="216" t="s">
        <v>6832</v>
      </c>
      <c r="B4911" s="218">
        <v>1</v>
      </c>
      <c r="C4911" s="220" t="s">
        <v>1001</v>
      </c>
      <c r="D4911" s="220" t="s">
        <v>188</v>
      </c>
      <c r="E4911" s="165">
        <v>200</v>
      </c>
    </row>
    <row r="4912" spans="1:5" x14ac:dyDescent="0.25">
      <c r="A4912" s="216" t="s">
        <v>10577</v>
      </c>
      <c r="B4912" s="218" t="s">
        <v>48</v>
      </c>
      <c r="C4912" s="220" t="s">
        <v>11358</v>
      </c>
      <c r="D4912" s="220" t="s">
        <v>56</v>
      </c>
      <c r="E4912" s="165">
        <v>200</v>
      </c>
    </row>
    <row r="4913" spans="1:5" x14ac:dyDescent="0.25">
      <c r="A4913" s="216" t="s">
        <v>8401</v>
      </c>
      <c r="B4913" s="218" t="s">
        <v>48</v>
      </c>
      <c r="C4913" s="220" t="s">
        <v>8402</v>
      </c>
      <c r="D4913" s="220" t="s">
        <v>50</v>
      </c>
      <c r="E4913" s="165">
        <v>200</v>
      </c>
    </row>
    <row r="4914" spans="1:5" x14ac:dyDescent="0.25">
      <c r="A4914" s="216" t="s">
        <v>7475</v>
      </c>
      <c r="B4914" s="218" t="s">
        <v>48</v>
      </c>
      <c r="C4914" s="220" t="s">
        <v>505</v>
      </c>
      <c r="D4914" s="220" t="s">
        <v>139</v>
      </c>
      <c r="E4914" s="165">
        <v>200</v>
      </c>
    </row>
    <row r="4915" spans="1:5" x14ac:dyDescent="0.25">
      <c r="A4915" s="216" t="s">
        <v>6926</v>
      </c>
      <c r="B4915" s="218" t="s">
        <v>48</v>
      </c>
      <c r="C4915" s="220" t="s">
        <v>5958</v>
      </c>
      <c r="D4915" s="220" t="s">
        <v>188</v>
      </c>
      <c r="E4915" s="165">
        <v>200</v>
      </c>
    </row>
    <row r="4916" spans="1:5" x14ac:dyDescent="0.25">
      <c r="A4916" s="216" t="s">
        <v>6293</v>
      </c>
      <c r="B4916" s="218" t="s">
        <v>48</v>
      </c>
      <c r="C4916" s="220" t="s">
        <v>709</v>
      </c>
      <c r="D4916" s="220" t="s">
        <v>56</v>
      </c>
      <c r="E4916" s="165">
        <v>200</v>
      </c>
    </row>
    <row r="4917" spans="1:5" x14ac:dyDescent="0.25">
      <c r="A4917" s="216" t="s">
        <v>11359</v>
      </c>
      <c r="B4917" s="218" t="s">
        <v>48</v>
      </c>
      <c r="C4917" s="220" t="s">
        <v>1414</v>
      </c>
      <c r="D4917" s="220" t="s">
        <v>139</v>
      </c>
      <c r="E4917" s="165">
        <v>200</v>
      </c>
    </row>
    <row r="4918" spans="1:5" x14ac:dyDescent="0.25">
      <c r="A4918" s="216" t="s">
        <v>6894</v>
      </c>
      <c r="B4918" s="218" t="s">
        <v>48</v>
      </c>
      <c r="C4918" s="220" t="s">
        <v>1241</v>
      </c>
      <c r="D4918" s="220" t="s">
        <v>166</v>
      </c>
      <c r="E4918" s="165">
        <v>200</v>
      </c>
    </row>
    <row r="4919" spans="1:5" x14ac:dyDescent="0.25">
      <c r="A4919" s="216" t="s">
        <v>7359</v>
      </c>
      <c r="B4919" s="218" t="s">
        <v>48</v>
      </c>
      <c r="C4919" s="220" t="s">
        <v>843</v>
      </c>
      <c r="D4919" s="220" t="s">
        <v>172</v>
      </c>
      <c r="E4919" s="165">
        <v>200</v>
      </c>
    </row>
    <row r="4920" spans="1:5" x14ac:dyDescent="0.25">
      <c r="A4920" s="216" t="s">
        <v>6993</v>
      </c>
      <c r="B4920" s="218">
        <v>1</v>
      </c>
      <c r="C4920" s="220" t="s">
        <v>615</v>
      </c>
      <c r="D4920" s="220" t="s">
        <v>63</v>
      </c>
      <c r="E4920" s="165">
        <v>200</v>
      </c>
    </row>
    <row r="4921" spans="1:5" x14ac:dyDescent="0.25">
      <c r="A4921" s="216" t="s">
        <v>11360</v>
      </c>
      <c r="B4921" s="218">
        <v>1</v>
      </c>
      <c r="C4921" s="220" t="s">
        <v>11361</v>
      </c>
      <c r="D4921" s="220" t="s">
        <v>236</v>
      </c>
      <c r="E4921" s="165">
        <v>200</v>
      </c>
    </row>
    <row r="4922" spans="1:5" x14ac:dyDescent="0.25">
      <c r="A4922" s="216" t="s">
        <v>4564</v>
      </c>
      <c r="B4922" s="218" t="s">
        <v>48</v>
      </c>
      <c r="C4922" s="220" t="s">
        <v>4565</v>
      </c>
      <c r="D4922" s="220" t="s">
        <v>139</v>
      </c>
      <c r="E4922" s="165">
        <v>200</v>
      </c>
    </row>
    <row r="4923" spans="1:5" x14ac:dyDescent="0.25">
      <c r="A4923" s="216" t="s">
        <v>7054</v>
      </c>
      <c r="B4923" s="218">
        <v>1</v>
      </c>
      <c r="C4923" s="220" t="s">
        <v>245</v>
      </c>
      <c r="D4923" s="220" t="s">
        <v>69</v>
      </c>
      <c r="E4923" s="165">
        <v>200</v>
      </c>
    </row>
    <row r="4924" spans="1:5" x14ac:dyDescent="0.25">
      <c r="A4924" s="216" t="s">
        <v>7055</v>
      </c>
      <c r="B4924" s="218">
        <v>1</v>
      </c>
      <c r="C4924" s="220" t="s">
        <v>400</v>
      </c>
      <c r="D4924" s="220" t="s">
        <v>69</v>
      </c>
      <c r="E4924" s="165">
        <v>200</v>
      </c>
    </row>
    <row r="4925" spans="1:5" x14ac:dyDescent="0.25">
      <c r="A4925" s="216" t="s">
        <v>7925</v>
      </c>
      <c r="B4925" s="218" t="s">
        <v>48</v>
      </c>
      <c r="C4925" s="220" t="s">
        <v>7926</v>
      </c>
      <c r="D4925" s="220" t="s">
        <v>59</v>
      </c>
      <c r="E4925" s="165">
        <v>200</v>
      </c>
    </row>
    <row r="4926" spans="1:5" x14ac:dyDescent="0.25">
      <c r="A4926" s="216" t="s">
        <v>9085</v>
      </c>
      <c r="B4926" s="218" t="s">
        <v>48</v>
      </c>
      <c r="C4926" s="220" t="s">
        <v>179</v>
      </c>
      <c r="D4926" s="220" t="s">
        <v>66</v>
      </c>
      <c r="E4926" s="165">
        <v>200</v>
      </c>
    </row>
    <row r="4927" spans="1:5" x14ac:dyDescent="0.25">
      <c r="A4927" s="216" t="s">
        <v>9089</v>
      </c>
      <c r="B4927" s="218" t="s">
        <v>48</v>
      </c>
      <c r="C4927" s="220" t="s">
        <v>6442</v>
      </c>
      <c r="D4927" s="220" t="s">
        <v>72</v>
      </c>
      <c r="E4927" s="165">
        <v>200</v>
      </c>
    </row>
    <row r="4928" spans="1:5" x14ac:dyDescent="0.25">
      <c r="A4928" s="216" t="s">
        <v>11362</v>
      </c>
      <c r="B4928" s="218">
        <v>1</v>
      </c>
      <c r="C4928" s="220" t="s">
        <v>90</v>
      </c>
      <c r="D4928" s="220" t="s">
        <v>441</v>
      </c>
      <c r="E4928" s="165">
        <v>200</v>
      </c>
    </row>
    <row r="4929" spans="1:5" x14ac:dyDescent="0.25">
      <c r="A4929" s="216" t="s">
        <v>6768</v>
      </c>
      <c r="B4929" s="218">
        <v>1</v>
      </c>
      <c r="C4929" s="220" t="s">
        <v>511</v>
      </c>
      <c r="D4929" s="220" t="s">
        <v>50</v>
      </c>
      <c r="E4929" s="165">
        <v>200</v>
      </c>
    </row>
    <row r="4930" spans="1:5" x14ac:dyDescent="0.25">
      <c r="A4930" s="216" t="s">
        <v>6619</v>
      </c>
      <c r="B4930" s="218" t="s">
        <v>48</v>
      </c>
      <c r="C4930" s="220" t="s">
        <v>6620</v>
      </c>
      <c r="D4930" s="220" t="s">
        <v>166</v>
      </c>
      <c r="E4930" s="165">
        <v>200</v>
      </c>
    </row>
    <row r="4931" spans="1:5" x14ac:dyDescent="0.25">
      <c r="A4931" s="216" t="s">
        <v>5696</v>
      </c>
      <c r="B4931" s="218" t="s">
        <v>48</v>
      </c>
      <c r="C4931" s="220" t="s">
        <v>5697</v>
      </c>
      <c r="D4931" s="220" t="s">
        <v>277</v>
      </c>
      <c r="E4931" s="165">
        <v>200</v>
      </c>
    </row>
    <row r="4932" spans="1:5" x14ac:dyDescent="0.25">
      <c r="A4932" s="216" t="s">
        <v>7532</v>
      </c>
      <c r="B4932" s="218">
        <v>1</v>
      </c>
      <c r="C4932" s="220" t="s">
        <v>2765</v>
      </c>
      <c r="D4932" s="220" t="s">
        <v>337</v>
      </c>
      <c r="E4932" s="165">
        <v>200</v>
      </c>
    </row>
    <row r="4933" spans="1:5" x14ac:dyDescent="0.25">
      <c r="A4933" s="216" t="s">
        <v>8490</v>
      </c>
      <c r="B4933" s="218" t="s">
        <v>48</v>
      </c>
      <c r="C4933" s="220" t="s">
        <v>8491</v>
      </c>
      <c r="D4933" s="220" t="s">
        <v>348</v>
      </c>
      <c r="E4933" s="165">
        <v>200</v>
      </c>
    </row>
    <row r="4934" spans="1:5" x14ac:dyDescent="0.25">
      <c r="A4934" s="216" t="s">
        <v>4342</v>
      </c>
      <c r="B4934" s="218" t="s">
        <v>48</v>
      </c>
      <c r="C4934" s="220" t="s">
        <v>1293</v>
      </c>
      <c r="D4934" s="220" t="s">
        <v>166</v>
      </c>
      <c r="E4934" s="165">
        <v>199</v>
      </c>
    </row>
    <row r="4935" spans="1:5" x14ac:dyDescent="0.25">
      <c r="A4935" s="216" t="s">
        <v>6987</v>
      </c>
      <c r="B4935" s="218">
        <v>1</v>
      </c>
      <c r="C4935" s="220" t="s">
        <v>306</v>
      </c>
      <c r="D4935" s="220" t="s">
        <v>63</v>
      </c>
      <c r="E4935" s="165">
        <v>199</v>
      </c>
    </row>
    <row r="4936" spans="1:5" x14ac:dyDescent="0.25">
      <c r="A4936" s="216" t="s">
        <v>7136</v>
      </c>
      <c r="B4936" s="218">
        <v>1</v>
      </c>
      <c r="C4936" s="220" t="s">
        <v>7137</v>
      </c>
      <c r="D4936" s="220" t="s">
        <v>87</v>
      </c>
      <c r="E4936" s="165">
        <v>199</v>
      </c>
    </row>
    <row r="4937" spans="1:5" x14ac:dyDescent="0.25">
      <c r="A4937" s="216" t="s">
        <v>7094</v>
      </c>
      <c r="B4937" s="218">
        <v>1</v>
      </c>
      <c r="C4937" s="220" t="s">
        <v>7095</v>
      </c>
      <c r="D4937" s="220" t="s">
        <v>56</v>
      </c>
      <c r="E4937" s="165">
        <v>199</v>
      </c>
    </row>
    <row r="4938" spans="1:5" x14ac:dyDescent="0.25">
      <c r="A4938" s="216" t="s">
        <v>7666</v>
      </c>
      <c r="B4938" s="218" t="s">
        <v>48</v>
      </c>
      <c r="C4938" s="220" t="s">
        <v>7667</v>
      </c>
      <c r="D4938" s="220" t="s">
        <v>63</v>
      </c>
      <c r="E4938" s="165">
        <v>199</v>
      </c>
    </row>
    <row r="4939" spans="1:5" x14ac:dyDescent="0.25">
      <c r="A4939" s="216" t="s">
        <v>7937</v>
      </c>
      <c r="B4939" s="218">
        <v>1</v>
      </c>
      <c r="C4939" s="220" t="s">
        <v>2277</v>
      </c>
      <c r="D4939" s="220" t="s">
        <v>118</v>
      </c>
      <c r="E4939" s="165">
        <v>199</v>
      </c>
    </row>
    <row r="4940" spans="1:5" x14ac:dyDescent="0.25">
      <c r="A4940" s="216" t="s">
        <v>7099</v>
      </c>
      <c r="B4940" s="218">
        <v>1</v>
      </c>
      <c r="C4940" s="220" t="s">
        <v>7100</v>
      </c>
      <c r="D4940" s="220" t="s">
        <v>56</v>
      </c>
      <c r="E4940" s="165">
        <v>199</v>
      </c>
    </row>
    <row r="4941" spans="1:5" x14ac:dyDescent="0.25">
      <c r="A4941" s="216" t="s">
        <v>7518</v>
      </c>
      <c r="B4941" s="218" t="s">
        <v>48</v>
      </c>
      <c r="C4941" s="220" t="s">
        <v>1788</v>
      </c>
      <c r="D4941" s="220" t="s">
        <v>59</v>
      </c>
      <c r="E4941" s="165">
        <v>199</v>
      </c>
    </row>
    <row r="4942" spans="1:5" x14ac:dyDescent="0.25">
      <c r="A4942" s="216" t="s">
        <v>7403</v>
      </c>
      <c r="B4942" s="218" t="s">
        <v>48</v>
      </c>
      <c r="C4942" s="220" t="s">
        <v>183</v>
      </c>
      <c r="D4942" s="220" t="s">
        <v>59</v>
      </c>
      <c r="E4942" s="165">
        <v>199</v>
      </c>
    </row>
    <row r="4943" spans="1:5" x14ac:dyDescent="0.25">
      <c r="A4943" s="216" t="s">
        <v>11363</v>
      </c>
      <c r="B4943" s="218">
        <v>1</v>
      </c>
      <c r="C4943" s="220" t="s">
        <v>1755</v>
      </c>
      <c r="D4943" s="220" t="s">
        <v>188</v>
      </c>
      <c r="E4943" s="165">
        <v>199</v>
      </c>
    </row>
    <row r="4944" spans="1:5" x14ac:dyDescent="0.25">
      <c r="A4944" s="216" t="s">
        <v>7510</v>
      </c>
      <c r="B4944" s="218" t="s">
        <v>48</v>
      </c>
      <c r="C4944" s="220" t="s">
        <v>2499</v>
      </c>
      <c r="D4944" s="220" t="s">
        <v>82</v>
      </c>
      <c r="E4944" s="165">
        <v>199</v>
      </c>
    </row>
    <row r="4945" spans="1:5" x14ac:dyDescent="0.25">
      <c r="A4945" s="216" t="s">
        <v>6241</v>
      </c>
      <c r="B4945" s="218">
        <v>1</v>
      </c>
      <c r="C4945" s="220" t="s">
        <v>6242</v>
      </c>
      <c r="D4945" s="220" t="s">
        <v>50</v>
      </c>
      <c r="E4945" s="165">
        <v>198</v>
      </c>
    </row>
    <row r="4946" spans="1:5" x14ac:dyDescent="0.25">
      <c r="A4946" s="216" t="s">
        <v>7773</v>
      </c>
      <c r="B4946" s="218">
        <v>1</v>
      </c>
      <c r="C4946" s="220" t="s">
        <v>6444</v>
      </c>
      <c r="D4946" s="220" t="s">
        <v>130</v>
      </c>
      <c r="E4946" s="165">
        <v>198</v>
      </c>
    </row>
    <row r="4947" spans="1:5" x14ac:dyDescent="0.25">
      <c r="A4947" s="216" t="s">
        <v>6161</v>
      </c>
      <c r="B4947" s="218" t="s">
        <v>48</v>
      </c>
      <c r="C4947" s="220" t="s">
        <v>6162</v>
      </c>
      <c r="D4947" s="220" t="s">
        <v>82</v>
      </c>
      <c r="E4947" s="165">
        <v>198</v>
      </c>
    </row>
    <row r="4948" spans="1:5" x14ac:dyDescent="0.25">
      <c r="A4948" s="216" t="s">
        <v>6255</v>
      </c>
      <c r="B4948" s="218">
        <v>1</v>
      </c>
      <c r="C4948" s="220" t="s">
        <v>5416</v>
      </c>
      <c r="D4948" s="220" t="s">
        <v>277</v>
      </c>
      <c r="E4948" s="165">
        <v>198</v>
      </c>
    </row>
    <row r="4949" spans="1:5" x14ac:dyDescent="0.25">
      <c r="A4949" s="216" t="s">
        <v>6944</v>
      </c>
      <c r="B4949" s="218">
        <v>1</v>
      </c>
      <c r="C4949" s="220" t="s">
        <v>6945</v>
      </c>
      <c r="D4949" s="220" t="s">
        <v>66</v>
      </c>
      <c r="E4949" s="165">
        <v>198</v>
      </c>
    </row>
    <row r="4950" spans="1:5" x14ac:dyDescent="0.25">
      <c r="A4950" s="216" t="s">
        <v>6847</v>
      </c>
      <c r="B4950" s="218" t="s">
        <v>48</v>
      </c>
      <c r="C4950" s="220" t="s">
        <v>6848</v>
      </c>
      <c r="D4950" s="220" t="s">
        <v>166</v>
      </c>
      <c r="E4950" s="165">
        <v>198</v>
      </c>
    </row>
    <row r="4951" spans="1:5" x14ac:dyDescent="0.25">
      <c r="A4951" s="216" t="s">
        <v>6256</v>
      </c>
      <c r="B4951" s="218">
        <v>1</v>
      </c>
      <c r="C4951" s="220" t="s">
        <v>3119</v>
      </c>
      <c r="D4951" s="220" t="s">
        <v>277</v>
      </c>
      <c r="E4951" s="165">
        <v>198</v>
      </c>
    </row>
    <row r="4952" spans="1:5" x14ac:dyDescent="0.25">
      <c r="A4952" s="216" t="s">
        <v>7176</v>
      </c>
      <c r="B4952" s="218" t="s">
        <v>48</v>
      </c>
      <c r="C4952" s="220" t="s">
        <v>7177</v>
      </c>
      <c r="D4952" s="220" t="s">
        <v>56</v>
      </c>
      <c r="E4952" s="165">
        <v>198</v>
      </c>
    </row>
    <row r="4953" spans="1:5" x14ac:dyDescent="0.25">
      <c r="A4953" s="216" t="s">
        <v>7025</v>
      </c>
      <c r="B4953" s="218">
        <v>1</v>
      </c>
      <c r="C4953" s="220" t="s">
        <v>7026</v>
      </c>
      <c r="D4953" s="220" t="s">
        <v>63</v>
      </c>
      <c r="E4953" s="165">
        <v>198</v>
      </c>
    </row>
    <row r="4954" spans="1:5" x14ac:dyDescent="0.25">
      <c r="A4954" s="216" t="s">
        <v>7162</v>
      </c>
      <c r="B4954" s="218">
        <v>1</v>
      </c>
      <c r="C4954" s="220" t="s">
        <v>5802</v>
      </c>
      <c r="D4954" s="220" t="s">
        <v>188</v>
      </c>
      <c r="E4954" s="165">
        <v>198</v>
      </c>
    </row>
    <row r="4955" spans="1:5" x14ac:dyDescent="0.25">
      <c r="A4955" s="216" t="s">
        <v>7039</v>
      </c>
      <c r="B4955" s="218">
        <v>1</v>
      </c>
      <c r="C4955" s="220" t="s">
        <v>7040</v>
      </c>
      <c r="D4955" s="220" t="s">
        <v>50</v>
      </c>
      <c r="E4955" s="165">
        <v>198</v>
      </c>
    </row>
    <row r="4956" spans="1:5" x14ac:dyDescent="0.25">
      <c r="A4956" s="216" t="s">
        <v>5593</v>
      </c>
      <c r="B4956" s="218" t="s">
        <v>48</v>
      </c>
      <c r="C4956" s="220" t="s">
        <v>2274</v>
      </c>
      <c r="D4956" s="220" t="s">
        <v>90</v>
      </c>
      <c r="E4956" s="165">
        <v>198</v>
      </c>
    </row>
    <row r="4957" spans="1:5" x14ac:dyDescent="0.25">
      <c r="A4957" s="216" t="s">
        <v>7043</v>
      </c>
      <c r="B4957" s="218">
        <v>1</v>
      </c>
      <c r="C4957" s="220" t="s">
        <v>7044</v>
      </c>
      <c r="D4957" s="220" t="s">
        <v>50</v>
      </c>
      <c r="E4957" s="165">
        <v>198</v>
      </c>
    </row>
    <row r="4958" spans="1:5" x14ac:dyDescent="0.25">
      <c r="A4958" s="216" t="s">
        <v>6854</v>
      </c>
      <c r="B4958" s="218">
        <v>1</v>
      </c>
      <c r="C4958" s="220" t="s">
        <v>4369</v>
      </c>
      <c r="D4958" s="220" t="s">
        <v>98</v>
      </c>
      <c r="E4958" s="165">
        <v>198</v>
      </c>
    </row>
    <row r="4959" spans="1:5" x14ac:dyDescent="0.25">
      <c r="A4959" s="216" t="s">
        <v>6251</v>
      </c>
      <c r="B4959" s="218">
        <v>1</v>
      </c>
      <c r="C4959" s="220" t="s">
        <v>4051</v>
      </c>
      <c r="D4959" s="220" t="s">
        <v>50</v>
      </c>
      <c r="E4959" s="165">
        <v>198</v>
      </c>
    </row>
    <row r="4960" spans="1:5" x14ac:dyDescent="0.25">
      <c r="A4960" s="216" t="s">
        <v>2281</v>
      </c>
      <c r="B4960" s="218" t="s">
        <v>48</v>
      </c>
      <c r="C4960" s="220" t="s">
        <v>2282</v>
      </c>
      <c r="D4960" s="220" t="s">
        <v>206</v>
      </c>
      <c r="E4960" s="165">
        <v>198</v>
      </c>
    </row>
    <row r="4961" spans="1:5" x14ac:dyDescent="0.25">
      <c r="A4961" s="216" t="s">
        <v>6261</v>
      </c>
      <c r="B4961" s="218">
        <v>1</v>
      </c>
      <c r="C4961" s="220" t="s">
        <v>6262</v>
      </c>
      <c r="D4961" s="220" t="s">
        <v>277</v>
      </c>
      <c r="E4961" s="165">
        <v>198</v>
      </c>
    </row>
    <row r="4962" spans="1:5" x14ac:dyDescent="0.25">
      <c r="A4962" s="216" t="s">
        <v>6253</v>
      </c>
      <c r="B4962" s="218">
        <v>1</v>
      </c>
      <c r="C4962" s="220" t="s">
        <v>568</v>
      </c>
      <c r="D4962" s="220" t="s">
        <v>50</v>
      </c>
      <c r="E4962" s="165">
        <v>198</v>
      </c>
    </row>
    <row r="4963" spans="1:5" x14ac:dyDescent="0.25">
      <c r="A4963" s="216" t="s">
        <v>8040</v>
      </c>
      <c r="B4963" s="218" t="s">
        <v>48</v>
      </c>
      <c r="C4963" s="220" t="s">
        <v>2505</v>
      </c>
      <c r="D4963" s="220" t="s">
        <v>59</v>
      </c>
      <c r="E4963" s="165">
        <v>197</v>
      </c>
    </row>
    <row r="4964" spans="1:5" x14ac:dyDescent="0.25">
      <c r="A4964" s="216" t="s">
        <v>6804</v>
      </c>
      <c r="B4964" s="218">
        <v>1</v>
      </c>
      <c r="C4964" s="220" t="s">
        <v>1852</v>
      </c>
      <c r="D4964" s="220" t="s">
        <v>277</v>
      </c>
      <c r="E4964" s="165">
        <v>197</v>
      </c>
    </row>
    <row r="4965" spans="1:5" x14ac:dyDescent="0.25">
      <c r="A4965" s="216" t="s">
        <v>3503</v>
      </c>
      <c r="B4965" s="218">
        <v>1</v>
      </c>
      <c r="C4965" s="220" t="s">
        <v>1349</v>
      </c>
      <c r="D4965" s="220" t="s">
        <v>56</v>
      </c>
      <c r="E4965" s="165">
        <v>197</v>
      </c>
    </row>
    <row r="4966" spans="1:5" x14ac:dyDescent="0.25">
      <c r="A4966" s="216" t="s">
        <v>7190</v>
      </c>
      <c r="B4966" s="218" t="s">
        <v>48</v>
      </c>
      <c r="C4966" s="220" t="s">
        <v>6613</v>
      </c>
      <c r="D4966" s="220" t="s">
        <v>378</v>
      </c>
      <c r="E4966" s="165">
        <v>197</v>
      </c>
    </row>
    <row r="4967" spans="1:5" x14ac:dyDescent="0.25">
      <c r="A4967" s="216" t="s">
        <v>7097</v>
      </c>
      <c r="B4967" s="218">
        <v>1</v>
      </c>
      <c r="C4967" s="220" t="s">
        <v>270</v>
      </c>
      <c r="D4967" s="220" t="s">
        <v>177</v>
      </c>
      <c r="E4967" s="165">
        <v>197</v>
      </c>
    </row>
    <row r="4968" spans="1:5" x14ac:dyDescent="0.25">
      <c r="A4968" s="216" t="s">
        <v>7068</v>
      </c>
      <c r="B4968" s="218" t="s">
        <v>48</v>
      </c>
      <c r="C4968" s="220" t="s">
        <v>7069</v>
      </c>
      <c r="D4968" s="220" t="s">
        <v>124</v>
      </c>
      <c r="E4968" s="165">
        <v>197</v>
      </c>
    </row>
    <row r="4969" spans="1:5" x14ac:dyDescent="0.25">
      <c r="A4969" s="216" t="s">
        <v>5952</v>
      </c>
      <c r="B4969" s="218" t="s">
        <v>48</v>
      </c>
      <c r="C4969" s="220" t="s">
        <v>1293</v>
      </c>
      <c r="D4969" s="220" t="s">
        <v>166</v>
      </c>
      <c r="E4969" s="165">
        <v>197</v>
      </c>
    </row>
    <row r="4970" spans="1:5" x14ac:dyDescent="0.25">
      <c r="A4970" s="216" t="s">
        <v>6953</v>
      </c>
      <c r="B4970" s="218">
        <v>1</v>
      </c>
      <c r="C4970" s="220" t="s">
        <v>6954</v>
      </c>
      <c r="D4970" s="220" t="s">
        <v>192</v>
      </c>
      <c r="E4970" s="165">
        <v>197</v>
      </c>
    </row>
    <row r="4971" spans="1:5" x14ac:dyDescent="0.25">
      <c r="A4971" s="216" t="s">
        <v>9347</v>
      </c>
      <c r="B4971" s="218" t="s">
        <v>48</v>
      </c>
      <c r="C4971" s="220" t="s">
        <v>9348</v>
      </c>
      <c r="D4971" s="220" t="s">
        <v>166</v>
      </c>
      <c r="E4971" s="165">
        <v>197</v>
      </c>
    </row>
    <row r="4972" spans="1:5" x14ac:dyDescent="0.25">
      <c r="A4972" s="216" t="s">
        <v>6986</v>
      </c>
      <c r="B4972" s="218">
        <v>1</v>
      </c>
      <c r="C4972" s="220" t="s">
        <v>483</v>
      </c>
      <c r="D4972" s="220" t="s">
        <v>98</v>
      </c>
      <c r="E4972" s="165">
        <v>196</v>
      </c>
    </row>
    <row r="4973" spans="1:5" x14ac:dyDescent="0.25">
      <c r="A4973" s="216" t="s">
        <v>11364</v>
      </c>
      <c r="B4973" s="218">
        <v>1</v>
      </c>
      <c r="C4973" s="220" t="s">
        <v>283</v>
      </c>
      <c r="D4973" s="220" t="s">
        <v>59</v>
      </c>
      <c r="E4973" s="165">
        <v>196</v>
      </c>
    </row>
    <row r="4974" spans="1:5" x14ac:dyDescent="0.25">
      <c r="A4974" s="216" t="s">
        <v>11365</v>
      </c>
      <c r="B4974" s="218">
        <v>1</v>
      </c>
      <c r="C4974" s="220" t="s">
        <v>1534</v>
      </c>
      <c r="D4974" s="220" t="s">
        <v>139</v>
      </c>
      <c r="E4974" s="165">
        <v>196</v>
      </c>
    </row>
    <row r="4975" spans="1:5" x14ac:dyDescent="0.25">
      <c r="A4975" s="216" t="s">
        <v>11366</v>
      </c>
      <c r="B4975" s="218">
        <v>1</v>
      </c>
      <c r="C4975" s="220" t="s">
        <v>279</v>
      </c>
      <c r="D4975" s="220" t="s">
        <v>127</v>
      </c>
      <c r="E4975" s="165">
        <v>196</v>
      </c>
    </row>
    <row r="4976" spans="1:5" x14ac:dyDescent="0.25">
      <c r="A4976" s="216" t="s">
        <v>6666</v>
      </c>
      <c r="B4976" s="218">
        <v>1</v>
      </c>
      <c r="C4976" s="220" t="s">
        <v>6200</v>
      </c>
      <c r="D4976" s="220" t="s">
        <v>130</v>
      </c>
      <c r="E4976" s="165">
        <v>196</v>
      </c>
    </row>
    <row r="4977" spans="1:5" x14ac:dyDescent="0.25">
      <c r="A4977" s="216" t="s">
        <v>6950</v>
      </c>
      <c r="B4977" s="218">
        <v>1</v>
      </c>
      <c r="C4977" s="220" t="s">
        <v>110</v>
      </c>
      <c r="D4977" s="220" t="s">
        <v>69</v>
      </c>
      <c r="E4977" s="165">
        <v>196</v>
      </c>
    </row>
    <row r="4978" spans="1:5" x14ac:dyDescent="0.25">
      <c r="A4978" s="216" t="s">
        <v>6498</v>
      </c>
      <c r="B4978" s="218">
        <v>1</v>
      </c>
      <c r="C4978" s="220" t="s">
        <v>6499</v>
      </c>
      <c r="D4978" s="220" t="s">
        <v>139</v>
      </c>
      <c r="E4978" s="165">
        <v>196</v>
      </c>
    </row>
    <row r="4979" spans="1:5" x14ac:dyDescent="0.25">
      <c r="A4979" s="216" t="s">
        <v>6745</v>
      </c>
      <c r="B4979" s="218">
        <v>1</v>
      </c>
      <c r="C4979" s="220" t="s">
        <v>6746</v>
      </c>
      <c r="D4979" s="220" t="s">
        <v>93</v>
      </c>
      <c r="E4979" s="165">
        <v>196</v>
      </c>
    </row>
    <row r="4980" spans="1:5" x14ac:dyDescent="0.25">
      <c r="A4980" s="216" t="s">
        <v>4459</v>
      </c>
      <c r="B4980" s="218">
        <v>1</v>
      </c>
      <c r="C4980" s="220" t="s">
        <v>2505</v>
      </c>
      <c r="D4980" s="220" t="s">
        <v>575</v>
      </c>
      <c r="E4980" s="165">
        <v>196</v>
      </c>
    </row>
    <row r="4981" spans="1:5" x14ac:dyDescent="0.25">
      <c r="A4981" s="216" t="s">
        <v>6748</v>
      </c>
      <c r="B4981" s="218">
        <v>1</v>
      </c>
      <c r="C4981" s="220" t="s">
        <v>6749</v>
      </c>
      <c r="D4981" s="220" t="s">
        <v>93</v>
      </c>
      <c r="E4981" s="165">
        <v>196</v>
      </c>
    </row>
    <row r="4982" spans="1:5" x14ac:dyDescent="0.25">
      <c r="A4982" s="216" t="s">
        <v>7235</v>
      </c>
      <c r="B4982" s="218">
        <v>1</v>
      </c>
      <c r="C4982" s="220" t="s">
        <v>2345</v>
      </c>
      <c r="D4982" s="220" t="s">
        <v>139</v>
      </c>
      <c r="E4982" s="165">
        <v>196</v>
      </c>
    </row>
    <row r="4983" spans="1:5" x14ac:dyDescent="0.25">
      <c r="A4983" s="216" t="s">
        <v>6105</v>
      </c>
      <c r="B4983" s="218" t="s">
        <v>48</v>
      </c>
      <c r="C4983" s="220" t="s">
        <v>6106</v>
      </c>
      <c r="D4983" s="220" t="s">
        <v>63</v>
      </c>
      <c r="E4983" s="165">
        <v>196</v>
      </c>
    </row>
    <row r="4984" spans="1:5" x14ac:dyDescent="0.25">
      <c r="A4984" s="216" t="s">
        <v>11367</v>
      </c>
      <c r="B4984" s="218">
        <v>1</v>
      </c>
      <c r="C4984" s="220" t="s">
        <v>274</v>
      </c>
      <c r="D4984" s="220" t="s">
        <v>188</v>
      </c>
      <c r="E4984" s="165">
        <v>196</v>
      </c>
    </row>
    <row r="4985" spans="1:5" x14ac:dyDescent="0.25">
      <c r="A4985" s="216" t="s">
        <v>8016</v>
      </c>
      <c r="B4985" s="218">
        <v>1</v>
      </c>
      <c r="C4985" s="220" t="s">
        <v>479</v>
      </c>
      <c r="D4985" s="220" t="s">
        <v>575</v>
      </c>
      <c r="E4985" s="165">
        <v>195</v>
      </c>
    </row>
    <row r="4986" spans="1:5" x14ac:dyDescent="0.25">
      <c r="A4986" s="216" t="s">
        <v>7181</v>
      </c>
      <c r="B4986" s="218">
        <v>1</v>
      </c>
      <c r="C4986" s="220" t="s">
        <v>889</v>
      </c>
      <c r="D4986" s="220" t="s">
        <v>188</v>
      </c>
      <c r="E4986" s="165">
        <v>195</v>
      </c>
    </row>
    <row r="4987" spans="1:5" x14ac:dyDescent="0.25">
      <c r="A4987" s="216" t="s">
        <v>10208</v>
      </c>
      <c r="B4987" s="218">
        <v>1</v>
      </c>
      <c r="C4987" s="220" t="s">
        <v>390</v>
      </c>
      <c r="D4987" s="220" t="s">
        <v>188</v>
      </c>
      <c r="E4987" s="165">
        <v>195</v>
      </c>
    </row>
    <row r="4988" spans="1:5" x14ac:dyDescent="0.25">
      <c r="A4988" s="216" t="s">
        <v>11368</v>
      </c>
      <c r="B4988" s="218">
        <v>1</v>
      </c>
      <c r="C4988" s="220" t="s">
        <v>63</v>
      </c>
      <c r="D4988" s="220" t="s">
        <v>63</v>
      </c>
      <c r="E4988" s="165">
        <v>195</v>
      </c>
    </row>
    <row r="4989" spans="1:5" x14ac:dyDescent="0.25">
      <c r="A4989" s="216" t="s">
        <v>6889</v>
      </c>
      <c r="B4989" s="218" t="s">
        <v>48</v>
      </c>
      <c r="C4989" s="220" t="s">
        <v>6890</v>
      </c>
      <c r="D4989" s="220" t="s">
        <v>188</v>
      </c>
      <c r="E4989" s="165">
        <v>195</v>
      </c>
    </row>
    <row r="4990" spans="1:5" x14ac:dyDescent="0.25">
      <c r="A4990" s="216" t="s">
        <v>7634</v>
      </c>
      <c r="B4990" s="218">
        <v>1</v>
      </c>
      <c r="C4990" s="220" t="s">
        <v>7635</v>
      </c>
      <c r="D4990" s="220" t="s">
        <v>93</v>
      </c>
      <c r="E4990" s="165">
        <v>195</v>
      </c>
    </row>
    <row r="4991" spans="1:5" x14ac:dyDescent="0.25">
      <c r="A4991" s="216" t="s">
        <v>8673</v>
      </c>
      <c r="B4991" s="218">
        <v>1</v>
      </c>
      <c r="C4991" s="220" t="s">
        <v>8674</v>
      </c>
      <c r="D4991" s="220" t="s">
        <v>59</v>
      </c>
      <c r="E4991" s="165">
        <v>195</v>
      </c>
    </row>
    <row r="4992" spans="1:5" x14ac:dyDescent="0.25">
      <c r="A4992" s="216" t="s">
        <v>11369</v>
      </c>
      <c r="B4992" s="218">
        <v>1</v>
      </c>
      <c r="C4992" s="220" t="s">
        <v>1610</v>
      </c>
      <c r="D4992" s="220" t="s">
        <v>166</v>
      </c>
      <c r="E4992" s="165">
        <v>195</v>
      </c>
    </row>
    <row r="4993" spans="1:5" x14ac:dyDescent="0.25">
      <c r="A4993" s="216" t="s">
        <v>9506</v>
      </c>
      <c r="B4993" s="218">
        <v>1</v>
      </c>
      <c r="C4993" s="220" t="s">
        <v>9507</v>
      </c>
      <c r="D4993" s="220" t="s">
        <v>277</v>
      </c>
      <c r="E4993" s="165">
        <v>195</v>
      </c>
    </row>
    <row r="4994" spans="1:5" x14ac:dyDescent="0.25">
      <c r="A4994" s="216" t="s">
        <v>7705</v>
      </c>
      <c r="B4994" s="218">
        <v>1</v>
      </c>
      <c r="C4994" s="220" t="s">
        <v>3423</v>
      </c>
      <c r="D4994" s="220" t="s">
        <v>69</v>
      </c>
      <c r="E4994" s="165">
        <v>195</v>
      </c>
    </row>
    <row r="4995" spans="1:5" x14ac:dyDescent="0.25">
      <c r="A4995" s="216" t="s">
        <v>9396</v>
      </c>
      <c r="B4995" s="218">
        <v>1</v>
      </c>
      <c r="C4995" s="220" t="s">
        <v>4321</v>
      </c>
      <c r="D4995" s="220" t="s">
        <v>69</v>
      </c>
      <c r="E4995" s="165">
        <v>195</v>
      </c>
    </row>
    <row r="4996" spans="1:5" x14ac:dyDescent="0.25">
      <c r="A4996" s="216" t="s">
        <v>6794</v>
      </c>
      <c r="B4996" s="218">
        <v>1</v>
      </c>
      <c r="C4996" s="220" t="s">
        <v>6795</v>
      </c>
      <c r="D4996" s="220" t="s">
        <v>127</v>
      </c>
      <c r="E4996" s="165">
        <v>195</v>
      </c>
    </row>
    <row r="4997" spans="1:5" x14ac:dyDescent="0.25">
      <c r="A4997" s="216" t="s">
        <v>3936</v>
      </c>
      <c r="B4997" s="218" t="s">
        <v>48</v>
      </c>
      <c r="C4997" s="220" t="s">
        <v>285</v>
      </c>
      <c r="D4997" s="220" t="s">
        <v>59</v>
      </c>
      <c r="E4997" s="165">
        <v>195</v>
      </c>
    </row>
    <row r="4998" spans="1:5" x14ac:dyDescent="0.25">
      <c r="A4998" s="216" t="s">
        <v>7674</v>
      </c>
      <c r="B4998" s="218">
        <v>1</v>
      </c>
      <c r="C4998" s="220" t="s">
        <v>7675</v>
      </c>
      <c r="D4998" s="220" t="s">
        <v>139</v>
      </c>
      <c r="E4998" s="165">
        <v>195</v>
      </c>
    </row>
    <row r="4999" spans="1:5" x14ac:dyDescent="0.25">
      <c r="A4999" s="216" t="s">
        <v>10271</v>
      </c>
      <c r="B4999" s="218">
        <v>1</v>
      </c>
      <c r="C4999" s="220" t="s">
        <v>1416</v>
      </c>
      <c r="D4999" s="220" t="s">
        <v>523</v>
      </c>
      <c r="E4999" s="165">
        <v>195</v>
      </c>
    </row>
    <row r="5000" spans="1:5" x14ac:dyDescent="0.25">
      <c r="A5000" s="216" t="s">
        <v>7641</v>
      </c>
      <c r="B5000" s="218" t="s">
        <v>48</v>
      </c>
      <c r="C5000" s="220" t="s">
        <v>4646</v>
      </c>
      <c r="D5000" s="220" t="s">
        <v>56</v>
      </c>
      <c r="E5000" s="165">
        <v>195</v>
      </c>
    </row>
    <row r="5001" spans="1:5" x14ac:dyDescent="0.25">
      <c r="A5001" s="216" t="s">
        <v>7740</v>
      </c>
      <c r="B5001" s="218">
        <v>1</v>
      </c>
      <c r="C5001" s="220" t="s">
        <v>6496</v>
      </c>
      <c r="D5001" s="220" t="s">
        <v>56</v>
      </c>
      <c r="E5001" s="165">
        <v>195</v>
      </c>
    </row>
    <row r="5002" spans="1:5" x14ac:dyDescent="0.25">
      <c r="A5002" s="216" t="s">
        <v>8243</v>
      </c>
      <c r="B5002" s="218">
        <v>1</v>
      </c>
      <c r="C5002" s="220" t="s">
        <v>877</v>
      </c>
      <c r="D5002" s="220" t="s">
        <v>78</v>
      </c>
      <c r="E5002" s="165">
        <v>195</v>
      </c>
    </row>
    <row r="5003" spans="1:5" x14ac:dyDescent="0.25">
      <c r="A5003" s="216" t="s">
        <v>7398</v>
      </c>
      <c r="B5003" s="218" t="s">
        <v>48</v>
      </c>
      <c r="C5003" s="220" t="s">
        <v>2999</v>
      </c>
      <c r="D5003" s="220" t="s">
        <v>90</v>
      </c>
      <c r="E5003" s="165">
        <v>195</v>
      </c>
    </row>
    <row r="5004" spans="1:5" x14ac:dyDescent="0.25">
      <c r="A5004" s="216" t="s">
        <v>8313</v>
      </c>
      <c r="B5004" s="218">
        <v>1</v>
      </c>
      <c r="C5004" s="220" t="s">
        <v>2822</v>
      </c>
      <c r="D5004" s="220" t="s">
        <v>172</v>
      </c>
      <c r="E5004" s="165">
        <v>195</v>
      </c>
    </row>
    <row r="5005" spans="1:5" x14ac:dyDescent="0.25">
      <c r="A5005" s="216" t="s">
        <v>8531</v>
      </c>
      <c r="B5005" s="218">
        <v>1</v>
      </c>
      <c r="C5005" s="220" t="s">
        <v>8532</v>
      </c>
      <c r="D5005" s="220" t="s">
        <v>50</v>
      </c>
      <c r="E5005" s="165">
        <v>195</v>
      </c>
    </row>
    <row r="5006" spans="1:5" x14ac:dyDescent="0.25">
      <c r="A5006" s="216" t="s">
        <v>7898</v>
      </c>
      <c r="B5006" s="218">
        <v>1</v>
      </c>
      <c r="C5006" s="220" t="s">
        <v>782</v>
      </c>
      <c r="D5006" s="220" t="s">
        <v>59</v>
      </c>
      <c r="E5006" s="165">
        <v>195</v>
      </c>
    </row>
    <row r="5007" spans="1:5" x14ac:dyDescent="0.25">
      <c r="A5007" s="216" t="s">
        <v>7449</v>
      </c>
      <c r="B5007" s="218" t="s">
        <v>48</v>
      </c>
      <c r="C5007" s="220" t="s">
        <v>7116</v>
      </c>
      <c r="D5007" s="220" t="s">
        <v>108</v>
      </c>
      <c r="E5007" s="165">
        <v>195</v>
      </c>
    </row>
    <row r="5008" spans="1:5" x14ac:dyDescent="0.25">
      <c r="A5008" s="216" t="s">
        <v>6621</v>
      </c>
      <c r="B5008" s="218" t="s">
        <v>48</v>
      </c>
      <c r="C5008" s="220" t="s">
        <v>3267</v>
      </c>
      <c r="D5008" s="220" t="s">
        <v>90</v>
      </c>
      <c r="E5008" s="165">
        <v>195</v>
      </c>
    </row>
    <row r="5009" spans="1:5" x14ac:dyDescent="0.25">
      <c r="A5009" s="216" t="s">
        <v>7082</v>
      </c>
      <c r="B5009" s="218">
        <v>1</v>
      </c>
      <c r="C5009" s="220" t="s">
        <v>7083</v>
      </c>
      <c r="D5009" s="220" t="s">
        <v>63</v>
      </c>
      <c r="E5009" s="165">
        <v>195</v>
      </c>
    </row>
    <row r="5010" spans="1:5" x14ac:dyDescent="0.25">
      <c r="A5010" s="216" t="s">
        <v>8395</v>
      </c>
      <c r="B5010" s="218">
        <v>1</v>
      </c>
      <c r="C5010" s="220" t="s">
        <v>6693</v>
      </c>
      <c r="D5010" s="220" t="s">
        <v>63</v>
      </c>
      <c r="E5010" s="165">
        <v>195</v>
      </c>
    </row>
    <row r="5011" spans="1:5" x14ac:dyDescent="0.25">
      <c r="A5011" s="216" t="s">
        <v>1679</v>
      </c>
      <c r="B5011" s="218" t="s">
        <v>48</v>
      </c>
      <c r="C5011" s="220" t="s">
        <v>1680</v>
      </c>
      <c r="D5011" s="220" t="s">
        <v>59</v>
      </c>
      <c r="E5011" s="165">
        <v>195</v>
      </c>
    </row>
    <row r="5012" spans="1:5" x14ac:dyDescent="0.25">
      <c r="A5012" s="216" t="s">
        <v>6870</v>
      </c>
      <c r="B5012" s="218" t="s">
        <v>48</v>
      </c>
      <c r="C5012" s="220" t="s">
        <v>1536</v>
      </c>
      <c r="D5012" s="220" t="s">
        <v>201</v>
      </c>
      <c r="E5012" s="165">
        <v>195</v>
      </c>
    </row>
    <row r="5013" spans="1:5" x14ac:dyDescent="0.25">
      <c r="A5013" s="216" t="s">
        <v>6819</v>
      </c>
      <c r="B5013" s="218">
        <v>1</v>
      </c>
      <c r="C5013" s="220" t="s">
        <v>6820</v>
      </c>
      <c r="D5013" s="220" t="s">
        <v>192</v>
      </c>
      <c r="E5013" s="165">
        <v>194</v>
      </c>
    </row>
    <row r="5014" spans="1:5" x14ac:dyDescent="0.25">
      <c r="A5014" s="216" t="s">
        <v>6762</v>
      </c>
      <c r="B5014" s="218" t="s">
        <v>48</v>
      </c>
      <c r="C5014" s="220" t="s">
        <v>6763</v>
      </c>
      <c r="D5014" s="220" t="s">
        <v>277</v>
      </c>
      <c r="E5014" s="165">
        <v>194</v>
      </c>
    </row>
    <row r="5015" spans="1:5" x14ac:dyDescent="0.25">
      <c r="A5015" s="216" t="s">
        <v>6556</v>
      </c>
      <c r="B5015" s="218">
        <v>1</v>
      </c>
      <c r="C5015" s="220" t="s">
        <v>133</v>
      </c>
      <c r="D5015" s="220" t="s">
        <v>93</v>
      </c>
      <c r="E5015" s="165">
        <v>194</v>
      </c>
    </row>
    <row r="5016" spans="1:5" x14ac:dyDescent="0.25">
      <c r="A5016" s="216" t="s">
        <v>7180</v>
      </c>
      <c r="B5016" s="218">
        <v>1</v>
      </c>
      <c r="C5016" s="220" t="s">
        <v>4478</v>
      </c>
      <c r="D5016" s="220" t="s">
        <v>56</v>
      </c>
      <c r="E5016" s="165">
        <v>194</v>
      </c>
    </row>
    <row r="5017" spans="1:5" x14ac:dyDescent="0.25">
      <c r="A5017" s="216" t="s">
        <v>7421</v>
      </c>
      <c r="B5017" s="218" t="s">
        <v>48</v>
      </c>
      <c r="C5017" s="220" t="s">
        <v>7422</v>
      </c>
      <c r="D5017" s="220" t="s">
        <v>130</v>
      </c>
      <c r="E5017" s="165">
        <v>194</v>
      </c>
    </row>
    <row r="5018" spans="1:5" x14ac:dyDescent="0.25">
      <c r="A5018" s="216" t="s">
        <v>7079</v>
      </c>
      <c r="B5018" s="218">
        <v>1</v>
      </c>
      <c r="C5018" s="220" t="s">
        <v>7080</v>
      </c>
      <c r="D5018" s="220" t="s">
        <v>63</v>
      </c>
      <c r="E5018" s="165">
        <v>194</v>
      </c>
    </row>
    <row r="5019" spans="1:5" x14ac:dyDescent="0.25">
      <c r="A5019" s="216" t="s">
        <v>6277</v>
      </c>
      <c r="B5019" s="218" t="s">
        <v>48</v>
      </c>
      <c r="C5019" s="220" t="s">
        <v>1300</v>
      </c>
      <c r="D5019" s="220" t="s">
        <v>93</v>
      </c>
      <c r="E5019" s="165">
        <v>194</v>
      </c>
    </row>
    <row r="5020" spans="1:5" x14ac:dyDescent="0.25">
      <c r="A5020" s="216" t="s">
        <v>7276</v>
      </c>
      <c r="B5020" s="218" t="s">
        <v>48</v>
      </c>
      <c r="C5020" s="220" t="s">
        <v>7277</v>
      </c>
      <c r="D5020" s="220" t="s">
        <v>206</v>
      </c>
      <c r="E5020" s="165">
        <v>193</v>
      </c>
    </row>
    <row r="5021" spans="1:5" x14ac:dyDescent="0.25">
      <c r="A5021" s="216" t="s">
        <v>6514</v>
      </c>
      <c r="B5021" s="218" t="s">
        <v>48</v>
      </c>
      <c r="C5021" s="220" t="s">
        <v>6515</v>
      </c>
      <c r="D5021" s="220" t="s">
        <v>53</v>
      </c>
      <c r="E5021" s="165">
        <v>193</v>
      </c>
    </row>
    <row r="5022" spans="1:5" x14ac:dyDescent="0.25">
      <c r="A5022" s="216" t="s">
        <v>6875</v>
      </c>
      <c r="B5022" s="218">
        <v>1</v>
      </c>
      <c r="C5022" s="220" t="s">
        <v>2706</v>
      </c>
      <c r="D5022" s="220" t="s">
        <v>50</v>
      </c>
      <c r="E5022" s="165">
        <v>193</v>
      </c>
    </row>
    <row r="5023" spans="1:5" x14ac:dyDescent="0.25">
      <c r="A5023" s="216" t="s">
        <v>8978</v>
      </c>
      <c r="B5023" s="218" t="s">
        <v>48</v>
      </c>
      <c r="C5023" s="220" t="s">
        <v>289</v>
      </c>
      <c r="D5023" s="220" t="s">
        <v>69</v>
      </c>
      <c r="E5023" s="165">
        <v>193</v>
      </c>
    </row>
    <row r="5024" spans="1:5" x14ac:dyDescent="0.25">
      <c r="A5024" s="216" t="s">
        <v>7214</v>
      </c>
      <c r="B5024" s="218">
        <v>1</v>
      </c>
      <c r="C5024" s="220" t="s">
        <v>7215</v>
      </c>
      <c r="D5024" s="220" t="s">
        <v>188</v>
      </c>
      <c r="E5024" s="165">
        <v>193</v>
      </c>
    </row>
    <row r="5025" spans="1:5" x14ac:dyDescent="0.25">
      <c r="A5025" s="216" t="s">
        <v>6965</v>
      </c>
      <c r="B5025" s="218">
        <v>1</v>
      </c>
      <c r="C5025" s="220" t="s">
        <v>4504</v>
      </c>
      <c r="D5025" s="220" t="s">
        <v>56</v>
      </c>
      <c r="E5025" s="165">
        <v>193</v>
      </c>
    </row>
    <row r="5026" spans="1:5" x14ac:dyDescent="0.25">
      <c r="A5026" s="216" t="s">
        <v>4234</v>
      </c>
      <c r="B5026" s="218" t="s">
        <v>48</v>
      </c>
      <c r="C5026" s="220" t="s">
        <v>4235</v>
      </c>
      <c r="D5026" s="220" t="s">
        <v>90</v>
      </c>
      <c r="E5026" s="165">
        <v>193</v>
      </c>
    </row>
    <row r="5027" spans="1:5" x14ac:dyDescent="0.25">
      <c r="A5027" s="216" t="s">
        <v>6966</v>
      </c>
      <c r="B5027" s="218">
        <v>1</v>
      </c>
      <c r="C5027" s="220" t="s">
        <v>1317</v>
      </c>
      <c r="D5027" s="220" t="s">
        <v>56</v>
      </c>
      <c r="E5027" s="165">
        <v>193</v>
      </c>
    </row>
    <row r="5028" spans="1:5" x14ac:dyDescent="0.25">
      <c r="A5028" s="216" t="s">
        <v>6599</v>
      </c>
      <c r="B5028" s="218">
        <v>1</v>
      </c>
      <c r="C5028" s="220" t="s">
        <v>323</v>
      </c>
      <c r="D5028" s="220" t="s">
        <v>277</v>
      </c>
      <c r="E5028" s="165">
        <v>193</v>
      </c>
    </row>
    <row r="5029" spans="1:5" x14ac:dyDescent="0.25">
      <c r="A5029" s="216" t="s">
        <v>11370</v>
      </c>
      <c r="B5029" s="218" t="s">
        <v>48</v>
      </c>
      <c r="C5029" s="220" t="s">
        <v>5582</v>
      </c>
      <c r="D5029" s="220" t="s">
        <v>56</v>
      </c>
      <c r="E5029" s="165">
        <v>193</v>
      </c>
    </row>
    <row r="5030" spans="1:5" x14ac:dyDescent="0.25">
      <c r="A5030" s="216" t="s">
        <v>6873</v>
      </c>
      <c r="B5030" s="218">
        <v>1</v>
      </c>
      <c r="C5030" s="220" t="s">
        <v>2953</v>
      </c>
      <c r="D5030" s="220" t="s">
        <v>78</v>
      </c>
      <c r="E5030" s="165">
        <v>192</v>
      </c>
    </row>
    <row r="5031" spans="1:5" x14ac:dyDescent="0.25">
      <c r="A5031" s="216" t="s">
        <v>6992</v>
      </c>
      <c r="B5031" s="218">
        <v>1</v>
      </c>
      <c r="C5031" s="220" t="s">
        <v>71</v>
      </c>
      <c r="D5031" s="220" t="s">
        <v>192</v>
      </c>
      <c r="E5031" s="165">
        <v>192</v>
      </c>
    </row>
    <row r="5032" spans="1:5" x14ac:dyDescent="0.25">
      <c r="A5032" s="216" t="s">
        <v>6821</v>
      </c>
      <c r="B5032" s="218">
        <v>1</v>
      </c>
      <c r="C5032" s="220" t="s">
        <v>1331</v>
      </c>
      <c r="D5032" s="220" t="s">
        <v>348</v>
      </c>
      <c r="E5032" s="165">
        <v>192</v>
      </c>
    </row>
    <row r="5033" spans="1:5" x14ac:dyDescent="0.25">
      <c r="A5033" s="216" t="s">
        <v>5945</v>
      </c>
      <c r="B5033" s="218" t="s">
        <v>48</v>
      </c>
      <c r="C5033" s="220" t="s">
        <v>582</v>
      </c>
      <c r="D5033" s="220" t="s">
        <v>59</v>
      </c>
      <c r="E5033" s="165">
        <v>192</v>
      </c>
    </row>
    <row r="5034" spans="1:5" x14ac:dyDescent="0.25">
      <c r="A5034" s="216" t="s">
        <v>6459</v>
      </c>
      <c r="B5034" s="218" t="s">
        <v>48</v>
      </c>
      <c r="C5034" s="220" t="s">
        <v>89</v>
      </c>
      <c r="D5034" s="220" t="s">
        <v>90</v>
      </c>
      <c r="E5034" s="165">
        <v>192</v>
      </c>
    </row>
    <row r="5035" spans="1:5" x14ac:dyDescent="0.25">
      <c r="A5035" s="216" t="s">
        <v>7383</v>
      </c>
      <c r="B5035" s="218" t="s">
        <v>48</v>
      </c>
      <c r="C5035" s="220" t="s">
        <v>7384</v>
      </c>
      <c r="D5035" s="220" t="s">
        <v>277</v>
      </c>
      <c r="E5035" s="165">
        <v>192</v>
      </c>
    </row>
    <row r="5036" spans="1:5" x14ac:dyDescent="0.25">
      <c r="A5036" s="216" t="s">
        <v>6822</v>
      </c>
      <c r="B5036" s="218">
        <v>1</v>
      </c>
      <c r="C5036" s="220" t="s">
        <v>3272</v>
      </c>
      <c r="D5036" s="220" t="s">
        <v>201</v>
      </c>
      <c r="E5036" s="165">
        <v>192</v>
      </c>
    </row>
    <row r="5037" spans="1:5" x14ac:dyDescent="0.25">
      <c r="A5037" s="216" t="s">
        <v>6395</v>
      </c>
      <c r="B5037" s="218" t="s">
        <v>48</v>
      </c>
      <c r="C5037" s="220" t="s">
        <v>6396</v>
      </c>
      <c r="D5037" s="220" t="s">
        <v>710</v>
      </c>
      <c r="E5037" s="165">
        <v>192</v>
      </c>
    </row>
    <row r="5038" spans="1:5" x14ac:dyDescent="0.25">
      <c r="A5038" s="216" t="s">
        <v>6995</v>
      </c>
      <c r="B5038" s="218" t="s">
        <v>48</v>
      </c>
      <c r="C5038" s="220" t="s">
        <v>6996</v>
      </c>
      <c r="D5038" s="220" t="s">
        <v>53</v>
      </c>
      <c r="E5038" s="165">
        <v>192</v>
      </c>
    </row>
    <row r="5039" spans="1:5" x14ac:dyDescent="0.25">
      <c r="A5039" s="216" t="s">
        <v>5130</v>
      </c>
      <c r="B5039" s="218" t="s">
        <v>48</v>
      </c>
      <c r="C5039" s="220" t="s">
        <v>1882</v>
      </c>
      <c r="D5039" s="220" t="s">
        <v>90</v>
      </c>
      <c r="E5039" s="165">
        <v>192</v>
      </c>
    </row>
    <row r="5040" spans="1:5" x14ac:dyDescent="0.25">
      <c r="A5040" s="216" t="s">
        <v>11371</v>
      </c>
      <c r="B5040" s="218">
        <v>1</v>
      </c>
      <c r="C5040" s="220" t="s">
        <v>2576</v>
      </c>
      <c r="D5040" s="220" t="s">
        <v>56</v>
      </c>
      <c r="E5040" s="165">
        <v>192</v>
      </c>
    </row>
    <row r="5041" spans="1:5" x14ac:dyDescent="0.25">
      <c r="A5041" s="216" t="s">
        <v>6588</v>
      </c>
      <c r="B5041" s="218">
        <v>1</v>
      </c>
      <c r="C5041" s="220" t="s">
        <v>6589</v>
      </c>
      <c r="D5041" s="220" t="s">
        <v>93</v>
      </c>
      <c r="E5041" s="165">
        <v>191</v>
      </c>
    </row>
    <row r="5042" spans="1:5" x14ac:dyDescent="0.25">
      <c r="A5042" s="216" t="s">
        <v>11372</v>
      </c>
      <c r="B5042" s="218">
        <v>1</v>
      </c>
      <c r="C5042" s="220" t="s">
        <v>705</v>
      </c>
      <c r="D5042" s="220" t="s">
        <v>63</v>
      </c>
      <c r="E5042" s="165">
        <v>191</v>
      </c>
    </row>
    <row r="5043" spans="1:5" x14ac:dyDescent="0.25">
      <c r="A5043" s="216" t="s">
        <v>7252</v>
      </c>
      <c r="B5043" s="218" t="s">
        <v>48</v>
      </c>
      <c r="C5043" s="220" t="s">
        <v>2156</v>
      </c>
      <c r="D5043" s="220" t="s">
        <v>166</v>
      </c>
      <c r="E5043" s="165">
        <v>191</v>
      </c>
    </row>
    <row r="5044" spans="1:5" x14ac:dyDescent="0.25">
      <c r="A5044" s="216" t="s">
        <v>7145</v>
      </c>
      <c r="B5044" s="218">
        <v>1</v>
      </c>
      <c r="C5044" s="220" t="s">
        <v>615</v>
      </c>
      <c r="D5044" s="220" t="s">
        <v>63</v>
      </c>
      <c r="E5044" s="165">
        <v>191</v>
      </c>
    </row>
    <row r="5045" spans="1:5" x14ac:dyDescent="0.25">
      <c r="A5045" s="216" t="s">
        <v>9276</v>
      </c>
      <c r="B5045" s="218" t="s">
        <v>48</v>
      </c>
      <c r="C5045" s="220" t="s">
        <v>9277</v>
      </c>
      <c r="D5045" s="220" t="s">
        <v>166</v>
      </c>
      <c r="E5045" s="165">
        <v>191</v>
      </c>
    </row>
    <row r="5046" spans="1:5" x14ac:dyDescent="0.25">
      <c r="A5046" s="216" t="s">
        <v>7247</v>
      </c>
      <c r="B5046" s="218">
        <v>1</v>
      </c>
      <c r="C5046" s="220" t="s">
        <v>1162</v>
      </c>
      <c r="D5046" s="220" t="s">
        <v>188</v>
      </c>
      <c r="E5046" s="165">
        <v>191</v>
      </c>
    </row>
    <row r="5047" spans="1:5" x14ac:dyDescent="0.25">
      <c r="A5047" s="216" t="s">
        <v>11373</v>
      </c>
      <c r="B5047" s="218">
        <v>1</v>
      </c>
      <c r="C5047" s="220" t="s">
        <v>3317</v>
      </c>
      <c r="D5047" s="220" t="s">
        <v>56</v>
      </c>
      <c r="E5047" s="165">
        <v>191</v>
      </c>
    </row>
    <row r="5048" spans="1:5" x14ac:dyDescent="0.25">
      <c r="A5048" s="216" t="s">
        <v>7627</v>
      </c>
      <c r="B5048" s="218" t="s">
        <v>48</v>
      </c>
      <c r="C5048" s="220" t="s">
        <v>466</v>
      </c>
      <c r="D5048" s="220" t="s">
        <v>206</v>
      </c>
      <c r="E5048" s="165">
        <v>190</v>
      </c>
    </row>
    <row r="5049" spans="1:5" x14ac:dyDescent="0.25">
      <c r="A5049" s="216" t="s">
        <v>6327</v>
      </c>
      <c r="B5049" s="218">
        <v>1</v>
      </c>
      <c r="C5049" s="220" t="s">
        <v>6328</v>
      </c>
      <c r="D5049" s="220" t="s">
        <v>523</v>
      </c>
      <c r="E5049" s="165">
        <v>190</v>
      </c>
    </row>
    <row r="5050" spans="1:5" x14ac:dyDescent="0.25">
      <c r="A5050" s="216" t="s">
        <v>7090</v>
      </c>
      <c r="B5050" s="218" t="s">
        <v>48</v>
      </c>
      <c r="C5050" s="220" t="s">
        <v>4025</v>
      </c>
      <c r="D5050" s="220" t="s">
        <v>63</v>
      </c>
      <c r="E5050" s="165">
        <v>190</v>
      </c>
    </row>
    <row r="5051" spans="1:5" x14ac:dyDescent="0.25">
      <c r="A5051" s="216" t="s">
        <v>6787</v>
      </c>
      <c r="B5051" s="218">
        <v>1</v>
      </c>
      <c r="C5051" s="220" t="s">
        <v>271</v>
      </c>
      <c r="D5051" s="220" t="s">
        <v>130</v>
      </c>
      <c r="E5051" s="165">
        <v>190</v>
      </c>
    </row>
    <row r="5052" spans="1:5" x14ac:dyDescent="0.25">
      <c r="A5052" s="216" t="s">
        <v>6899</v>
      </c>
      <c r="B5052" s="218">
        <v>1</v>
      </c>
      <c r="C5052" s="220" t="s">
        <v>684</v>
      </c>
      <c r="D5052" s="220" t="s">
        <v>272</v>
      </c>
      <c r="E5052" s="165">
        <v>190</v>
      </c>
    </row>
    <row r="5053" spans="1:5" x14ac:dyDescent="0.25">
      <c r="A5053" s="216" t="s">
        <v>11374</v>
      </c>
      <c r="B5053" s="218" t="s">
        <v>48</v>
      </c>
      <c r="C5053" s="220" t="s">
        <v>1241</v>
      </c>
      <c r="D5053" s="220" t="s">
        <v>166</v>
      </c>
      <c r="E5053" s="165">
        <v>190</v>
      </c>
    </row>
    <row r="5054" spans="1:5" x14ac:dyDescent="0.25">
      <c r="A5054" s="216" t="s">
        <v>7028</v>
      </c>
      <c r="B5054" s="218">
        <v>1</v>
      </c>
      <c r="C5054" s="220" t="s">
        <v>2102</v>
      </c>
      <c r="D5054" s="220" t="s">
        <v>69</v>
      </c>
      <c r="E5054" s="165">
        <v>190</v>
      </c>
    </row>
    <row r="5055" spans="1:5" x14ac:dyDescent="0.25">
      <c r="A5055" s="216" t="s">
        <v>7146</v>
      </c>
      <c r="B5055" s="218" t="s">
        <v>48</v>
      </c>
      <c r="C5055" s="220" t="s">
        <v>3164</v>
      </c>
      <c r="D5055" s="220" t="s">
        <v>108</v>
      </c>
      <c r="E5055" s="165">
        <v>190</v>
      </c>
    </row>
    <row r="5056" spans="1:5" x14ac:dyDescent="0.25">
      <c r="A5056" s="216" t="s">
        <v>7070</v>
      </c>
      <c r="B5056" s="218">
        <v>1</v>
      </c>
      <c r="C5056" s="220" t="s">
        <v>768</v>
      </c>
      <c r="D5056" s="220" t="s">
        <v>264</v>
      </c>
      <c r="E5056" s="165">
        <v>190</v>
      </c>
    </row>
    <row r="5057" spans="1:5" x14ac:dyDescent="0.25">
      <c r="A5057" s="216" t="s">
        <v>6783</v>
      </c>
      <c r="B5057" s="218" t="s">
        <v>48</v>
      </c>
      <c r="C5057" s="220" t="s">
        <v>684</v>
      </c>
      <c r="D5057" s="220" t="s">
        <v>63</v>
      </c>
      <c r="E5057" s="165">
        <v>190</v>
      </c>
    </row>
    <row r="5058" spans="1:5" x14ac:dyDescent="0.25">
      <c r="A5058" s="216" t="s">
        <v>6855</v>
      </c>
      <c r="B5058" s="218" t="s">
        <v>48</v>
      </c>
      <c r="C5058" s="220" t="s">
        <v>6856</v>
      </c>
      <c r="D5058" s="220" t="s">
        <v>59</v>
      </c>
      <c r="E5058" s="165">
        <v>190</v>
      </c>
    </row>
    <row r="5059" spans="1:5" x14ac:dyDescent="0.25">
      <c r="A5059" s="216" t="s">
        <v>6976</v>
      </c>
      <c r="B5059" s="218">
        <v>1</v>
      </c>
      <c r="C5059" s="220" t="s">
        <v>6977</v>
      </c>
      <c r="D5059" s="220" t="s">
        <v>56</v>
      </c>
      <c r="E5059" s="165">
        <v>190</v>
      </c>
    </row>
    <row r="5060" spans="1:5" x14ac:dyDescent="0.25">
      <c r="A5060" s="216" t="s">
        <v>11375</v>
      </c>
      <c r="B5060" s="218">
        <v>1</v>
      </c>
      <c r="C5060" s="220" t="s">
        <v>1457</v>
      </c>
      <c r="D5060" s="220" t="s">
        <v>50</v>
      </c>
      <c r="E5060" s="165">
        <v>190</v>
      </c>
    </row>
    <row r="5061" spans="1:5" x14ac:dyDescent="0.25">
      <c r="A5061" s="216" t="s">
        <v>6938</v>
      </c>
      <c r="B5061" s="218">
        <v>1</v>
      </c>
      <c r="C5061" s="220" t="s">
        <v>1075</v>
      </c>
      <c r="D5061" s="220" t="s">
        <v>50</v>
      </c>
      <c r="E5061" s="165">
        <v>189</v>
      </c>
    </row>
    <row r="5062" spans="1:5" x14ac:dyDescent="0.25">
      <c r="A5062" s="216" t="s">
        <v>7878</v>
      </c>
      <c r="B5062" s="218" t="s">
        <v>48</v>
      </c>
      <c r="C5062" s="220" t="s">
        <v>4492</v>
      </c>
      <c r="D5062" s="220" t="s">
        <v>93</v>
      </c>
      <c r="E5062" s="165">
        <v>189</v>
      </c>
    </row>
    <row r="5063" spans="1:5" x14ac:dyDescent="0.25">
      <c r="A5063" s="216" t="s">
        <v>10544</v>
      </c>
      <c r="B5063" s="218" t="s">
        <v>48</v>
      </c>
      <c r="C5063" s="220" t="s">
        <v>5214</v>
      </c>
      <c r="D5063" s="220" t="s">
        <v>277</v>
      </c>
      <c r="E5063" s="165">
        <v>189</v>
      </c>
    </row>
    <row r="5064" spans="1:5" x14ac:dyDescent="0.25">
      <c r="A5064" s="216" t="s">
        <v>7197</v>
      </c>
      <c r="B5064" s="218">
        <v>1</v>
      </c>
      <c r="C5064" s="220" t="s">
        <v>2696</v>
      </c>
      <c r="D5064" s="220" t="s">
        <v>394</v>
      </c>
      <c r="E5064" s="165">
        <v>189</v>
      </c>
    </row>
    <row r="5065" spans="1:5" x14ac:dyDescent="0.25">
      <c r="A5065" s="216" t="s">
        <v>5287</v>
      </c>
      <c r="B5065" s="218">
        <v>1</v>
      </c>
      <c r="C5065" s="220" t="s">
        <v>768</v>
      </c>
      <c r="D5065" s="220" t="s">
        <v>264</v>
      </c>
      <c r="E5065" s="165">
        <v>189</v>
      </c>
    </row>
    <row r="5066" spans="1:5" x14ac:dyDescent="0.25">
      <c r="A5066" s="216" t="s">
        <v>6946</v>
      </c>
      <c r="B5066" s="218">
        <v>1</v>
      </c>
      <c r="C5066" s="220" t="s">
        <v>6947</v>
      </c>
      <c r="D5066" s="220" t="s">
        <v>50</v>
      </c>
      <c r="E5066" s="165">
        <v>189</v>
      </c>
    </row>
    <row r="5067" spans="1:5" x14ac:dyDescent="0.25">
      <c r="A5067" s="216" t="s">
        <v>5996</v>
      </c>
      <c r="B5067" s="218" t="s">
        <v>48</v>
      </c>
      <c r="C5067" s="220" t="s">
        <v>257</v>
      </c>
      <c r="D5067" s="220" t="s">
        <v>108</v>
      </c>
      <c r="E5067" s="165">
        <v>189</v>
      </c>
    </row>
    <row r="5068" spans="1:5" x14ac:dyDescent="0.25">
      <c r="A5068" s="216" t="s">
        <v>7101</v>
      </c>
      <c r="B5068" s="218">
        <v>1</v>
      </c>
      <c r="C5068" s="220" t="s">
        <v>7102</v>
      </c>
      <c r="D5068" s="220" t="s">
        <v>66</v>
      </c>
      <c r="E5068" s="165">
        <v>189</v>
      </c>
    </row>
    <row r="5069" spans="1:5" x14ac:dyDescent="0.25">
      <c r="A5069" s="216" t="s">
        <v>6949</v>
      </c>
      <c r="B5069" s="218">
        <v>1</v>
      </c>
      <c r="C5069" s="220" t="s">
        <v>587</v>
      </c>
      <c r="D5069" s="220" t="s">
        <v>50</v>
      </c>
      <c r="E5069" s="165">
        <v>189</v>
      </c>
    </row>
    <row r="5070" spans="1:5" x14ac:dyDescent="0.25">
      <c r="A5070" s="216" t="s">
        <v>7195</v>
      </c>
      <c r="B5070" s="218">
        <v>1</v>
      </c>
      <c r="C5070" s="220" t="s">
        <v>1551</v>
      </c>
      <c r="D5070" s="220" t="s">
        <v>50</v>
      </c>
      <c r="E5070" s="165">
        <v>188</v>
      </c>
    </row>
    <row r="5071" spans="1:5" x14ac:dyDescent="0.25">
      <c r="A5071" s="216" t="s">
        <v>7023</v>
      </c>
      <c r="B5071" s="218">
        <v>1</v>
      </c>
      <c r="C5071" s="220" t="s">
        <v>7024</v>
      </c>
      <c r="D5071" s="220" t="s">
        <v>56</v>
      </c>
      <c r="E5071" s="165">
        <v>188</v>
      </c>
    </row>
    <row r="5072" spans="1:5" x14ac:dyDescent="0.25">
      <c r="A5072" s="216" t="s">
        <v>3905</v>
      </c>
      <c r="B5072" s="218" t="s">
        <v>48</v>
      </c>
      <c r="C5072" s="220" t="s">
        <v>3906</v>
      </c>
      <c r="D5072" s="220" t="s">
        <v>53</v>
      </c>
      <c r="E5072" s="165">
        <v>188</v>
      </c>
    </row>
    <row r="5073" spans="1:5" x14ac:dyDescent="0.25">
      <c r="A5073" s="216" t="s">
        <v>7027</v>
      </c>
      <c r="B5073" s="218">
        <v>1</v>
      </c>
      <c r="C5073" s="220" t="s">
        <v>1643</v>
      </c>
      <c r="D5073" s="220" t="s">
        <v>56</v>
      </c>
      <c r="E5073" s="165">
        <v>188</v>
      </c>
    </row>
    <row r="5074" spans="1:5" x14ac:dyDescent="0.25">
      <c r="A5074" s="216" t="s">
        <v>6882</v>
      </c>
      <c r="B5074" s="218">
        <v>1</v>
      </c>
      <c r="C5074" s="220" t="s">
        <v>238</v>
      </c>
      <c r="D5074" s="220" t="s">
        <v>93</v>
      </c>
      <c r="E5074" s="165">
        <v>188</v>
      </c>
    </row>
    <row r="5075" spans="1:5" x14ac:dyDescent="0.25">
      <c r="A5075" s="216" t="s">
        <v>6931</v>
      </c>
      <c r="B5075" s="218">
        <v>1</v>
      </c>
      <c r="C5075" s="220" t="s">
        <v>1275</v>
      </c>
      <c r="D5075" s="220" t="s">
        <v>78</v>
      </c>
      <c r="E5075" s="165">
        <v>188</v>
      </c>
    </row>
    <row r="5076" spans="1:5" x14ac:dyDescent="0.25">
      <c r="A5076" s="216" t="s">
        <v>11376</v>
      </c>
      <c r="B5076" s="218">
        <v>1</v>
      </c>
      <c r="C5076" s="220" t="s">
        <v>86</v>
      </c>
      <c r="D5076" s="220" t="s">
        <v>87</v>
      </c>
      <c r="E5076" s="165">
        <v>188</v>
      </c>
    </row>
    <row r="5077" spans="1:5" x14ac:dyDescent="0.25">
      <c r="A5077" s="216" t="s">
        <v>7076</v>
      </c>
      <c r="B5077" s="218">
        <v>1</v>
      </c>
      <c r="C5077" s="220" t="s">
        <v>7077</v>
      </c>
      <c r="D5077" s="220" t="s">
        <v>66</v>
      </c>
      <c r="E5077" s="165">
        <v>188</v>
      </c>
    </row>
    <row r="5078" spans="1:5" x14ac:dyDescent="0.25">
      <c r="A5078" s="216" t="s">
        <v>7031</v>
      </c>
      <c r="B5078" s="218">
        <v>1</v>
      </c>
      <c r="C5078" s="220" t="s">
        <v>1628</v>
      </c>
      <c r="D5078" s="220" t="s">
        <v>56</v>
      </c>
      <c r="E5078" s="165">
        <v>188</v>
      </c>
    </row>
    <row r="5079" spans="1:5" x14ac:dyDescent="0.25">
      <c r="A5079" s="216" t="s">
        <v>6110</v>
      </c>
      <c r="B5079" s="218" t="s">
        <v>48</v>
      </c>
      <c r="C5079" s="220" t="s">
        <v>6111</v>
      </c>
      <c r="D5079" s="220" t="s">
        <v>59</v>
      </c>
      <c r="E5079" s="165">
        <v>188</v>
      </c>
    </row>
    <row r="5080" spans="1:5" x14ac:dyDescent="0.25">
      <c r="A5080" s="216" t="s">
        <v>5458</v>
      </c>
      <c r="B5080" s="218">
        <v>1</v>
      </c>
      <c r="C5080" s="220" t="s">
        <v>1647</v>
      </c>
      <c r="D5080" s="220" t="s">
        <v>98</v>
      </c>
      <c r="E5080" s="165">
        <v>188</v>
      </c>
    </row>
    <row r="5081" spans="1:5" x14ac:dyDescent="0.25">
      <c r="A5081" s="216" t="s">
        <v>7032</v>
      </c>
      <c r="B5081" s="218">
        <v>1</v>
      </c>
      <c r="C5081" s="220" t="s">
        <v>7033</v>
      </c>
      <c r="D5081" s="220" t="s">
        <v>56</v>
      </c>
      <c r="E5081" s="165">
        <v>188</v>
      </c>
    </row>
    <row r="5082" spans="1:5" x14ac:dyDescent="0.25">
      <c r="A5082" s="216" t="s">
        <v>7208</v>
      </c>
      <c r="B5082" s="218">
        <v>1</v>
      </c>
      <c r="C5082" s="220" t="s">
        <v>735</v>
      </c>
      <c r="D5082" s="220" t="s">
        <v>50</v>
      </c>
      <c r="E5082" s="165">
        <v>188</v>
      </c>
    </row>
    <row r="5083" spans="1:5" x14ac:dyDescent="0.25">
      <c r="A5083" s="216" t="s">
        <v>7020</v>
      </c>
      <c r="B5083" s="218">
        <v>1</v>
      </c>
      <c r="C5083" s="220" t="s">
        <v>1001</v>
      </c>
      <c r="D5083" s="220" t="s">
        <v>188</v>
      </c>
      <c r="E5083" s="165">
        <v>188</v>
      </c>
    </row>
    <row r="5084" spans="1:5" x14ac:dyDescent="0.25">
      <c r="A5084" s="216" t="s">
        <v>7233</v>
      </c>
      <c r="B5084" s="218" t="s">
        <v>48</v>
      </c>
      <c r="C5084" s="220" t="s">
        <v>7234</v>
      </c>
      <c r="D5084" s="220" t="s">
        <v>93</v>
      </c>
      <c r="E5084" s="165">
        <v>188</v>
      </c>
    </row>
    <row r="5085" spans="1:5" x14ac:dyDescent="0.25">
      <c r="A5085" s="216" t="s">
        <v>4746</v>
      </c>
      <c r="B5085" s="218">
        <v>1</v>
      </c>
      <c r="C5085" s="220" t="s">
        <v>4747</v>
      </c>
      <c r="D5085" s="220" t="s">
        <v>98</v>
      </c>
      <c r="E5085" s="165">
        <v>188</v>
      </c>
    </row>
    <row r="5086" spans="1:5" x14ac:dyDescent="0.25">
      <c r="A5086" s="216" t="s">
        <v>7196</v>
      </c>
      <c r="B5086" s="218">
        <v>1</v>
      </c>
      <c r="C5086" s="220" t="s">
        <v>1268</v>
      </c>
      <c r="D5086" s="220" t="s">
        <v>63</v>
      </c>
      <c r="E5086" s="165">
        <v>187</v>
      </c>
    </row>
    <row r="5087" spans="1:5" x14ac:dyDescent="0.25">
      <c r="A5087" s="216" t="s">
        <v>8536</v>
      </c>
      <c r="B5087" s="218" t="s">
        <v>48</v>
      </c>
      <c r="C5087" s="220" t="s">
        <v>1064</v>
      </c>
      <c r="D5087" s="220" t="s">
        <v>710</v>
      </c>
      <c r="E5087" s="165">
        <v>187</v>
      </c>
    </row>
    <row r="5088" spans="1:5" x14ac:dyDescent="0.25">
      <c r="A5088" s="216" t="s">
        <v>8068</v>
      </c>
      <c r="B5088" s="218">
        <v>1</v>
      </c>
      <c r="C5088" s="220" t="s">
        <v>8022</v>
      </c>
      <c r="D5088" s="220" t="s">
        <v>118</v>
      </c>
      <c r="E5088" s="165">
        <v>187</v>
      </c>
    </row>
    <row r="5089" spans="1:5" x14ac:dyDescent="0.25">
      <c r="A5089" s="216" t="s">
        <v>7202</v>
      </c>
      <c r="B5089" s="218">
        <v>1</v>
      </c>
      <c r="C5089" s="220" t="s">
        <v>7203</v>
      </c>
      <c r="D5089" s="220" t="s">
        <v>63</v>
      </c>
      <c r="E5089" s="165">
        <v>187</v>
      </c>
    </row>
    <row r="5090" spans="1:5" x14ac:dyDescent="0.25">
      <c r="A5090" s="216" t="s">
        <v>11377</v>
      </c>
      <c r="B5090" s="218">
        <v>1</v>
      </c>
      <c r="C5090" s="220" t="s">
        <v>11378</v>
      </c>
      <c r="D5090" s="220" t="s">
        <v>63</v>
      </c>
      <c r="E5090" s="165">
        <v>187</v>
      </c>
    </row>
    <row r="5091" spans="1:5" x14ac:dyDescent="0.25">
      <c r="A5091" s="216" t="s">
        <v>6046</v>
      </c>
      <c r="B5091" s="218" t="s">
        <v>48</v>
      </c>
      <c r="C5091" s="220" t="s">
        <v>1913</v>
      </c>
      <c r="D5091" s="220" t="s">
        <v>93</v>
      </c>
      <c r="E5091" s="165">
        <v>187</v>
      </c>
    </row>
    <row r="5092" spans="1:5" x14ac:dyDescent="0.25">
      <c r="A5092" s="216" t="s">
        <v>7204</v>
      </c>
      <c r="B5092" s="218" t="s">
        <v>48</v>
      </c>
      <c r="C5092" s="220" t="s">
        <v>1551</v>
      </c>
      <c r="D5092" s="220" t="s">
        <v>50</v>
      </c>
      <c r="E5092" s="165">
        <v>187</v>
      </c>
    </row>
    <row r="5093" spans="1:5" x14ac:dyDescent="0.25">
      <c r="A5093" s="216" t="s">
        <v>7045</v>
      </c>
      <c r="B5093" s="218">
        <v>1</v>
      </c>
      <c r="C5093" s="220" t="s">
        <v>7046</v>
      </c>
      <c r="D5093" s="220" t="s">
        <v>78</v>
      </c>
      <c r="E5093" s="165">
        <v>187</v>
      </c>
    </row>
    <row r="5094" spans="1:5" x14ac:dyDescent="0.25">
      <c r="A5094" s="216" t="s">
        <v>6838</v>
      </c>
      <c r="B5094" s="218" t="s">
        <v>48</v>
      </c>
      <c r="C5094" s="220" t="s">
        <v>6839</v>
      </c>
      <c r="D5094" s="220" t="s">
        <v>108</v>
      </c>
      <c r="E5094" s="165">
        <v>187</v>
      </c>
    </row>
    <row r="5095" spans="1:5" x14ac:dyDescent="0.25">
      <c r="A5095" s="216" t="s">
        <v>11379</v>
      </c>
      <c r="B5095" s="218">
        <v>1</v>
      </c>
      <c r="C5095" s="220" t="s">
        <v>3099</v>
      </c>
      <c r="D5095" s="220" t="s">
        <v>93</v>
      </c>
      <c r="E5095" s="165">
        <v>187</v>
      </c>
    </row>
    <row r="5096" spans="1:5" x14ac:dyDescent="0.25">
      <c r="A5096" s="216" t="s">
        <v>10001</v>
      </c>
      <c r="B5096" s="218" t="s">
        <v>48</v>
      </c>
      <c r="C5096" s="220" t="s">
        <v>2078</v>
      </c>
      <c r="D5096" s="220" t="s">
        <v>277</v>
      </c>
      <c r="E5096" s="165">
        <v>187</v>
      </c>
    </row>
    <row r="5097" spans="1:5" x14ac:dyDescent="0.25">
      <c r="A5097" s="216" t="s">
        <v>7229</v>
      </c>
      <c r="B5097" s="218">
        <v>1</v>
      </c>
      <c r="C5097" s="220" t="s">
        <v>925</v>
      </c>
      <c r="D5097" s="220" t="s">
        <v>394</v>
      </c>
      <c r="E5097" s="165">
        <v>187</v>
      </c>
    </row>
    <row r="5098" spans="1:5" x14ac:dyDescent="0.25">
      <c r="A5098" s="216" t="s">
        <v>7034</v>
      </c>
      <c r="B5098" s="218">
        <v>1</v>
      </c>
      <c r="C5098" s="220" t="s">
        <v>274</v>
      </c>
      <c r="D5098" s="220" t="s">
        <v>188</v>
      </c>
      <c r="E5098" s="165">
        <v>187</v>
      </c>
    </row>
    <row r="5099" spans="1:5" x14ac:dyDescent="0.25">
      <c r="A5099" s="216" t="s">
        <v>11380</v>
      </c>
      <c r="B5099" s="218">
        <v>1</v>
      </c>
      <c r="C5099" s="220" t="s">
        <v>11381</v>
      </c>
      <c r="D5099" s="220" t="s">
        <v>66</v>
      </c>
      <c r="E5099" s="165">
        <v>187</v>
      </c>
    </row>
    <row r="5100" spans="1:5" x14ac:dyDescent="0.25">
      <c r="A5100" s="216" t="s">
        <v>9924</v>
      </c>
      <c r="B5100" s="218" t="s">
        <v>48</v>
      </c>
      <c r="C5100" s="220" t="s">
        <v>9925</v>
      </c>
      <c r="D5100" s="220" t="s">
        <v>108</v>
      </c>
      <c r="E5100" s="165">
        <v>187</v>
      </c>
    </row>
    <row r="5101" spans="1:5" x14ac:dyDescent="0.25">
      <c r="A5101" s="216" t="s">
        <v>8224</v>
      </c>
      <c r="B5101" s="218" t="s">
        <v>48</v>
      </c>
      <c r="C5101" s="220" t="s">
        <v>1408</v>
      </c>
      <c r="D5101" s="220" t="s">
        <v>166</v>
      </c>
      <c r="E5101" s="165">
        <v>187</v>
      </c>
    </row>
    <row r="5102" spans="1:5" x14ac:dyDescent="0.25">
      <c r="A5102" s="216" t="s">
        <v>7325</v>
      </c>
      <c r="B5102" s="218" t="s">
        <v>48</v>
      </c>
      <c r="C5102" s="220" t="s">
        <v>90</v>
      </c>
      <c r="D5102" s="220" t="s">
        <v>441</v>
      </c>
      <c r="E5102" s="165">
        <v>187</v>
      </c>
    </row>
    <row r="5103" spans="1:5" x14ac:dyDescent="0.25">
      <c r="A5103" s="216" t="s">
        <v>7210</v>
      </c>
      <c r="B5103" s="218">
        <v>1</v>
      </c>
      <c r="C5103" s="220" t="s">
        <v>1411</v>
      </c>
      <c r="D5103" s="220" t="s">
        <v>63</v>
      </c>
      <c r="E5103" s="165">
        <v>187</v>
      </c>
    </row>
    <row r="5104" spans="1:5" x14ac:dyDescent="0.25">
      <c r="A5104" s="216" t="s">
        <v>6688</v>
      </c>
      <c r="B5104" s="218">
        <v>1</v>
      </c>
      <c r="C5104" s="220" t="s">
        <v>102</v>
      </c>
      <c r="D5104" s="220" t="s">
        <v>93</v>
      </c>
      <c r="E5104" s="165">
        <v>186</v>
      </c>
    </row>
    <row r="5105" spans="1:5" x14ac:dyDescent="0.25">
      <c r="A5105" s="216" t="s">
        <v>10514</v>
      </c>
      <c r="B5105" s="218">
        <v>1</v>
      </c>
      <c r="C5105" s="220" t="s">
        <v>3483</v>
      </c>
      <c r="D5105" s="220" t="s">
        <v>72</v>
      </c>
      <c r="E5105" s="165">
        <v>186</v>
      </c>
    </row>
    <row r="5106" spans="1:5" x14ac:dyDescent="0.25">
      <c r="A5106" s="216" t="s">
        <v>6410</v>
      </c>
      <c r="B5106" s="218">
        <v>1</v>
      </c>
      <c r="C5106" s="220" t="s">
        <v>6411</v>
      </c>
      <c r="D5106" s="220" t="s">
        <v>142</v>
      </c>
      <c r="E5106" s="165">
        <v>186</v>
      </c>
    </row>
    <row r="5107" spans="1:5" x14ac:dyDescent="0.25">
      <c r="A5107" s="216" t="s">
        <v>6393</v>
      </c>
      <c r="B5107" s="218">
        <v>1</v>
      </c>
      <c r="C5107" s="220" t="s">
        <v>5705</v>
      </c>
      <c r="D5107" s="220" t="s">
        <v>523</v>
      </c>
      <c r="E5107" s="165">
        <v>186</v>
      </c>
    </row>
    <row r="5108" spans="1:5" x14ac:dyDescent="0.25">
      <c r="A5108" s="216" t="s">
        <v>6431</v>
      </c>
      <c r="B5108" s="218">
        <v>1</v>
      </c>
      <c r="C5108" s="220" t="s">
        <v>90</v>
      </c>
      <c r="D5108" s="220" t="s">
        <v>277</v>
      </c>
      <c r="E5108" s="165">
        <v>186</v>
      </c>
    </row>
    <row r="5109" spans="1:5" x14ac:dyDescent="0.25">
      <c r="A5109" s="216" t="s">
        <v>4851</v>
      </c>
      <c r="B5109" s="218" t="s">
        <v>48</v>
      </c>
      <c r="C5109" s="220" t="s">
        <v>89</v>
      </c>
      <c r="D5109" s="220" t="s">
        <v>90</v>
      </c>
      <c r="E5109" s="165">
        <v>186</v>
      </c>
    </row>
    <row r="5110" spans="1:5" x14ac:dyDescent="0.25">
      <c r="A5110" s="216" t="s">
        <v>7167</v>
      </c>
      <c r="B5110" s="218">
        <v>1</v>
      </c>
      <c r="C5110" s="220" t="s">
        <v>7168</v>
      </c>
      <c r="D5110" s="220" t="s">
        <v>192</v>
      </c>
      <c r="E5110" s="165">
        <v>186</v>
      </c>
    </row>
    <row r="5111" spans="1:5" x14ac:dyDescent="0.25">
      <c r="A5111" s="216" t="s">
        <v>7169</v>
      </c>
      <c r="B5111" s="218">
        <v>1</v>
      </c>
      <c r="C5111" s="220" t="s">
        <v>7170</v>
      </c>
      <c r="D5111" s="220" t="s">
        <v>192</v>
      </c>
      <c r="E5111" s="165">
        <v>186</v>
      </c>
    </row>
    <row r="5112" spans="1:5" x14ac:dyDescent="0.25">
      <c r="A5112" s="216" t="s">
        <v>7588</v>
      </c>
      <c r="B5112" s="218" t="s">
        <v>48</v>
      </c>
      <c r="C5112" s="220" t="s">
        <v>7589</v>
      </c>
      <c r="D5112" s="220" t="s">
        <v>53</v>
      </c>
      <c r="E5112" s="165">
        <v>185</v>
      </c>
    </row>
    <row r="5113" spans="1:5" x14ac:dyDescent="0.25">
      <c r="A5113" s="216" t="s">
        <v>7035</v>
      </c>
      <c r="B5113" s="218">
        <v>1</v>
      </c>
      <c r="C5113" s="220" t="s">
        <v>7036</v>
      </c>
      <c r="D5113" s="220" t="s">
        <v>98</v>
      </c>
      <c r="E5113" s="165">
        <v>185</v>
      </c>
    </row>
    <row r="5114" spans="1:5" x14ac:dyDescent="0.25">
      <c r="A5114" s="216" t="s">
        <v>6988</v>
      </c>
      <c r="B5114" s="218">
        <v>1</v>
      </c>
      <c r="C5114" s="220" t="s">
        <v>304</v>
      </c>
      <c r="D5114" s="220" t="s">
        <v>277</v>
      </c>
      <c r="E5114" s="165">
        <v>185</v>
      </c>
    </row>
    <row r="5115" spans="1:5" x14ac:dyDescent="0.25">
      <c r="A5115" s="216" t="s">
        <v>9708</v>
      </c>
      <c r="B5115" s="218" t="s">
        <v>48</v>
      </c>
      <c r="C5115" s="220" t="s">
        <v>5309</v>
      </c>
      <c r="D5115" s="220" t="s">
        <v>50</v>
      </c>
      <c r="E5115" s="165">
        <v>185</v>
      </c>
    </row>
    <row r="5116" spans="1:5" x14ac:dyDescent="0.25">
      <c r="A5116" s="216" t="s">
        <v>5129</v>
      </c>
      <c r="B5116" s="218" t="s">
        <v>48</v>
      </c>
      <c r="C5116" s="220" t="s">
        <v>3135</v>
      </c>
      <c r="D5116" s="220" t="s">
        <v>75</v>
      </c>
      <c r="E5116" s="165">
        <v>185</v>
      </c>
    </row>
    <row r="5117" spans="1:5" x14ac:dyDescent="0.25">
      <c r="A5117" s="216" t="s">
        <v>7332</v>
      </c>
      <c r="B5117" s="218">
        <v>1</v>
      </c>
      <c r="C5117" s="220" t="s">
        <v>7333</v>
      </c>
      <c r="D5117" s="220" t="s">
        <v>87</v>
      </c>
      <c r="E5117" s="165">
        <v>185</v>
      </c>
    </row>
    <row r="5118" spans="1:5" x14ac:dyDescent="0.25">
      <c r="A5118" s="216" t="s">
        <v>6998</v>
      </c>
      <c r="B5118" s="218">
        <v>1</v>
      </c>
      <c r="C5118" s="220" t="s">
        <v>2380</v>
      </c>
      <c r="D5118" s="220" t="s">
        <v>50</v>
      </c>
      <c r="E5118" s="165">
        <v>185</v>
      </c>
    </row>
    <row r="5119" spans="1:5" x14ac:dyDescent="0.25">
      <c r="A5119" s="216" t="s">
        <v>11382</v>
      </c>
      <c r="B5119" s="218">
        <v>1</v>
      </c>
      <c r="C5119" s="220" t="s">
        <v>138</v>
      </c>
      <c r="D5119" s="220" t="s">
        <v>139</v>
      </c>
      <c r="E5119" s="165">
        <v>185</v>
      </c>
    </row>
    <row r="5120" spans="1:5" x14ac:dyDescent="0.25">
      <c r="A5120" s="216" t="s">
        <v>7081</v>
      </c>
      <c r="B5120" s="218" t="s">
        <v>48</v>
      </c>
      <c r="C5120" s="220" t="s">
        <v>952</v>
      </c>
      <c r="D5120" s="220" t="s">
        <v>206</v>
      </c>
      <c r="E5120" s="165">
        <v>185</v>
      </c>
    </row>
    <row r="5121" spans="1:5" x14ac:dyDescent="0.25">
      <c r="A5121" s="216" t="s">
        <v>7056</v>
      </c>
      <c r="B5121" s="218">
        <v>1</v>
      </c>
      <c r="C5121" s="220" t="s">
        <v>1001</v>
      </c>
      <c r="D5121" s="220" t="s">
        <v>188</v>
      </c>
      <c r="E5121" s="165">
        <v>185</v>
      </c>
    </row>
    <row r="5122" spans="1:5" x14ac:dyDescent="0.25">
      <c r="A5122" s="216" t="s">
        <v>7004</v>
      </c>
      <c r="B5122" s="218">
        <v>1</v>
      </c>
      <c r="C5122" s="220" t="s">
        <v>7005</v>
      </c>
      <c r="D5122" s="220" t="s">
        <v>50</v>
      </c>
      <c r="E5122" s="165">
        <v>185</v>
      </c>
    </row>
    <row r="5123" spans="1:5" x14ac:dyDescent="0.25">
      <c r="A5123" s="216" t="s">
        <v>6483</v>
      </c>
      <c r="B5123" s="218" t="s">
        <v>48</v>
      </c>
      <c r="C5123" s="220" t="s">
        <v>377</v>
      </c>
      <c r="D5123" s="220" t="s">
        <v>378</v>
      </c>
      <c r="E5123" s="165">
        <v>185</v>
      </c>
    </row>
    <row r="5124" spans="1:5" x14ac:dyDescent="0.25">
      <c r="A5124" s="216" t="s">
        <v>7310</v>
      </c>
      <c r="B5124" s="218" t="s">
        <v>48</v>
      </c>
      <c r="C5124" s="220" t="s">
        <v>3346</v>
      </c>
      <c r="D5124" s="220" t="s">
        <v>277</v>
      </c>
      <c r="E5124" s="165">
        <v>185</v>
      </c>
    </row>
    <row r="5125" spans="1:5" x14ac:dyDescent="0.25">
      <c r="A5125" s="216" t="s">
        <v>7108</v>
      </c>
      <c r="B5125" s="218">
        <v>1</v>
      </c>
      <c r="C5125" s="220" t="s">
        <v>6273</v>
      </c>
      <c r="D5125" s="220" t="s">
        <v>56</v>
      </c>
      <c r="E5125" s="165">
        <v>184</v>
      </c>
    </row>
    <row r="5126" spans="1:5" x14ac:dyDescent="0.25">
      <c r="A5126" s="216" t="s">
        <v>6713</v>
      </c>
      <c r="B5126" s="218">
        <v>1</v>
      </c>
      <c r="C5126" s="220" t="s">
        <v>6714</v>
      </c>
      <c r="D5126" s="220" t="s">
        <v>130</v>
      </c>
      <c r="E5126" s="165">
        <v>184</v>
      </c>
    </row>
    <row r="5127" spans="1:5" x14ac:dyDescent="0.25">
      <c r="A5127" s="216" t="s">
        <v>7109</v>
      </c>
      <c r="B5127" s="218">
        <v>1</v>
      </c>
      <c r="C5127" s="220" t="s">
        <v>7110</v>
      </c>
      <c r="D5127" s="220" t="s">
        <v>56</v>
      </c>
      <c r="E5127" s="165">
        <v>184</v>
      </c>
    </row>
    <row r="5128" spans="1:5" x14ac:dyDescent="0.25">
      <c r="A5128" s="216" t="s">
        <v>7142</v>
      </c>
      <c r="B5128" s="218">
        <v>1</v>
      </c>
      <c r="C5128" s="220" t="s">
        <v>2258</v>
      </c>
      <c r="D5128" s="220" t="s">
        <v>66</v>
      </c>
      <c r="E5128" s="165">
        <v>184</v>
      </c>
    </row>
    <row r="5129" spans="1:5" x14ac:dyDescent="0.25">
      <c r="A5129" s="216" t="s">
        <v>8750</v>
      </c>
      <c r="B5129" s="218" t="s">
        <v>48</v>
      </c>
      <c r="C5129" s="220" t="s">
        <v>877</v>
      </c>
      <c r="D5129" s="220" t="s">
        <v>53</v>
      </c>
      <c r="E5129" s="165">
        <v>184</v>
      </c>
    </row>
    <row r="5130" spans="1:5" x14ac:dyDescent="0.25">
      <c r="A5130" s="216" t="s">
        <v>7240</v>
      </c>
      <c r="B5130" s="218">
        <v>1</v>
      </c>
      <c r="C5130" s="220" t="s">
        <v>7241</v>
      </c>
      <c r="D5130" s="220" t="s">
        <v>63</v>
      </c>
      <c r="E5130" s="165">
        <v>184</v>
      </c>
    </row>
    <row r="5131" spans="1:5" x14ac:dyDescent="0.25">
      <c r="A5131" s="216" t="s">
        <v>5339</v>
      </c>
      <c r="B5131" s="218">
        <v>1</v>
      </c>
      <c r="C5131" s="220" t="s">
        <v>2091</v>
      </c>
      <c r="D5131" s="220" t="s">
        <v>188</v>
      </c>
      <c r="E5131" s="165">
        <v>184</v>
      </c>
    </row>
    <row r="5132" spans="1:5" x14ac:dyDescent="0.25">
      <c r="A5132" s="216" t="s">
        <v>7222</v>
      </c>
      <c r="B5132" s="218">
        <v>1</v>
      </c>
      <c r="C5132" s="220" t="s">
        <v>7223</v>
      </c>
      <c r="D5132" s="220" t="s">
        <v>63</v>
      </c>
      <c r="E5132" s="165">
        <v>184</v>
      </c>
    </row>
    <row r="5133" spans="1:5" x14ac:dyDescent="0.25">
      <c r="A5133" s="216" t="s">
        <v>6660</v>
      </c>
      <c r="B5133" s="218">
        <v>1</v>
      </c>
      <c r="C5133" s="220" t="s">
        <v>6661</v>
      </c>
      <c r="D5133" s="220" t="s">
        <v>348</v>
      </c>
      <c r="E5133" s="165">
        <v>184</v>
      </c>
    </row>
    <row r="5134" spans="1:5" x14ac:dyDescent="0.25">
      <c r="A5134" s="216" t="s">
        <v>7118</v>
      </c>
      <c r="B5134" s="218">
        <v>1</v>
      </c>
      <c r="C5134" s="220" t="s">
        <v>2365</v>
      </c>
      <c r="D5134" s="220" t="s">
        <v>56</v>
      </c>
      <c r="E5134" s="165">
        <v>184</v>
      </c>
    </row>
    <row r="5135" spans="1:5" x14ac:dyDescent="0.25">
      <c r="A5135" s="216" t="s">
        <v>6999</v>
      </c>
      <c r="B5135" s="218">
        <v>1</v>
      </c>
      <c r="C5135" s="220" t="s">
        <v>4867</v>
      </c>
      <c r="D5135" s="220" t="s">
        <v>78</v>
      </c>
      <c r="E5135" s="165">
        <v>184</v>
      </c>
    </row>
    <row r="5136" spans="1:5" x14ac:dyDescent="0.25">
      <c r="A5136" s="216" t="s">
        <v>11383</v>
      </c>
      <c r="B5136" s="218">
        <v>1</v>
      </c>
      <c r="C5136" s="220" t="s">
        <v>11384</v>
      </c>
      <c r="D5136" s="220" t="s">
        <v>523</v>
      </c>
      <c r="E5136" s="165">
        <v>184</v>
      </c>
    </row>
    <row r="5137" spans="1:5" x14ac:dyDescent="0.25">
      <c r="A5137" s="216" t="s">
        <v>6258</v>
      </c>
      <c r="B5137" s="218" t="s">
        <v>48</v>
      </c>
      <c r="C5137" s="220" t="s">
        <v>1508</v>
      </c>
      <c r="D5137" s="220" t="s">
        <v>69</v>
      </c>
      <c r="E5137" s="165">
        <v>184</v>
      </c>
    </row>
    <row r="5138" spans="1:5" x14ac:dyDescent="0.25">
      <c r="A5138" s="216" t="s">
        <v>7322</v>
      </c>
      <c r="B5138" s="218">
        <v>1</v>
      </c>
      <c r="C5138" s="220" t="s">
        <v>7323</v>
      </c>
      <c r="D5138" s="220" t="s">
        <v>56</v>
      </c>
      <c r="E5138" s="165">
        <v>184</v>
      </c>
    </row>
    <row r="5139" spans="1:5" x14ac:dyDescent="0.25">
      <c r="A5139" s="216" t="s">
        <v>7248</v>
      </c>
      <c r="B5139" s="218">
        <v>1</v>
      </c>
      <c r="C5139" s="220" t="s">
        <v>584</v>
      </c>
      <c r="D5139" s="220" t="s">
        <v>63</v>
      </c>
      <c r="E5139" s="165">
        <v>184</v>
      </c>
    </row>
    <row r="5140" spans="1:5" x14ac:dyDescent="0.25">
      <c r="A5140" s="216" t="s">
        <v>7111</v>
      </c>
      <c r="B5140" s="218">
        <v>1</v>
      </c>
      <c r="C5140" s="220" t="s">
        <v>7112</v>
      </c>
      <c r="D5140" s="220" t="s">
        <v>177</v>
      </c>
      <c r="E5140" s="165">
        <v>183</v>
      </c>
    </row>
    <row r="5141" spans="1:5" x14ac:dyDescent="0.25">
      <c r="A5141" s="216" t="s">
        <v>8671</v>
      </c>
      <c r="B5141" s="218" t="s">
        <v>48</v>
      </c>
      <c r="C5141" s="220" t="s">
        <v>4717</v>
      </c>
      <c r="D5141" s="220" t="s">
        <v>59</v>
      </c>
      <c r="E5141" s="165">
        <v>183</v>
      </c>
    </row>
    <row r="5142" spans="1:5" x14ac:dyDescent="0.25">
      <c r="A5142" s="216" t="s">
        <v>6825</v>
      </c>
      <c r="B5142" s="218">
        <v>1</v>
      </c>
      <c r="C5142" s="220" t="s">
        <v>2413</v>
      </c>
      <c r="D5142" s="220" t="s">
        <v>272</v>
      </c>
      <c r="E5142" s="165">
        <v>183</v>
      </c>
    </row>
    <row r="5143" spans="1:5" x14ac:dyDescent="0.25">
      <c r="A5143" s="216" t="s">
        <v>7098</v>
      </c>
      <c r="B5143" s="218">
        <v>1</v>
      </c>
      <c r="C5143" s="220" t="s">
        <v>3007</v>
      </c>
      <c r="D5143" s="220" t="s">
        <v>188</v>
      </c>
      <c r="E5143" s="165">
        <v>183</v>
      </c>
    </row>
    <row r="5144" spans="1:5" x14ac:dyDescent="0.25">
      <c r="A5144" s="216" t="s">
        <v>6466</v>
      </c>
      <c r="B5144" s="218">
        <v>1</v>
      </c>
      <c r="C5144" s="220" t="s">
        <v>6467</v>
      </c>
      <c r="D5144" s="220" t="s">
        <v>277</v>
      </c>
      <c r="E5144" s="165">
        <v>183</v>
      </c>
    </row>
    <row r="5145" spans="1:5" x14ac:dyDescent="0.25">
      <c r="A5145" s="216" t="s">
        <v>7021</v>
      </c>
      <c r="B5145" s="218" t="s">
        <v>48</v>
      </c>
      <c r="C5145" s="220" t="s">
        <v>4799</v>
      </c>
      <c r="D5145" s="220" t="s">
        <v>166</v>
      </c>
      <c r="E5145" s="165">
        <v>182</v>
      </c>
    </row>
    <row r="5146" spans="1:5" x14ac:dyDescent="0.25">
      <c r="A5146" s="216" t="s">
        <v>7172</v>
      </c>
      <c r="B5146" s="218">
        <v>1</v>
      </c>
      <c r="C5146" s="220" t="s">
        <v>6645</v>
      </c>
      <c r="D5146" s="220" t="s">
        <v>802</v>
      </c>
      <c r="E5146" s="165">
        <v>182</v>
      </c>
    </row>
    <row r="5147" spans="1:5" x14ac:dyDescent="0.25">
      <c r="A5147" s="216" t="s">
        <v>10619</v>
      </c>
      <c r="B5147" s="218">
        <v>1</v>
      </c>
      <c r="C5147" s="220" t="s">
        <v>1551</v>
      </c>
      <c r="D5147" s="220" t="s">
        <v>69</v>
      </c>
      <c r="E5147" s="165">
        <v>182</v>
      </c>
    </row>
    <row r="5148" spans="1:5" x14ac:dyDescent="0.25">
      <c r="A5148" s="216" t="s">
        <v>3717</v>
      </c>
      <c r="B5148" s="218" t="s">
        <v>48</v>
      </c>
      <c r="C5148" s="220" t="s">
        <v>89</v>
      </c>
      <c r="D5148" s="220" t="s">
        <v>90</v>
      </c>
      <c r="E5148" s="165">
        <v>182</v>
      </c>
    </row>
    <row r="5149" spans="1:5" x14ac:dyDescent="0.25">
      <c r="A5149" s="216" t="s">
        <v>7268</v>
      </c>
      <c r="B5149" s="218">
        <v>1</v>
      </c>
      <c r="C5149" s="220" t="s">
        <v>2156</v>
      </c>
      <c r="D5149" s="220" t="s">
        <v>63</v>
      </c>
      <c r="E5149" s="165">
        <v>182</v>
      </c>
    </row>
    <row r="5150" spans="1:5" x14ac:dyDescent="0.25">
      <c r="A5150" s="216" t="s">
        <v>6955</v>
      </c>
      <c r="B5150" s="218">
        <v>1</v>
      </c>
      <c r="C5150" s="220" t="s">
        <v>6956</v>
      </c>
      <c r="D5150" s="220" t="s">
        <v>142</v>
      </c>
      <c r="E5150" s="165">
        <v>182</v>
      </c>
    </row>
    <row r="5151" spans="1:5" x14ac:dyDescent="0.25">
      <c r="A5151" s="216" t="s">
        <v>11385</v>
      </c>
      <c r="B5151" s="218">
        <v>1</v>
      </c>
      <c r="C5151" s="220" t="s">
        <v>1647</v>
      </c>
      <c r="D5151" s="220" t="s">
        <v>98</v>
      </c>
      <c r="E5151" s="165">
        <v>182</v>
      </c>
    </row>
    <row r="5152" spans="1:5" x14ac:dyDescent="0.25">
      <c r="A5152" s="216" t="s">
        <v>10542</v>
      </c>
      <c r="B5152" s="218">
        <v>1</v>
      </c>
      <c r="C5152" s="220" t="s">
        <v>2541</v>
      </c>
      <c r="D5152" s="220" t="s">
        <v>142</v>
      </c>
      <c r="E5152" s="165">
        <v>181</v>
      </c>
    </row>
    <row r="5153" spans="1:5" x14ac:dyDescent="0.25">
      <c r="A5153" s="216" t="s">
        <v>7059</v>
      </c>
      <c r="B5153" s="218">
        <v>1</v>
      </c>
      <c r="C5153" s="220" t="s">
        <v>962</v>
      </c>
      <c r="D5153" s="220" t="s">
        <v>50</v>
      </c>
      <c r="E5153" s="165">
        <v>181</v>
      </c>
    </row>
    <row r="5154" spans="1:5" x14ac:dyDescent="0.25">
      <c r="A5154" s="216" t="s">
        <v>6691</v>
      </c>
      <c r="B5154" s="218">
        <v>1</v>
      </c>
      <c r="C5154" s="220" t="s">
        <v>2015</v>
      </c>
      <c r="D5154" s="220" t="s">
        <v>142</v>
      </c>
      <c r="E5154" s="165">
        <v>181</v>
      </c>
    </row>
    <row r="5155" spans="1:5" x14ac:dyDescent="0.25">
      <c r="A5155" s="216" t="s">
        <v>7141</v>
      </c>
      <c r="B5155" s="218">
        <v>1</v>
      </c>
      <c r="C5155" s="220" t="s">
        <v>121</v>
      </c>
      <c r="D5155" s="220" t="s">
        <v>56</v>
      </c>
      <c r="E5155" s="165">
        <v>181</v>
      </c>
    </row>
    <row r="5156" spans="1:5" x14ac:dyDescent="0.25">
      <c r="A5156" s="216" t="s">
        <v>7279</v>
      </c>
      <c r="B5156" s="218" t="s">
        <v>48</v>
      </c>
      <c r="C5156" s="220" t="s">
        <v>283</v>
      </c>
      <c r="D5156" s="220" t="s">
        <v>59</v>
      </c>
      <c r="E5156" s="165">
        <v>181</v>
      </c>
    </row>
    <row r="5157" spans="1:5" x14ac:dyDescent="0.25">
      <c r="A5157" s="216" t="s">
        <v>7185</v>
      </c>
      <c r="B5157" s="218">
        <v>1</v>
      </c>
      <c r="C5157" s="220" t="s">
        <v>2440</v>
      </c>
      <c r="D5157" s="220" t="s">
        <v>69</v>
      </c>
      <c r="E5157" s="165">
        <v>181</v>
      </c>
    </row>
    <row r="5158" spans="1:5" x14ac:dyDescent="0.25">
      <c r="A5158" s="216" t="s">
        <v>6374</v>
      </c>
      <c r="B5158" s="218">
        <v>1</v>
      </c>
      <c r="C5158" s="220" t="s">
        <v>2347</v>
      </c>
      <c r="D5158" s="220" t="s">
        <v>277</v>
      </c>
      <c r="E5158" s="165">
        <v>181</v>
      </c>
    </row>
    <row r="5159" spans="1:5" x14ac:dyDescent="0.25">
      <c r="A5159" s="216" t="s">
        <v>7113</v>
      </c>
      <c r="B5159" s="218">
        <v>1</v>
      </c>
      <c r="C5159" s="220" t="s">
        <v>7114</v>
      </c>
      <c r="D5159" s="220" t="s">
        <v>98</v>
      </c>
      <c r="E5159" s="165">
        <v>181</v>
      </c>
    </row>
    <row r="5160" spans="1:5" x14ac:dyDescent="0.25">
      <c r="A5160" s="216" t="s">
        <v>7115</v>
      </c>
      <c r="B5160" s="218">
        <v>1</v>
      </c>
      <c r="C5160" s="220" t="s">
        <v>7116</v>
      </c>
      <c r="D5160" s="220" t="s">
        <v>98</v>
      </c>
      <c r="E5160" s="165">
        <v>181</v>
      </c>
    </row>
    <row r="5161" spans="1:5" x14ac:dyDescent="0.25">
      <c r="A5161" s="216" t="s">
        <v>7514</v>
      </c>
      <c r="B5161" s="218" t="s">
        <v>48</v>
      </c>
      <c r="C5161" s="220" t="s">
        <v>2395</v>
      </c>
      <c r="D5161" s="220" t="s">
        <v>206</v>
      </c>
      <c r="E5161" s="165">
        <v>181</v>
      </c>
    </row>
    <row r="5162" spans="1:5" x14ac:dyDescent="0.25">
      <c r="A5162" s="216" t="s">
        <v>11386</v>
      </c>
      <c r="B5162" s="218">
        <v>1</v>
      </c>
      <c r="C5162" s="220" t="s">
        <v>8786</v>
      </c>
      <c r="D5162" s="220" t="s">
        <v>277</v>
      </c>
      <c r="E5162" s="165">
        <v>181</v>
      </c>
    </row>
    <row r="5163" spans="1:5" x14ac:dyDescent="0.25">
      <c r="A5163" s="216" t="s">
        <v>7075</v>
      </c>
      <c r="B5163" s="218">
        <v>1</v>
      </c>
      <c r="C5163" s="220" t="s">
        <v>6448</v>
      </c>
      <c r="D5163" s="220" t="s">
        <v>50</v>
      </c>
      <c r="E5163" s="165">
        <v>181</v>
      </c>
    </row>
    <row r="5164" spans="1:5" x14ac:dyDescent="0.25">
      <c r="A5164" s="216" t="s">
        <v>7269</v>
      </c>
      <c r="B5164" s="218">
        <v>1</v>
      </c>
      <c r="C5164" s="220" t="s">
        <v>7270</v>
      </c>
      <c r="D5164" s="220" t="s">
        <v>63</v>
      </c>
      <c r="E5164" s="165">
        <v>181</v>
      </c>
    </row>
    <row r="5165" spans="1:5" x14ac:dyDescent="0.25">
      <c r="A5165" s="216" t="s">
        <v>7530</v>
      </c>
      <c r="B5165" s="218">
        <v>1</v>
      </c>
      <c r="C5165" s="220" t="s">
        <v>7531</v>
      </c>
      <c r="D5165" s="220" t="s">
        <v>118</v>
      </c>
      <c r="E5165" s="165">
        <v>181</v>
      </c>
    </row>
    <row r="5166" spans="1:5" x14ac:dyDescent="0.25">
      <c r="A5166" s="216" t="s">
        <v>11387</v>
      </c>
      <c r="B5166" s="218">
        <v>1</v>
      </c>
      <c r="C5166" s="220" t="s">
        <v>11381</v>
      </c>
      <c r="D5166" s="220" t="s">
        <v>66</v>
      </c>
      <c r="E5166" s="165">
        <v>181</v>
      </c>
    </row>
    <row r="5167" spans="1:5" x14ac:dyDescent="0.25">
      <c r="A5167" s="216" t="s">
        <v>7274</v>
      </c>
      <c r="B5167" s="218" t="s">
        <v>48</v>
      </c>
      <c r="C5167" s="220" t="s">
        <v>7275</v>
      </c>
      <c r="D5167" s="220" t="s">
        <v>69</v>
      </c>
      <c r="E5167" s="165">
        <v>181</v>
      </c>
    </row>
    <row r="5168" spans="1:5" x14ac:dyDescent="0.25">
      <c r="A5168" s="216" t="s">
        <v>6530</v>
      </c>
      <c r="B5168" s="218">
        <v>1</v>
      </c>
      <c r="C5168" s="220" t="s">
        <v>5243</v>
      </c>
      <c r="D5168" s="220" t="s">
        <v>277</v>
      </c>
      <c r="E5168" s="165">
        <v>180</v>
      </c>
    </row>
    <row r="5169" spans="1:5" x14ac:dyDescent="0.25">
      <c r="A5169" s="216" t="s">
        <v>8062</v>
      </c>
      <c r="B5169" s="218" t="s">
        <v>48</v>
      </c>
      <c r="C5169" s="220" t="s">
        <v>3850</v>
      </c>
      <c r="D5169" s="220" t="s">
        <v>93</v>
      </c>
      <c r="E5169" s="165">
        <v>180</v>
      </c>
    </row>
    <row r="5170" spans="1:5" x14ac:dyDescent="0.25">
      <c r="A5170" s="216" t="s">
        <v>6689</v>
      </c>
      <c r="B5170" s="218" t="s">
        <v>48</v>
      </c>
      <c r="C5170" s="220" t="s">
        <v>1113</v>
      </c>
      <c r="D5170" s="220" t="s">
        <v>50</v>
      </c>
      <c r="E5170" s="165">
        <v>180</v>
      </c>
    </row>
    <row r="5171" spans="1:5" x14ac:dyDescent="0.25">
      <c r="A5171" s="216" t="s">
        <v>9069</v>
      </c>
      <c r="B5171" s="218" t="s">
        <v>48</v>
      </c>
      <c r="C5171" s="220" t="s">
        <v>8749</v>
      </c>
      <c r="D5171" s="220" t="s">
        <v>78</v>
      </c>
      <c r="E5171" s="165">
        <v>180</v>
      </c>
    </row>
    <row r="5172" spans="1:5" x14ac:dyDescent="0.25">
      <c r="A5172" s="216" t="s">
        <v>7049</v>
      </c>
      <c r="B5172" s="218">
        <v>1</v>
      </c>
      <c r="C5172" s="220" t="s">
        <v>86</v>
      </c>
      <c r="D5172" s="220" t="s">
        <v>78</v>
      </c>
      <c r="E5172" s="165">
        <v>180</v>
      </c>
    </row>
    <row r="5173" spans="1:5" x14ac:dyDescent="0.25">
      <c r="A5173" s="216" t="s">
        <v>7352</v>
      </c>
      <c r="B5173" s="218">
        <v>1</v>
      </c>
      <c r="C5173" s="220" t="s">
        <v>2121</v>
      </c>
      <c r="D5173" s="220" t="s">
        <v>69</v>
      </c>
      <c r="E5173" s="165">
        <v>180</v>
      </c>
    </row>
    <row r="5174" spans="1:5" x14ac:dyDescent="0.25">
      <c r="A5174" s="216" t="s">
        <v>7124</v>
      </c>
      <c r="B5174" s="218" t="s">
        <v>48</v>
      </c>
      <c r="C5174" s="220" t="s">
        <v>7125</v>
      </c>
      <c r="D5174" s="220" t="s">
        <v>59</v>
      </c>
      <c r="E5174" s="165">
        <v>180</v>
      </c>
    </row>
    <row r="5175" spans="1:5" x14ac:dyDescent="0.25">
      <c r="A5175" s="216" t="s">
        <v>7473</v>
      </c>
      <c r="B5175" s="218" t="s">
        <v>48</v>
      </c>
      <c r="C5175" s="220" t="s">
        <v>1669</v>
      </c>
      <c r="D5175" s="220" t="s">
        <v>378</v>
      </c>
      <c r="E5175" s="165">
        <v>180</v>
      </c>
    </row>
    <row r="5176" spans="1:5" x14ac:dyDescent="0.25">
      <c r="A5176" s="216" t="s">
        <v>6491</v>
      </c>
      <c r="B5176" s="218">
        <v>1</v>
      </c>
      <c r="C5176" s="220" t="s">
        <v>6492</v>
      </c>
      <c r="D5176" s="220" t="s">
        <v>523</v>
      </c>
      <c r="E5176" s="165">
        <v>180</v>
      </c>
    </row>
    <row r="5177" spans="1:5" x14ac:dyDescent="0.25">
      <c r="A5177" s="216" t="s">
        <v>6532</v>
      </c>
      <c r="B5177" s="218">
        <v>1</v>
      </c>
      <c r="C5177" s="220" t="s">
        <v>11388</v>
      </c>
      <c r="D5177" s="220" t="s">
        <v>50</v>
      </c>
      <c r="E5177" s="165">
        <v>180</v>
      </c>
    </row>
    <row r="5178" spans="1:5" x14ac:dyDescent="0.25">
      <c r="A5178" s="216" t="s">
        <v>10666</v>
      </c>
      <c r="B5178" s="218" t="s">
        <v>48</v>
      </c>
      <c r="C5178" s="220" t="s">
        <v>11389</v>
      </c>
      <c r="D5178" s="220" t="s">
        <v>53</v>
      </c>
      <c r="E5178" s="165">
        <v>180</v>
      </c>
    </row>
    <row r="5179" spans="1:5" x14ac:dyDescent="0.25">
      <c r="A5179" s="216" t="s">
        <v>6904</v>
      </c>
      <c r="B5179" s="218" t="s">
        <v>48</v>
      </c>
      <c r="C5179" s="220" t="s">
        <v>2395</v>
      </c>
      <c r="D5179" s="220" t="s">
        <v>206</v>
      </c>
      <c r="E5179" s="165">
        <v>180</v>
      </c>
    </row>
    <row r="5180" spans="1:5" x14ac:dyDescent="0.25">
      <c r="A5180" s="216" t="s">
        <v>11390</v>
      </c>
      <c r="B5180" s="218" t="s">
        <v>48</v>
      </c>
      <c r="C5180" s="220" t="s">
        <v>6620</v>
      </c>
      <c r="D5180" s="220" t="s">
        <v>56</v>
      </c>
      <c r="E5180" s="165">
        <v>180</v>
      </c>
    </row>
    <row r="5181" spans="1:5" x14ac:dyDescent="0.25">
      <c r="A5181" s="216" t="s">
        <v>6781</v>
      </c>
      <c r="B5181" s="218">
        <v>1</v>
      </c>
      <c r="C5181" s="220" t="s">
        <v>997</v>
      </c>
      <c r="D5181" s="220" t="s">
        <v>139</v>
      </c>
      <c r="E5181" s="165">
        <v>180</v>
      </c>
    </row>
    <row r="5182" spans="1:5" x14ac:dyDescent="0.25">
      <c r="A5182" s="216" t="s">
        <v>7363</v>
      </c>
      <c r="B5182" s="218">
        <v>1</v>
      </c>
      <c r="C5182" s="220" t="s">
        <v>2256</v>
      </c>
      <c r="D5182" s="220" t="s">
        <v>69</v>
      </c>
      <c r="E5182" s="165">
        <v>180</v>
      </c>
    </row>
    <row r="5183" spans="1:5" x14ac:dyDescent="0.25">
      <c r="A5183" s="216" t="s">
        <v>6540</v>
      </c>
      <c r="B5183" s="218">
        <v>1</v>
      </c>
      <c r="C5183" s="220" t="s">
        <v>6541</v>
      </c>
      <c r="D5183" s="220" t="s">
        <v>277</v>
      </c>
      <c r="E5183" s="165">
        <v>180</v>
      </c>
    </row>
    <row r="5184" spans="1:5" x14ac:dyDescent="0.25">
      <c r="A5184" s="216" t="s">
        <v>7209</v>
      </c>
      <c r="B5184" s="218">
        <v>1</v>
      </c>
      <c r="C5184" s="220" t="s">
        <v>171</v>
      </c>
      <c r="D5184" s="220" t="s">
        <v>172</v>
      </c>
      <c r="E5184" s="165">
        <v>180</v>
      </c>
    </row>
    <row r="5185" spans="1:5" x14ac:dyDescent="0.25">
      <c r="A5185" s="216" t="s">
        <v>7369</v>
      </c>
      <c r="B5185" s="218">
        <v>1</v>
      </c>
      <c r="C5185" s="220" t="s">
        <v>1508</v>
      </c>
      <c r="D5185" s="220" t="s">
        <v>69</v>
      </c>
      <c r="E5185" s="165">
        <v>180</v>
      </c>
    </row>
    <row r="5186" spans="1:5" x14ac:dyDescent="0.25">
      <c r="A5186" s="216" t="s">
        <v>7084</v>
      </c>
      <c r="B5186" s="218">
        <v>1</v>
      </c>
      <c r="C5186" s="220" t="s">
        <v>7085</v>
      </c>
      <c r="D5186" s="220" t="s">
        <v>50</v>
      </c>
      <c r="E5186" s="165">
        <v>180</v>
      </c>
    </row>
    <row r="5187" spans="1:5" x14ac:dyDescent="0.25">
      <c r="A5187" s="216" t="s">
        <v>6546</v>
      </c>
      <c r="B5187" s="218" t="s">
        <v>48</v>
      </c>
      <c r="C5187" s="220" t="s">
        <v>2782</v>
      </c>
      <c r="D5187" s="220" t="s">
        <v>139</v>
      </c>
      <c r="E5187" s="165">
        <v>180</v>
      </c>
    </row>
    <row r="5188" spans="1:5" x14ac:dyDescent="0.25">
      <c r="A5188" s="216" t="s">
        <v>7560</v>
      </c>
      <c r="B5188" s="218">
        <v>1</v>
      </c>
      <c r="C5188" s="220" t="s">
        <v>727</v>
      </c>
      <c r="D5188" s="220" t="s">
        <v>118</v>
      </c>
      <c r="E5188" s="165">
        <v>180</v>
      </c>
    </row>
    <row r="5189" spans="1:5" x14ac:dyDescent="0.25">
      <c r="A5189" s="216" t="s">
        <v>7182</v>
      </c>
      <c r="B5189" s="218">
        <v>1</v>
      </c>
      <c r="C5189" s="220" t="s">
        <v>7183</v>
      </c>
      <c r="D5189" s="220" t="s">
        <v>56</v>
      </c>
      <c r="E5189" s="165">
        <v>179</v>
      </c>
    </row>
    <row r="5190" spans="1:5" x14ac:dyDescent="0.25">
      <c r="A5190" s="216" t="s">
        <v>7236</v>
      </c>
      <c r="B5190" s="218" t="s">
        <v>48</v>
      </c>
      <c r="C5190" s="220" t="s">
        <v>300</v>
      </c>
      <c r="D5190" s="220" t="s">
        <v>69</v>
      </c>
      <c r="E5190" s="165">
        <v>179</v>
      </c>
    </row>
    <row r="5191" spans="1:5" x14ac:dyDescent="0.25">
      <c r="A5191" s="216" t="s">
        <v>7186</v>
      </c>
      <c r="B5191" s="218">
        <v>1</v>
      </c>
      <c r="C5191" s="220" t="s">
        <v>1622</v>
      </c>
      <c r="D5191" s="220" t="s">
        <v>56</v>
      </c>
      <c r="E5191" s="165">
        <v>179</v>
      </c>
    </row>
    <row r="5192" spans="1:5" x14ac:dyDescent="0.25">
      <c r="A5192" s="216" t="s">
        <v>7093</v>
      </c>
      <c r="B5192" s="218">
        <v>1</v>
      </c>
      <c r="C5192" s="220" t="s">
        <v>3481</v>
      </c>
      <c r="D5192" s="220" t="s">
        <v>277</v>
      </c>
      <c r="E5192" s="165">
        <v>179</v>
      </c>
    </row>
    <row r="5193" spans="1:5" x14ac:dyDescent="0.25">
      <c r="A5193" s="216" t="s">
        <v>8503</v>
      </c>
      <c r="B5193" s="218" t="s">
        <v>48</v>
      </c>
      <c r="C5193" s="220" t="s">
        <v>2458</v>
      </c>
      <c r="D5193" s="220" t="s">
        <v>59</v>
      </c>
      <c r="E5193" s="165">
        <v>179</v>
      </c>
    </row>
    <row r="5194" spans="1:5" x14ac:dyDescent="0.25">
      <c r="A5194" s="216" t="s">
        <v>7178</v>
      </c>
      <c r="B5194" s="218">
        <v>1</v>
      </c>
      <c r="C5194" s="220" t="s">
        <v>3201</v>
      </c>
      <c r="D5194" s="220" t="s">
        <v>53</v>
      </c>
      <c r="E5194" s="165">
        <v>179</v>
      </c>
    </row>
    <row r="5195" spans="1:5" x14ac:dyDescent="0.25">
      <c r="A5195" s="216" t="s">
        <v>7916</v>
      </c>
      <c r="B5195" s="218">
        <v>1</v>
      </c>
      <c r="C5195" s="220" t="s">
        <v>1105</v>
      </c>
      <c r="D5195" s="220" t="s">
        <v>523</v>
      </c>
      <c r="E5195" s="165">
        <v>179</v>
      </c>
    </row>
    <row r="5196" spans="1:5" x14ac:dyDescent="0.25">
      <c r="A5196" s="216" t="s">
        <v>6919</v>
      </c>
      <c r="B5196" s="218">
        <v>1</v>
      </c>
      <c r="C5196" s="220" t="s">
        <v>925</v>
      </c>
      <c r="D5196" s="220" t="s">
        <v>394</v>
      </c>
      <c r="E5196" s="165">
        <v>179</v>
      </c>
    </row>
    <row r="5197" spans="1:5" x14ac:dyDescent="0.25">
      <c r="A5197" s="216" t="s">
        <v>11391</v>
      </c>
      <c r="B5197" s="218">
        <v>1</v>
      </c>
      <c r="C5197" s="220" t="s">
        <v>11292</v>
      </c>
      <c r="D5197" s="220" t="s">
        <v>105</v>
      </c>
      <c r="E5197" s="165">
        <v>179</v>
      </c>
    </row>
    <row r="5198" spans="1:5" x14ac:dyDescent="0.25">
      <c r="A5198" s="216" t="s">
        <v>7134</v>
      </c>
      <c r="B5198" s="218" t="s">
        <v>48</v>
      </c>
      <c r="C5198" s="220" t="s">
        <v>5887</v>
      </c>
      <c r="D5198" s="220" t="s">
        <v>139</v>
      </c>
      <c r="E5198" s="165">
        <v>178</v>
      </c>
    </row>
    <row r="5199" spans="1:5" x14ac:dyDescent="0.25">
      <c r="A5199" s="216" t="s">
        <v>7966</v>
      </c>
      <c r="B5199" s="218" t="s">
        <v>48</v>
      </c>
      <c r="C5199" s="220" t="s">
        <v>7967</v>
      </c>
      <c r="D5199" s="220" t="s">
        <v>166</v>
      </c>
      <c r="E5199" s="165">
        <v>178</v>
      </c>
    </row>
    <row r="5200" spans="1:5" x14ac:dyDescent="0.25">
      <c r="A5200" s="216" t="s">
        <v>7048</v>
      </c>
      <c r="B5200" s="218">
        <v>1</v>
      </c>
      <c r="C5200" s="220" t="s">
        <v>146</v>
      </c>
      <c r="D5200" s="220" t="s">
        <v>142</v>
      </c>
      <c r="E5200" s="165">
        <v>178</v>
      </c>
    </row>
    <row r="5201" spans="1:5" x14ac:dyDescent="0.25">
      <c r="A5201" s="216" t="s">
        <v>3998</v>
      </c>
      <c r="B5201" s="218" t="s">
        <v>48</v>
      </c>
      <c r="C5201" s="220" t="s">
        <v>3999</v>
      </c>
      <c r="D5201" s="220" t="s">
        <v>90</v>
      </c>
      <c r="E5201" s="165">
        <v>178</v>
      </c>
    </row>
    <row r="5202" spans="1:5" x14ac:dyDescent="0.25">
      <c r="A5202" s="216" t="s">
        <v>10691</v>
      </c>
      <c r="B5202" s="218">
        <v>1</v>
      </c>
      <c r="C5202" s="220" t="s">
        <v>11392</v>
      </c>
      <c r="D5202" s="220" t="s">
        <v>201</v>
      </c>
      <c r="E5202" s="165">
        <v>178</v>
      </c>
    </row>
    <row r="5203" spans="1:5" x14ac:dyDescent="0.25">
      <c r="A5203" s="216" t="s">
        <v>11393</v>
      </c>
      <c r="B5203" s="218" t="s">
        <v>48</v>
      </c>
      <c r="C5203" s="220" t="s">
        <v>3038</v>
      </c>
      <c r="D5203" s="220" t="s">
        <v>59</v>
      </c>
      <c r="E5203" s="165">
        <v>178</v>
      </c>
    </row>
    <row r="5204" spans="1:5" x14ac:dyDescent="0.25">
      <c r="A5204" s="216" t="s">
        <v>6524</v>
      </c>
      <c r="B5204" s="218">
        <v>1</v>
      </c>
      <c r="C5204" s="220" t="s">
        <v>6525</v>
      </c>
      <c r="D5204" s="220" t="s">
        <v>523</v>
      </c>
      <c r="E5204" s="165">
        <v>178</v>
      </c>
    </row>
    <row r="5205" spans="1:5" x14ac:dyDescent="0.25">
      <c r="A5205" s="216" t="s">
        <v>4419</v>
      </c>
      <c r="B5205" s="218" t="s">
        <v>48</v>
      </c>
      <c r="C5205" s="220" t="s">
        <v>4420</v>
      </c>
      <c r="D5205" s="220" t="s">
        <v>59</v>
      </c>
      <c r="E5205" s="165">
        <v>178</v>
      </c>
    </row>
    <row r="5206" spans="1:5" x14ac:dyDescent="0.25">
      <c r="A5206" s="216" t="s">
        <v>5512</v>
      </c>
      <c r="B5206" s="218" t="s">
        <v>48</v>
      </c>
      <c r="C5206" s="220" t="s">
        <v>5513</v>
      </c>
      <c r="D5206" s="220" t="s">
        <v>93</v>
      </c>
      <c r="E5206" s="165">
        <v>178</v>
      </c>
    </row>
    <row r="5207" spans="1:5" x14ac:dyDescent="0.25">
      <c r="A5207" s="216" t="s">
        <v>7381</v>
      </c>
      <c r="B5207" s="218" t="s">
        <v>48</v>
      </c>
      <c r="C5207" s="220" t="s">
        <v>2653</v>
      </c>
      <c r="D5207" s="220" t="s">
        <v>628</v>
      </c>
      <c r="E5207" s="165">
        <v>177</v>
      </c>
    </row>
    <row r="5208" spans="1:5" x14ac:dyDescent="0.25">
      <c r="A5208" s="216" t="s">
        <v>7257</v>
      </c>
      <c r="B5208" s="218">
        <v>1</v>
      </c>
      <c r="C5208" s="220" t="s">
        <v>925</v>
      </c>
      <c r="D5208" s="220" t="s">
        <v>66</v>
      </c>
      <c r="E5208" s="165">
        <v>177</v>
      </c>
    </row>
    <row r="5209" spans="1:5" x14ac:dyDescent="0.25">
      <c r="A5209" s="216" t="s">
        <v>6202</v>
      </c>
      <c r="B5209" s="218" t="s">
        <v>48</v>
      </c>
      <c r="C5209" s="220" t="s">
        <v>6203</v>
      </c>
      <c r="D5209" s="220" t="s">
        <v>87</v>
      </c>
      <c r="E5209" s="165">
        <v>177</v>
      </c>
    </row>
    <row r="5210" spans="1:5" x14ac:dyDescent="0.25">
      <c r="A5210" s="216" t="s">
        <v>7091</v>
      </c>
      <c r="B5210" s="218">
        <v>1</v>
      </c>
      <c r="C5210" s="220" t="s">
        <v>6682</v>
      </c>
      <c r="D5210" s="220" t="s">
        <v>201</v>
      </c>
      <c r="E5210" s="165">
        <v>176</v>
      </c>
    </row>
    <row r="5211" spans="1:5" x14ac:dyDescent="0.25">
      <c r="A5211" s="216" t="s">
        <v>6518</v>
      </c>
      <c r="B5211" s="218" t="s">
        <v>48</v>
      </c>
      <c r="C5211" s="220" t="s">
        <v>6519</v>
      </c>
      <c r="D5211" s="220" t="s">
        <v>90</v>
      </c>
      <c r="E5211" s="165">
        <v>176</v>
      </c>
    </row>
    <row r="5212" spans="1:5" x14ac:dyDescent="0.25">
      <c r="A5212" s="216" t="s">
        <v>11394</v>
      </c>
      <c r="B5212" s="218">
        <v>1</v>
      </c>
      <c r="C5212" s="220" t="s">
        <v>3656</v>
      </c>
      <c r="D5212" s="220" t="s">
        <v>66</v>
      </c>
      <c r="E5212" s="165">
        <v>176</v>
      </c>
    </row>
    <row r="5213" spans="1:5" x14ac:dyDescent="0.25">
      <c r="A5213" s="216" t="s">
        <v>6835</v>
      </c>
      <c r="B5213" s="218">
        <v>1</v>
      </c>
      <c r="C5213" s="220" t="s">
        <v>6836</v>
      </c>
      <c r="D5213" s="220" t="s">
        <v>172</v>
      </c>
      <c r="E5213" s="165">
        <v>176</v>
      </c>
    </row>
    <row r="5214" spans="1:5" x14ac:dyDescent="0.25">
      <c r="A5214" s="216" t="s">
        <v>6598</v>
      </c>
      <c r="B5214" s="218">
        <v>1</v>
      </c>
      <c r="C5214" s="220" t="s">
        <v>2780</v>
      </c>
      <c r="D5214" s="220" t="s">
        <v>277</v>
      </c>
      <c r="E5214" s="165">
        <v>176</v>
      </c>
    </row>
    <row r="5215" spans="1:5" x14ac:dyDescent="0.25">
      <c r="A5215" s="216" t="s">
        <v>6600</v>
      </c>
      <c r="B5215" s="218">
        <v>1</v>
      </c>
      <c r="C5215" s="220" t="s">
        <v>6601</v>
      </c>
      <c r="D5215" s="220" t="s">
        <v>277</v>
      </c>
      <c r="E5215" s="165">
        <v>176</v>
      </c>
    </row>
    <row r="5216" spans="1:5" x14ac:dyDescent="0.25">
      <c r="A5216" s="216" t="s">
        <v>11395</v>
      </c>
      <c r="B5216" s="218" t="s">
        <v>48</v>
      </c>
      <c r="C5216" s="220" t="s">
        <v>1293</v>
      </c>
      <c r="D5216" s="220" t="s">
        <v>166</v>
      </c>
      <c r="E5216" s="165">
        <v>176</v>
      </c>
    </row>
    <row r="5217" spans="1:5" x14ac:dyDescent="0.25">
      <c r="A5217" s="216" t="s">
        <v>6857</v>
      </c>
      <c r="B5217" s="218">
        <v>1</v>
      </c>
      <c r="C5217" s="220" t="s">
        <v>138</v>
      </c>
      <c r="D5217" s="220" t="s">
        <v>139</v>
      </c>
      <c r="E5217" s="165">
        <v>175</v>
      </c>
    </row>
    <row r="5218" spans="1:5" x14ac:dyDescent="0.25">
      <c r="A5218" s="216" t="s">
        <v>7590</v>
      </c>
      <c r="B5218" s="218" t="s">
        <v>48</v>
      </c>
      <c r="C5218" s="220" t="s">
        <v>1098</v>
      </c>
      <c r="D5218" s="220" t="s">
        <v>66</v>
      </c>
      <c r="E5218" s="165">
        <v>175</v>
      </c>
    </row>
    <row r="5219" spans="1:5" x14ac:dyDescent="0.25">
      <c r="A5219" s="216" t="s">
        <v>8160</v>
      </c>
      <c r="B5219" s="218" t="s">
        <v>48</v>
      </c>
      <c r="C5219" s="220" t="s">
        <v>6175</v>
      </c>
      <c r="D5219" s="220" t="s">
        <v>710</v>
      </c>
      <c r="E5219" s="165">
        <v>175</v>
      </c>
    </row>
    <row r="5220" spans="1:5" x14ac:dyDescent="0.25">
      <c r="A5220" s="216" t="s">
        <v>7499</v>
      </c>
      <c r="B5220" s="218">
        <v>1</v>
      </c>
      <c r="C5220" s="220" t="s">
        <v>7500</v>
      </c>
      <c r="D5220" s="220" t="s">
        <v>63</v>
      </c>
      <c r="E5220" s="165">
        <v>175</v>
      </c>
    </row>
    <row r="5221" spans="1:5" x14ac:dyDescent="0.25">
      <c r="A5221" s="216" t="s">
        <v>6123</v>
      </c>
      <c r="B5221" s="218" t="s">
        <v>48</v>
      </c>
      <c r="C5221" s="220" t="s">
        <v>1614</v>
      </c>
      <c r="D5221" s="220" t="s">
        <v>93</v>
      </c>
      <c r="E5221" s="165">
        <v>175</v>
      </c>
    </row>
    <row r="5222" spans="1:5" x14ac:dyDescent="0.25">
      <c r="A5222" s="216" t="s">
        <v>7859</v>
      </c>
      <c r="B5222" s="218" t="s">
        <v>48</v>
      </c>
      <c r="C5222" s="220" t="s">
        <v>1518</v>
      </c>
      <c r="D5222" s="220" t="s">
        <v>63</v>
      </c>
      <c r="E5222" s="165">
        <v>175</v>
      </c>
    </row>
    <row r="5223" spans="1:5" x14ac:dyDescent="0.25">
      <c r="A5223" s="216" t="s">
        <v>6826</v>
      </c>
      <c r="B5223" s="218" t="s">
        <v>48</v>
      </c>
      <c r="C5223" s="220" t="s">
        <v>6827</v>
      </c>
      <c r="D5223" s="220" t="s">
        <v>108</v>
      </c>
      <c r="E5223" s="165">
        <v>175</v>
      </c>
    </row>
    <row r="5224" spans="1:5" x14ac:dyDescent="0.25">
      <c r="A5224" s="216" t="s">
        <v>7952</v>
      </c>
      <c r="B5224" s="218" t="s">
        <v>48</v>
      </c>
      <c r="C5224" s="220" t="s">
        <v>6862</v>
      </c>
      <c r="D5224" s="220" t="s">
        <v>82</v>
      </c>
      <c r="E5224" s="165">
        <v>175</v>
      </c>
    </row>
    <row r="5225" spans="1:5" x14ac:dyDescent="0.25">
      <c r="A5225" s="216" t="s">
        <v>6615</v>
      </c>
      <c r="B5225" s="218">
        <v>1</v>
      </c>
      <c r="C5225" s="220" t="s">
        <v>2632</v>
      </c>
      <c r="D5225" s="220" t="s">
        <v>50</v>
      </c>
      <c r="E5225" s="165">
        <v>175</v>
      </c>
    </row>
    <row r="5226" spans="1:5" x14ac:dyDescent="0.25">
      <c r="A5226" s="216" t="s">
        <v>6841</v>
      </c>
      <c r="B5226" s="218" t="s">
        <v>48</v>
      </c>
      <c r="C5226" s="220" t="s">
        <v>3054</v>
      </c>
      <c r="D5226" s="220" t="s">
        <v>50</v>
      </c>
      <c r="E5226" s="165">
        <v>175</v>
      </c>
    </row>
    <row r="5227" spans="1:5" x14ac:dyDescent="0.25">
      <c r="A5227" s="216" t="s">
        <v>5329</v>
      </c>
      <c r="B5227" s="218" t="s">
        <v>48</v>
      </c>
      <c r="C5227" s="220" t="s">
        <v>2017</v>
      </c>
      <c r="D5227" s="220" t="s">
        <v>166</v>
      </c>
      <c r="E5227" s="165">
        <v>175</v>
      </c>
    </row>
    <row r="5228" spans="1:5" x14ac:dyDescent="0.25">
      <c r="A5228" s="216" t="s">
        <v>6624</v>
      </c>
      <c r="B5228" s="218" t="s">
        <v>48</v>
      </c>
      <c r="C5228" s="220" t="s">
        <v>6625</v>
      </c>
      <c r="D5228" s="220" t="s">
        <v>53</v>
      </c>
      <c r="E5228" s="165">
        <v>174</v>
      </c>
    </row>
    <row r="5229" spans="1:5" x14ac:dyDescent="0.25">
      <c r="A5229" s="216" t="s">
        <v>8151</v>
      </c>
      <c r="B5229" s="218" t="s">
        <v>48</v>
      </c>
      <c r="C5229" s="220" t="s">
        <v>8152</v>
      </c>
      <c r="D5229" s="220" t="s">
        <v>50</v>
      </c>
      <c r="E5229" s="165">
        <v>174</v>
      </c>
    </row>
    <row r="5230" spans="1:5" x14ac:dyDescent="0.25">
      <c r="A5230" s="216" t="s">
        <v>11396</v>
      </c>
      <c r="B5230" s="218" t="s">
        <v>48</v>
      </c>
      <c r="C5230" s="220" t="s">
        <v>11397</v>
      </c>
      <c r="D5230" s="220" t="s">
        <v>585</v>
      </c>
      <c r="E5230" s="165">
        <v>174</v>
      </c>
    </row>
    <row r="5231" spans="1:5" x14ac:dyDescent="0.25">
      <c r="A5231" s="216" t="s">
        <v>7423</v>
      </c>
      <c r="B5231" s="218">
        <v>1</v>
      </c>
      <c r="C5231" s="220" t="s">
        <v>7424</v>
      </c>
      <c r="D5231" s="220" t="s">
        <v>63</v>
      </c>
      <c r="E5231" s="165">
        <v>174</v>
      </c>
    </row>
    <row r="5232" spans="1:5" x14ac:dyDescent="0.25">
      <c r="A5232" s="216" t="s">
        <v>7793</v>
      </c>
      <c r="B5232" s="218" t="s">
        <v>48</v>
      </c>
      <c r="C5232" s="220" t="s">
        <v>7794</v>
      </c>
      <c r="D5232" s="220" t="s">
        <v>166</v>
      </c>
      <c r="E5232" s="165">
        <v>173</v>
      </c>
    </row>
    <row r="5233" spans="1:5" x14ac:dyDescent="0.25">
      <c r="A5233" s="216" t="s">
        <v>7205</v>
      </c>
      <c r="B5233" s="218" t="s">
        <v>48</v>
      </c>
      <c r="C5233" s="220" t="s">
        <v>1788</v>
      </c>
      <c r="D5233" s="220" t="s">
        <v>59</v>
      </c>
      <c r="E5233" s="165">
        <v>173</v>
      </c>
    </row>
    <row r="5234" spans="1:5" x14ac:dyDescent="0.25">
      <c r="A5234" s="216" t="s">
        <v>10815</v>
      </c>
      <c r="B5234" s="218">
        <v>1</v>
      </c>
      <c r="C5234" s="220" t="s">
        <v>4357</v>
      </c>
      <c r="D5234" s="220" t="s">
        <v>139</v>
      </c>
      <c r="E5234" s="165">
        <v>173</v>
      </c>
    </row>
    <row r="5235" spans="1:5" x14ac:dyDescent="0.25">
      <c r="A5235" s="216" t="s">
        <v>7828</v>
      </c>
      <c r="B5235" s="218" t="s">
        <v>48</v>
      </c>
      <c r="C5235" s="220" t="s">
        <v>7829</v>
      </c>
      <c r="D5235" s="220" t="s">
        <v>585</v>
      </c>
      <c r="E5235" s="165">
        <v>173</v>
      </c>
    </row>
    <row r="5236" spans="1:5" x14ac:dyDescent="0.25">
      <c r="A5236" s="216" t="s">
        <v>7509</v>
      </c>
      <c r="B5236" s="218" t="s">
        <v>48</v>
      </c>
      <c r="C5236" s="220" t="s">
        <v>2443</v>
      </c>
      <c r="D5236" s="220" t="s">
        <v>59</v>
      </c>
      <c r="E5236" s="165">
        <v>173</v>
      </c>
    </row>
    <row r="5237" spans="1:5" x14ac:dyDescent="0.25">
      <c r="A5237" s="216" t="s">
        <v>8862</v>
      </c>
      <c r="B5237" s="218" t="s">
        <v>48</v>
      </c>
      <c r="C5237" s="220" t="s">
        <v>8863</v>
      </c>
      <c r="D5237" s="220" t="s">
        <v>75</v>
      </c>
      <c r="E5237" s="165">
        <v>172</v>
      </c>
    </row>
    <row r="5238" spans="1:5" x14ac:dyDescent="0.25">
      <c r="A5238" s="216" t="s">
        <v>7471</v>
      </c>
      <c r="B5238" s="218">
        <v>1</v>
      </c>
      <c r="C5238" s="220" t="s">
        <v>7472</v>
      </c>
      <c r="D5238" s="220" t="s">
        <v>177</v>
      </c>
      <c r="E5238" s="165">
        <v>172</v>
      </c>
    </row>
    <row r="5239" spans="1:5" x14ac:dyDescent="0.25">
      <c r="A5239" s="216" t="s">
        <v>11398</v>
      </c>
      <c r="B5239" s="218">
        <v>1</v>
      </c>
      <c r="C5239" s="220" t="s">
        <v>2071</v>
      </c>
      <c r="D5239" s="220" t="s">
        <v>56</v>
      </c>
      <c r="E5239" s="165">
        <v>172</v>
      </c>
    </row>
    <row r="5240" spans="1:5" x14ac:dyDescent="0.25">
      <c r="A5240" s="216" t="s">
        <v>6316</v>
      </c>
      <c r="B5240" s="218" t="s">
        <v>48</v>
      </c>
      <c r="C5240" s="220" t="s">
        <v>6317</v>
      </c>
      <c r="D5240" s="220" t="s">
        <v>166</v>
      </c>
      <c r="E5240" s="165">
        <v>172</v>
      </c>
    </row>
    <row r="5241" spans="1:5" x14ac:dyDescent="0.25">
      <c r="A5241" s="216" t="s">
        <v>7670</v>
      </c>
      <c r="B5241" s="218" t="s">
        <v>48</v>
      </c>
      <c r="C5241" s="220" t="s">
        <v>7671</v>
      </c>
      <c r="D5241" s="220" t="s">
        <v>59</v>
      </c>
      <c r="E5241" s="165">
        <v>172</v>
      </c>
    </row>
    <row r="5242" spans="1:5" x14ac:dyDescent="0.25">
      <c r="A5242" s="216" t="s">
        <v>7568</v>
      </c>
      <c r="B5242" s="218">
        <v>1</v>
      </c>
      <c r="C5242" s="220" t="s">
        <v>7569</v>
      </c>
      <c r="D5242" s="220" t="s">
        <v>139</v>
      </c>
      <c r="E5242" s="165">
        <v>172</v>
      </c>
    </row>
    <row r="5243" spans="1:5" x14ac:dyDescent="0.25">
      <c r="A5243" s="216" t="s">
        <v>10705</v>
      </c>
      <c r="B5243" s="218">
        <v>1</v>
      </c>
      <c r="C5243" s="220" t="s">
        <v>11399</v>
      </c>
      <c r="D5243" s="220" t="s">
        <v>348</v>
      </c>
      <c r="E5243" s="165">
        <v>172</v>
      </c>
    </row>
    <row r="5244" spans="1:5" x14ac:dyDescent="0.25">
      <c r="A5244" s="216" t="s">
        <v>7103</v>
      </c>
      <c r="B5244" s="218">
        <v>1</v>
      </c>
      <c r="C5244" s="220" t="s">
        <v>129</v>
      </c>
      <c r="D5244" s="220" t="s">
        <v>130</v>
      </c>
      <c r="E5244" s="165">
        <v>172</v>
      </c>
    </row>
    <row r="5245" spans="1:5" x14ac:dyDescent="0.25">
      <c r="A5245" s="216" t="s">
        <v>6830</v>
      </c>
      <c r="B5245" s="218" t="s">
        <v>48</v>
      </c>
      <c r="C5245" s="220" t="s">
        <v>404</v>
      </c>
      <c r="D5245" s="220" t="s">
        <v>59</v>
      </c>
      <c r="E5245" s="165">
        <v>172</v>
      </c>
    </row>
    <row r="5246" spans="1:5" x14ac:dyDescent="0.25">
      <c r="A5246" s="216" t="s">
        <v>7104</v>
      </c>
      <c r="B5246" s="218">
        <v>1</v>
      </c>
      <c r="C5246" s="220" t="s">
        <v>6603</v>
      </c>
      <c r="D5246" s="220" t="s">
        <v>130</v>
      </c>
      <c r="E5246" s="165">
        <v>172</v>
      </c>
    </row>
    <row r="5247" spans="1:5" x14ac:dyDescent="0.25">
      <c r="A5247" s="216" t="s">
        <v>7370</v>
      </c>
      <c r="B5247" s="218">
        <v>1</v>
      </c>
      <c r="C5247" s="220" t="s">
        <v>7371</v>
      </c>
      <c r="D5247" s="220" t="s">
        <v>66</v>
      </c>
      <c r="E5247" s="165">
        <v>172</v>
      </c>
    </row>
    <row r="5248" spans="1:5" x14ac:dyDescent="0.25">
      <c r="A5248" s="216" t="s">
        <v>7452</v>
      </c>
      <c r="B5248" s="218" t="s">
        <v>48</v>
      </c>
      <c r="C5248" s="220" t="s">
        <v>257</v>
      </c>
      <c r="D5248" s="220" t="s">
        <v>108</v>
      </c>
      <c r="E5248" s="165">
        <v>172</v>
      </c>
    </row>
    <row r="5249" spans="1:5" x14ac:dyDescent="0.25">
      <c r="A5249" s="216" t="s">
        <v>7372</v>
      </c>
      <c r="B5249" s="218">
        <v>1</v>
      </c>
      <c r="C5249" s="220" t="s">
        <v>90</v>
      </c>
      <c r="D5249" s="220" t="s">
        <v>66</v>
      </c>
      <c r="E5249" s="165">
        <v>172</v>
      </c>
    </row>
    <row r="5250" spans="1:5" x14ac:dyDescent="0.25">
      <c r="A5250" s="216" t="s">
        <v>7153</v>
      </c>
      <c r="B5250" s="218">
        <v>1</v>
      </c>
      <c r="C5250" s="220" t="s">
        <v>7154</v>
      </c>
      <c r="D5250" s="220" t="s">
        <v>93</v>
      </c>
      <c r="E5250" s="165">
        <v>172</v>
      </c>
    </row>
    <row r="5251" spans="1:5" x14ac:dyDescent="0.25">
      <c r="A5251" s="216" t="s">
        <v>7343</v>
      </c>
      <c r="B5251" s="218">
        <v>1</v>
      </c>
      <c r="C5251" s="220" t="s">
        <v>7344</v>
      </c>
      <c r="D5251" s="220" t="s">
        <v>66</v>
      </c>
      <c r="E5251" s="165">
        <v>172</v>
      </c>
    </row>
    <row r="5252" spans="1:5" x14ac:dyDescent="0.25">
      <c r="A5252" s="216" t="s">
        <v>7313</v>
      </c>
      <c r="B5252" s="218">
        <v>1</v>
      </c>
      <c r="C5252" s="220" t="s">
        <v>339</v>
      </c>
      <c r="D5252" s="220" t="s">
        <v>72</v>
      </c>
      <c r="E5252" s="165">
        <v>171</v>
      </c>
    </row>
    <row r="5253" spans="1:5" x14ac:dyDescent="0.25">
      <c r="A5253" s="216" t="s">
        <v>11400</v>
      </c>
      <c r="B5253" s="218">
        <v>1</v>
      </c>
      <c r="C5253" s="220" t="s">
        <v>350</v>
      </c>
      <c r="D5253" s="220" t="s">
        <v>69</v>
      </c>
      <c r="E5253" s="165">
        <v>171</v>
      </c>
    </row>
    <row r="5254" spans="1:5" x14ac:dyDescent="0.25">
      <c r="A5254" s="216" t="s">
        <v>11401</v>
      </c>
      <c r="B5254" s="218">
        <v>1</v>
      </c>
      <c r="C5254" s="220" t="s">
        <v>11402</v>
      </c>
      <c r="D5254" s="220" t="s">
        <v>774</v>
      </c>
      <c r="E5254" s="165">
        <v>171</v>
      </c>
    </row>
    <row r="5255" spans="1:5" x14ac:dyDescent="0.25">
      <c r="A5255" s="216" t="s">
        <v>11403</v>
      </c>
      <c r="B5255" s="218">
        <v>1</v>
      </c>
      <c r="C5255" s="220" t="s">
        <v>9694</v>
      </c>
      <c r="D5255" s="220" t="s">
        <v>66</v>
      </c>
      <c r="E5255" s="165">
        <v>171</v>
      </c>
    </row>
    <row r="5256" spans="1:5" x14ac:dyDescent="0.25">
      <c r="A5256" s="216" t="s">
        <v>7557</v>
      </c>
      <c r="B5256" s="218" t="s">
        <v>48</v>
      </c>
      <c r="C5256" s="220" t="s">
        <v>7558</v>
      </c>
      <c r="D5256" s="220" t="s">
        <v>166</v>
      </c>
      <c r="E5256" s="165">
        <v>171</v>
      </c>
    </row>
    <row r="5257" spans="1:5" x14ac:dyDescent="0.25">
      <c r="A5257" s="216" t="s">
        <v>7230</v>
      </c>
      <c r="B5257" s="218">
        <v>1</v>
      </c>
      <c r="C5257" s="220" t="s">
        <v>1047</v>
      </c>
      <c r="D5257" s="220" t="s">
        <v>272</v>
      </c>
      <c r="E5257" s="165">
        <v>171</v>
      </c>
    </row>
    <row r="5258" spans="1:5" x14ac:dyDescent="0.25">
      <c r="A5258" s="216" t="s">
        <v>3507</v>
      </c>
      <c r="B5258" s="218" t="s">
        <v>48</v>
      </c>
      <c r="C5258" s="220" t="s">
        <v>3508</v>
      </c>
      <c r="D5258" s="220" t="s">
        <v>585</v>
      </c>
      <c r="E5258" s="165">
        <v>171</v>
      </c>
    </row>
    <row r="5259" spans="1:5" x14ac:dyDescent="0.25">
      <c r="A5259" s="216" t="s">
        <v>6070</v>
      </c>
      <c r="B5259" s="218" t="s">
        <v>48</v>
      </c>
      <c r="C5259" s="220" t="s">
        <v>6071</v>
      </c>
      <c r="D5259" s="220" t="s">
        <v>90</v>
      </c>
      <c r="E5259" s="165">
        <v>171</v>
      </c>
    </row>
    <row r="5260" spans="1:5" x14ac:dyDescent="0.25">
      <c r="A5260" s="216" t="s">
        <v>10504</v>
      </c>
      <c r="B5260" s="218" t="s">
        <v>48</v>
      </c>
      <c r="C5260" s="220" t="s">
        <v>845</v>
      </c>
      <c r="D5260" s="220" t="s">
        <v>66</v>
      </c>
      <c r="E5260" s="165">
        <v>170</v>
      </c>
    </row>
    <row r="5261" spans="1:5" x14ac:dyDescent="0.25">
      <c r="A5261" s="216" t="s">
        <v>7009</v>
      </c>
      <c r="B5261" s="218" t="s">
        <v>48</v>
      </c>
      <c r="C5261" s="220" t="s">
        <v>7010</v>
      </c>
      <c r="D5261" s="220" t="s">
        <v>108</v>
      </c>
      <c r="E5261" s="165">
        <v>170</v>
      </c>
    </row>
    <row r="5262" spans="1:5" x14ac:dyDescent="0.25">
      <c r="A5262" s="216" t="s">
        <v>6516</v>
      </c>
      <c r="B5262" s="218" t="s">
        <v>48</v>
      </c>
      <c r="C5262" s="220" t="s">
        <v>6517</v>
      </c>
      <c r="D5262" s="220" t="s">
        <v>93</v>
      </c>
      <c r="E5262" s="165">
        <v>170</v>
      </c>
    </row>
    <row r="5263" spans="1:5" x14ac:dyDescent="0.25">
      <c r="A5263" s="216" t="s">
        <v>6877</v>
      </c>
      <c r="B5263" s="218">
        <v>1</v>
      </c>
      <c r="C5263" s="220" t="s">
        <v>279</v>
      </c>
      <c r="D5263" s="220" t="s">
        <v>127</v>
      </c>
      <c r="E5263" s="165">
        <v>170</v>
      </c>
    </row>
    <row r="5264" spans="1:5" x14ac:dyDescent="0.25">
      <c r="A5264" s="216" t="s">
        <v>11404</v>
      </c>
      <c r="B5264" s="218" t="s">
        <v>48</v>
      </c>
      <c r="C5264" s="220" t="s">
        <v>1788</v>
      </c>
      <c r="D5264" s="220" t="s">
        <v>59</v>
      </c>
      <c r="E5264" s="165">
        <v>170</v>
      </c>
    </row>
    <row r="5265" spans="1:5" x14ac:dyDescent="0.25">
      <c r="A5265" s="216" t="s">
        <v>7400</v>
      </c>
      <c r="B5265" s="218">
        <v>1</v>
      </c>
      <c r="C5265" s="220" t="s">
        <v>7401</v>
      </c>
      <c r="D5265" s="220" t="s">
        <v>192</v>
      </c>
      <c r="E5265" s="165">
        <v>170</v>
      </c>
    </row>
    <row r="5266" spans="1:5" x14ac:dyDescent="0.25">
      <c r="A5266" s="216" t="s">
        <v>8983</v>
      </c>
      <c r="B5266" s="218" t="s">
        <v>48</v>
      </c>
      <c r="C5266" s="220" t="s">
        <v>4255</v>
      </c>
      <c r="D5266" s="220" t="s">
        <v>56</v>
      </c>
      <c r="E5266" s="165">
        <v>170</v>
      </c>
    </row>
    <row r="5267" spans="1:5" x14ac:dyDescent="0.25">
      <c r="A5267" s="216" t="s">
        <v>7147</v>
      </c>
      <c r="B5267" s="218">
        <v>1</v>
      </c>
      <c r="C5267" s="220" t="s">
        <v>146</v>
      </c>
      <c r="D5267" s="220" t="s">
        <v>142</v>
      </c>
      <c r="E5267" s="165">
        <v>170</v>
      </c>
    </row>
    <row r="5268" spans="1:5" x14ac:dyDescent="0.25">
      <c r="A5268" s="216" t="s">
        <v>7911</v>
      </c>
      <c r="B5268" s="218">
        <v>1</v>
      </c>
      <c r="C5268" s="220" t="s">
        <v>657</v>
      </c>
      <c r="D5268" s="220" t="s">
        <v>264</v>
      </c>
      <c r="E5268" s="165">
        <v>170</v>
      </c>
    </row>
    <row r="5269" spans="1:5" x14ac:dyDescent="0.25">
      <c r="A5269" s="216" t="s">
        <v>7505</v>
      </c>
      <c r="B5269" s="218">
        <v>1</v>
      </c>
      <c r="C5269" s="220" t="s">
        <v>110</v>
      </c>
      <c r="D5269" s="220" t="s">
        <v>69</v>
      </c>
      <c r="E5269" s="165">
        <v>170</v>
      </c>
    </row>
    <row r="5270" spans="1:5" x14ac:dyDescent="0.25">
      <c r="A5270" s="216" t="s">
        <v>5736</v>
      </c>
      <c r="B5270" s="218" t="s">
        <v>48</v>
      </c>
      <c r="C5270" s="220" t="s">
        <v>5737</v>
      </c>
      <c r="D5270" s="220" t="s">
        <v>50</v>
      </c>
      <c r="E5270" s="165">
        <v>170</v>
      </c>
    </row>
    <row r="5271" spans="1:5" x14ac:dyDescent="0.25">
      <c r="A5271" s="216" t="s">
        <v>6469</v>
      </c>
      <c r="B5271" s="218">
        <v>1</v>
      </c>
      <c r="C5271" s="220" t="s">
        <v>2772</v>
      </c>
      <c r="D5271" s="220" t="s">
        <v>87</v>
      </c>
      <c r="E5271" s="165">
        <v>170</v>
      </c>
    </row>
    <row r="5272" spans="1:5" x14ac:dyDescent="0.25">
      <c r="A5272" s="216" t="s">
        <v>7491</v>
      </c>
      <c r="B5272" s="218" t="s">
        <v>48</v>
      </c>
      <c r="C5272" s="220" t="s">
        <v>215</v>
      </c>
      <c r="D5272" s="220" t="s">
        <v>56</v>
      </c>
      <c r="E5272" s="165">
        <v>170</v>
      </c>
    </row>
    <row r="5273" spans="1:5" x14ac:dyDescent="0.25">
      <c r="A5273" s="216" t="s">
        <v>7430</v>
      </c>
      <c r="B5273" s="218">
        <v>1</v>
      </c>
      <c r="C5273" s="220" t="s">
        <v>5663</v>
      </c>
      <c r="D5273" s="220" t="s">
        <v>192</v>
      </c>
      <c r="E5273" s="165">
        <v>169</v>
      </c>
    </row>
    <row r="5274" spans="1:5" x14ac:dyDescent="0.25">
      <c r="A5274" s="216" t="s">
        <v>6372</v>
      </c>
      <c r="B5274" s="218" t="s">
        <v>48</v>
      </c>
      <c r="C5274" s="220" t="s">
        <v>605</v>
      </c>
      <c r="D5274" s="220" t="s">
        <v>585</v>
      </c>
      <c r="E5274" s="165">
        <v>169</v>
      </c>
    </row>
    <row r="5275" spans="1:5" x14ac:dyDescent="0.25">
      <c r="A5275" s="216" t="s">
        <v>10597</v>
      </c>
      <c r="B5275" s="218">
        <v>1</v>
      </c>
      <c r="C5275" s="220" t="s">
        <v>11405</v>
      </c>
      <c r="D5275" s="220" t="s">
        <v>50</v>
      </c>
      <c r="E5275" s="165">
        <v>169</v>
      </c>
    </row>
    <row r="5276" spans="1:5" x14ac:dyDescent="0.25">
      <c r="A5276" s="216" t="s">
        <v>7432</v>
      </c>
      <c r="B5276" s="218">
        <v>1</v>
      </c>
      <c r="C5276" s="220" t="s">
        <v>5111</v>
      </c>
      <c r="D5276" s="220" t="s">
        <v>98</v>
      </c>
      <c r="E5276" s="165">
        <v>169</v>
      </c>
    </row>
    <row r="5277" spans="1:5" x14ac:dyDescent="0.25">
      <c r="A5277" s="216" t="s">
        <v>6960</v>
      </c>
      <c r="B5277" s="218" t="s">
        <v>48</v>
      </c>
      <c r="C5277" s="220" t="s">
        <v>4255</v>
      </c>
      <c r="D5277" s="220" t="s">
        <v>710</v>
      </c>
      <c r="E5277" s="165">
        <v>169</v>
      </c>
    </row>
    <row r="5278" spans="1:5" x14ac:dyDescent="0.25">
      <c r="A5278" s="216" t="s">
        <v>7220</v>
      </c>
      <c r="B5278" s="218">
        <v>1</v>
      </c>
      <c r="C5278" s="220" t="s">
        <v>7221</v>
      </c>
      <c r="D5278" s="220" t="s">
        <v>127</v>
      </c>
      <c r="E5278" s="165">
        <v>169</v>
      </c>
    </row>
    <row r="5279" spans="1:5" x14ac:dyDescent="0.25">
      <c r="A5279" s="216" t="s">
        <v>7224</v>
      </c>
      <c r="B5279" s="218">
        <v>1</v>
      </c>
      <c r="C5279" s="220" t="s">
        <v>413</v>
      </c>
      <c r="D5279" s="220" t="s">
        <v>127</v>
      </c>
      <c r="E5279" s="165">
        <v>169</v>
      </c>
    </row>
    <row r="5280" spans="1:5" x14ac:dyDescent="0.25">
      <c r="A5280" s="216" t="s">
        <v>4585</v>
      </c>
      <c r="B5280" s="218">
        <v>1</v>
      </c>
      <c r="C5280" s="220" t="s">
        <v>86</v>
      </c>
      <c r="D5280" s="220" t="s">
        <v>87</v>
      </c>
      <c r="E5280" s="165">
        <v>169</v>
      </c>
    </row>
    <row r="5281" spans="1:5" x14ac:dyDescent="0.25">
      <c r="A5281" s="216" t="s">
        <v>7331</v>
      </c>
      <c r="B5281" s="218">
        <v>1</v>
      </c>
      <c r="C5281" s="220" t="s">
        <v>6357</v>
      </c>
      <c r="D5281" s="220" t="s">
        <v>78</v>
      </c>
      <c r="E5281" s="165">
        <v>169</v>
      </c>
    </row>
    <row r="5282" spans="1:5" x14ac:dyDescent="0.25">
      <c r="A5282" s="216" t="s">
        <v>7434</v>
      </c>
      <c r="B5282" s="218">
        <v>1</v>
      </c>
      <c r="C5282" s="220" t="s">
        <v>1091</v>
      </c>
      <c r="D5282" s="220" t="s">
        <v>98</v>
      </c>
      <c r="E5282" s="165">
        <v>169</v>
      </c>
    </row>
    <row r="5283" spans="1:5" x14ac:dyDescent="0.25">
      <c r="A5283" s="216" t="s">
        <v>7437</v>
      </c>
      <c r="B5283" s="218">
        <v>1</v>
      </c>
      <c r="C5283" s="220" t="s">
        <v>5111</v>
      </c>
      <c r="D5283" s="220" t="s">
        <v>98</v>
      </c>
      <c r="E5283" s="165">
        <v>169</v>
      </c>
    </row>
    <row r="5284" spans="1:5" x14ac:dyDescent="0.25">
      <c r="A5284" s="216" t="s">
        <v>6687</v>
      </c>
      <c r="B5284" s="218">
        <v>1</v>
      </c>
      <c r="C5284" s="220" t="s">
        <v>6628</v>
      </c>
      <c r="D5284" s="220" t="s">
        <v>523</v>
      </c>
      <c r="E5284" s="165">
        <v>169</v>
      </c>
    </row>
    <row r="5285" spans="1:5" x14ac:dyDescent="0.25">
      <c r="A5285" s="216" t="s">
        <v>7699</v>
      </c>
      <c r="B5285" s="218" t="s">
        <v>48</v>
      </c>
      <c r="C5285" s="220" t="s">
        <v>7700</v>
      </c>
      <c r="D5285" s="220" t="s">
        <v>50</v>
      </c>
      <c r="E5285" s="165">
        <v>169</v>
      </c>
    </row>
    <row r="5286" spans="1:5" x14ac:dyDescent="0.25">
      <c r="A5286" s="216" t="s">
        <v>7292</v>
      </c>
      <c r="B5286" s="218" t="s">
        <v>48</v>
      </c>
      <c r="C5286" s="220" t="s">
        <v>1405</v>
      </c>
      <c r="D5286" s="220" t="s">
        <v>710</v>
      </c>
      <c r="E5286" s="165">
        <v>169</v>
      </c>
    </row>
    <row r="5287" spans="1:5" x14ac:dyDescent="0.25">
      <c r="A5287" s="216" t="s">
        <v>9157</v>
      </c>
      <c r="B5287" s="218" t="s">
        <v>48</v>
      </c>
      <c r="C5287" s="220" t="s">
        <v>9002</v>
      </c>
      <c r="D5287" s="220" t="s">
        <v>277</v>
      </c>
      <c r="E5287" s="165">
        <v>169</v>
      </c>
    </row>
    <row r="5288" spans="1:5" x14ac:dyDescent="0.25">
      <c r="A5288" s="216" t="s">
        <v>10021</v>
      </c>
      <c r="B5288" s="218" t="s">
        <v>48</v>
      </c>
      <c r="C5288" s="220" t="s">
        <v>10022</v>
      </c>
      <c r="D5288" s="220" t="s">
        <v>90</v>
      </c>
      <c r="E5288" s="165">
        <v>169</v>
      </c>
    </row>
    <row r="5289" spans="1:5" x14ac:dyDescent="0.25">
      <c r="A5289" s="216" t="s">
        <v>7486</v>
      </c>
      <c r="B5289" s="218">
        <v>1</v>
      </c>
      <c r="C5289" s="220" t="s">
        <v>7487</v>
      </c>
      <c r="D5289" s="220" t="s">
        <v>63</v>
      </c>
      <c r="E5289" s="165">
        <v>168</v>
      </c>
    </row>
    <row r="5290" spans="1:5" x14ac:dyDescent="0.25">
      <c r="A5290" s="216" t="s">
        <v>7328</v>
      </c>
      <c r="B5290" s="218">
        <v>1</v>
      </c>
      <c r="C5290" s="220" t="s">
        <v>7329</v>
      </c>
      <c r="D5290" s="220" t="s">
        <v>188</v>
      </c>
      <c r="E5290" s="165">
        <v>168</v>
      </c>
    </row>
    <row r="5291" spans="1:5" x14ac:dyDescent="0.25">
      <c r="A5291" s="216" t="s">
        <v>7127</v>
      </c>
      <c r="B5291" s="218">
        <v>1</v>
      </c>
      <c r="C5291" s="220" t="s">
        <v>7128</v>
      </c>
      <c r="D5291" s="220" t="s">
        <v>87</v>
      </c>
      <c r="E5291" s="165">
        <v>168</v>
      </c>
    </row>
    <row r="5292" spans="1:5" x14ac:dyDescent="0.25">
      <c r="A5292" s="216" t="s">
        <v>7565</v>
      </c>
      <c r="B5292" s="218" t="s">
        <v>48</v>
      </c>
      <c r="C5292" s="220" t="s">
        <v>679</v>
      </c>
      <c r="D5292" s="220" t="s">
        <v>206</v>
      </c>
      <c r="E5292" s="165">
        <v>168</v>
      </c>
    </row>
    <row r="5293" spans="1:5" x14ac:dyDescent="0.25">
      <c r="A5293" s="216" t="s">
        <v>6760</v>
      </c>
      <c r="B5293" s="218">
        <v>1</v>
      </c>
      <c r="C5293" s="220" t="s">
        <v>496</v>
      </c>
      <c r="D5293" s="220" t="s">
        <v>277</v>
      </c>
      <c r="E5293" s="165">
        <v>168</v>
      </c>
    </row>
    <row r="5294" spans="1:5" x14ac:dyDescent="0.25">
      <c r="A5294" s="216" t="s">
        <v>6305</v>
      </c>
      <c r="B5294" s="218" t="s">
        <v>48</v>
      </c>
      <c r="C5294" s="220" t="s">
        <v>6306</v>
      </c>
      <c r="D5294" s="220" t="s">
        <v>166</v>
      </c>
      <c r="E5294" s="165">
        <v>168</v>
      </c>
    </row>
    <row r="5295" spans="1:5" x14ac:dyDescent="0.25">
      <c r="A5295" s="216" t="s">
        <v>8215</v>
      </c>
      <c r="B5295" s="218" t="s">
        <v>48</v>
      </c>
      <c r="C5295" s="220" t="s">
        <v>8216</v>
      </c>
      <c r="D5295" s="220" t="s">
        <v>75</v>
      </c>
      <c r="E5295" s="165">
        <v>168</v>
      </c>
    </row>
    <row r="5296" spans="1:5" x14ac:dyDescent="0.25">
      <c r="A5296" s="216" t="s">
        <v>7287</v>
      </c>
      <c r="B5296" s="218">
        <v>1</v>
      </c>
      <c r="C5296" s="220" t="s">
        <v>7288</v>
      </c>
      <c r="D5296" s="220" t="s">
        <v>277</v>
      </c>
      <c r="E5296" s="165">
        <v>168</v>
      </c>
    </row>
    <row r="5297" spans="1:5" x14ac:dyDescent="0.25">
      <c r="A5297" s="216" t="s">
        <v>11406</v>
      </c>
      <c r="B5297" s="218">
        <v>1</v>
      </c>
      <c r="C5297" s="220" t="s">
        <v>1017</v>
      </c>
      <c r="D5297" s="220" t="s">
        <v>337</v>
      </c>
      <c r="E5297" s="165">
        <v>168</v>
      </c>
    </row>
    <row r="5298" spans="1:5" x14ac:dyDescent="0.25">
      <c r="A5298" s="216" t="s">
        <v>6936</v>
      </c>
      <c r="B5298" s="218">
        <v>1</v>
      </c>
      <c r="C5298" s="220" t="s">
        <v>283</v>
      </c>
      <c r="D5298" s="220" t="s">
        <v>59</v>
      </c>
      <c r="E5298" s="165">
        <v>168</v>
      </c>
    </row>
    <row r="5299" spans="1:5" x14ac:dyDescent="0.25">
      <c r="A5299" s="216" t="s">
        <v>7741</v>
      </c>
      <c r="B5299" s="218" t="s">
        <v>48</v>
      </c>
      <c r="C5299" s="220" t="s">
        <v>782</v>
      </c>
      <c r="D5299" s="220" t="s">
        <v>93</v>
      </c>
      <c r="E5299" s="165">
        <v>168</v>
      </c>
    </row>
    <row r="5300" spans="1:5" x14ac:dyDescent="0.25">
      <c r="A5300" s="216" t="s">
        <v>7130</v>
      </c>
      <c r="B5300" s="218">
        <v>1</v>
      </c>
      <c r="C5300" s="220" t="s">
        <v>7131</v>
      </c>
      <c r="D5300" s="220" t="s">
        <v>87</v>
      </c>
      <c r="E5300" s="165">
        <v>168</v>
      </c>
    </row>
    <row r="5301" spans="1:5" x14ac:dyDescent="0.25">
      <c r="A5301" s="216" t="s">
        <v>7920</v>
      </c>
      <c r="B5301" s="218">
        <v>1</v>
      </c>
      <c r="C5301" s="220" t="s">
        <v>1849</v>
      </c>
      <c r="D5301" s="220" t="s">
        <v>59</v>
      </c>
      <c r="E5301" s="165">
        <v>167</v>
      </c>
    </row>
    <row r="5302" spans="1:5" x14ac:dyDescent="0.25">
      <c r="A5302" s="216" t="s">
        <v>8946</v>
      </c>
      <c r="B5302" s="218">
        <v>1</v>
      </c>
      <c r="C5302" s="220" t="s">
        <v>1275</v>
      </c>
      <c r="D5302" s="220" t="s">
        <v>78</v>
      </c>
      <c r="E5302" s="165">
        <v>167</v>
      </c>
    </row>
    <row r="5303" spans="1:5" x14ac:dyDescent="0.25">
      <c r="A5303" s="216" t="s">
        <v>7406</v>
      </c>
      <c r="B5303" s="218">
        <v>1</v>
      </c>
      <c r="C5303" s="220" t="s">
        <v>7407</v>
      </c>
      <c r="D5303" s="220" t="s">
        <v>192</v>
      </c>
      <c r="E5303" s="165">
        <v>167</v>
      </c>
    </row>
    <row r="5304" spans="1:5" x14ac:dyDescent="0.25">
      <c r="A5304" s="216" t="s">
        <v>7746</v>
      </c>
      <c r="B5304" s="218">
        <v>1</v>
      </c>
      <c r="C5304" s="220" t="s">
        <v>7747</v>
      </c>
      <c r="D5304" s="220" t="s">
        <v>118</v>
      </c>
      <c r="E5304" s="165">
        <v>167</v>
      </c>
    </row>
    <row r="5305" spans="1:5" x14ac:dyDescent="0.25">
      <c r="A5305" s="216" t="s">
        <v>11407</v>
      </c>
      <c r="B5305" s="218">
        <v>1</v>
      </c>
      <c r="C5305" s="220" t="s">
        <v>558</v>
      </c>
      <c r="D5305" s="220" t="s">
        <v>56</v>
      </c>
      <c r="E5305" s="165">
        <v>167</v>
      </c>
    </row>
    <row r="5306" spans="1:5" x14ac:dyDescent="0.25">
      <c r="A5306" s="216" t="s">
        <v>7238</v>
      </c>
      <c r="B5306" s="218" t="s">
        <v>48</v>
      </c>
      <c r="C5306" s="220" t="s">
        <v>7239</v>
      </c>
      <c r="D5306" s="220" t="s">
        <v>166</v>
      </c>
      <c r="E5306" s="165">
        <v>167</v>
      </c>
    </row>
    <row r="5307" spans="1:5" x14ac:dyDescent="0.25">
      <c r="A5307" s="216" t="s">
        <v>10274</v>
      </c>
      <c r="B5307" s="218">
        <v>1</v>
      </c>
      <c r="C5307" s="220" t="s">
        <v>1906</v>
      </c>
      <c r="D5307" s="220" t="s">
        <v>66</v>
      </c>
      <c r="E5307" s="165">
        <v>167</v>
      </c>
    </row>
    <row r="5308" spans="1:5" x14ac:dyDescent="0.25">
      <c r="A5308" s="216" t="s">
        <v>9787</v>
      </c>
      <c r="B5308" s="218">
        <v>1</v>
      </c>
      <c r="C5308" s="220" t="s">
        <v>727</v>
      </c>
      <c r="D5308" s="220" t="s">
        <v>66</v>
      </c>
      <c r="E5308" s="165">
        <v>167</v>
      </c>
    </row>
    <row r="5309" spans="1:5" x14ac:dyDescent="0.25">
      <c r="A5309" s="216" t="s">
        <v>6861</v>
      </c>
      <c r="B5309" s="218">
        <v>1</v>
      </c>
      <c r="C5309" s="220" t="s">
        <v>6862</v>
      </c>
      <c r="D5309" s="220" t="s">
        <v>82</v>
      </c>
      <c r="E5309" s="165">
        <v>167</v>
      </c>
    </row>
    <row r="5310" spans="1:5" x14ac:dyDescent="0.25">
      <c r="A5310" s="216" t="s">
        <v>10629</v>
      </c>
      <c r="B5310" s="218">
        <v>1</v>
      </c>
      <c r="C5310" s="220" t="s">
        <v>219</v>
      </c>
      <c r="D5310" s="220" t="s">
        <v>56</v>
      </c>
      <c r="E5310" s="165">
        <v>167</v>
      </c>
    </row>
    <row r="5311" spans="1:5" x14ac:dyDescent="0.25">
      <c r="A5311" s="216" t="s">
        <v>7764</v>
      </c>
      <c r="B5311" s="218" t="s">
        <v>48</v>
      </c>
      <c r="C5311" s="220" t="s">
        <v>7765</v>
      </c>
      <c r="D5311" s="220" t="s">
        <v>378</v>
      </c>
      <c r="E5311" s="165">
        <v>167</v>
      </c>
    </row>
    <row r="5312" spans="1:5" x14ac:dyDescent="0.25">
      <c r="A5312" s="216" t="s">
        <v>8164</v>
      </c>
      <c r="B5312" s="218">
        <v>1</v>
      </c>
      <c r="C5312" s="220" t="s">
        <v>8165</v>
      </c>
      <c r="D5312" s="220" t="s">
        <v>50</v>
      </c>
      <c r="E5312" s="165">
        <v>167</v>
      </c>
    </row>
    <row r="5313" spans="1:5" x14ac:dyDescent="0.25">
      <c r="A5313" s="216" t="s">
        <v>8149</v>
      </c>
      <c r="B5313" s="218">
        <v>1</v>
      </c>
      <c r="C5313" s="220" t="s">
        <v>1331</v>
      </c>
      <c r="D5313" s="220" t="s">
        <v>348</v>
      </c>
      <c r="E5313" s="165">
        <v>167</v>
      </c>
    </row>
    <row r="5314" spans="1:5" x14ac:dyDescent="0.25">
      <c r="A5314" s="216" t="s">
        <v>8467</v>
      </c>
      <c r="B5314" s="218">
        <v>1</v>
      </c>
      <c r="C5314" s="220" t="s">
        <v>647</v>
      </c>
      <c r="D5314" s="220" t="s">
        <v>236</v>
      </c>
      <c r="E5314" s="165">
        <v>167</v>
      </c>
    </row>
    <row r="5315" spans="1:5" x14ac:dyDescent="0.25">
      <c r="A5315" s="216" t="s">
        <v>7939</v>
      </c>
      <c r="B5315" s="218">
        <v>1</v>
      </c>
      <c r="C5315" s="220" t="s">
        <v>1429</v>
      </c>
      <c r="D5315" s="220" t="s">
        <v>264</v>
      </c>
      <c r="E5315" s="165">
        <v>167</v>
      </c>
    </row>
    <row r="5316" spans="1:5" x14ac:dyDescent="0.25">
      <c r="A5316" s="216" t="s">
        <v>10365</v>
      </c>
      <c r="B5316" s="218">
        <v>1</v>
      </c>
      <c r="C5316" s="220" t="s">
        <v>466</v>
      </c>
      <c r="D5316" s="220" t="s">
        <v>206</v>
      </c>
      <c r="E5316" s="165">
        <v>167</v>
      </c>
    </row>
    <row r="5317" spans="1:5" x14ac:dyDescent="0.25">
      <c r="A5317" s="216" t="s">
        <v>8902</v>
      </c>
      <c r="B5317" s="218">
        <v>1</v>
      </c>
      <c r="C5317" s="220" t="s">
        <v>282</v>
      </c>
      <c r="D5317" s="220" t="s">
        <v>63</v>
      </c>
      <c r="E5317" s="165">
        <v>167</v>
      </c>
    </row>
    <row r="5318" spans="1:5" x14ac:dyDescent="0.25">
      <c r="A5318" s="216" t="s">
        <v>8294</v>
      </c>
      <c r="B5318" s="218">
        <v>1</v>
      </c>
      <c r="C5318" s="220" t="s">
        <v>1565</v>
      </c>
      <c r="D5318" s="220" t="s">
        <v>236</v>
      </c>
      <c r="E5318" s="165">
        <v>167</v>
      </c>
    </row>
    <row r="5319" spans="1:5" x14ac:dyDescent="0.25">
      <c r="A5319" s="216" t="s">
        <v>9530</v>
      </c>
      <c r="B5319" s="218">
        <v>1</v>
      </c>
      <c r="C5319" s="220" t="s">
        <v>3439</v>
      </c>
      <c r="D5319" s="220" t="s">
        <v>50</v>
      </c>
      <c r="E5319" s="165">
        <v>167</v>
      </c>
    </row>
    <row r="5320" spans="1:5" x14ac:dyDescent="0.25">
      <c r="A5320" s="216" t="s">
        <v>8906</v>
      </c>
      <c r="B5320" s="218">
        <v>1</v>
      </c>
      <c r="C5320" s="220" t="s">
        <v>8907</v>
      </c>
      <c r="D5320" s="220" t="s">
        <v>236</v>
      </c>
      <c r="E5320" s="165">
        <v>167</v>
      </c>
    </row>
    <row r="5321" spans="1:5" x14ac:dyDescent="0.25">
      <c r="A5321" s="216" t="s">
        <v>9969</v>
      </c>
      <c r="B5321" s="218">
        <v>1</v>
      </c>
      <c r="C5321" s="220" t="s">
        <v>9970</v>
      </c>
      <c r="D5321" s="220" t="s">
        <v>63</v>
      </c>
      <c r="E5321" s="165">
        <v>167</v>
      </c>
    </row>
    <row r="5322" spans="1:5" x14ac:dyDescent="0.25">
      <c r="A5322" s="216" t="s">
        <v>11408</v>
      </c>
      <c r="B5322" s="218">
        <v>1</v>
      </c>
      <c r="C5322" s="220" t="s">
        <v>733</v>
      </c>
      <c r="D5322" s="220" t="s">
        <v>118</v>
      </c>
      <c r="E5322" s="165">
        <v>167</v>
      </c>
    </row>
    <row r="5323" spans="1:5" x14ac:dyDescent="0.25">
      <c r="A5323" s="216" t="s">
        <v>6756</v>
      </c>
      <c r="B5323" s="218">
        <v>1</v>
      </c>
      <c r="C5323" s="220" t="s">
        <v>2119</v>
      </c>
      <c r="D5323" s="220" t="s">
        <v>523</v>
      </c>
      <c r="E5323" s="165">
        <v>166</v>
      </c>
    </row>
    <row r="5324" spans="1:5" x14ac:dyDescent="0.25">
      <c r="A5324" s="216" t="s">
        <v>7385</v>
      </c>
      <c r="B5324" s="218">
        <v>1</v>
      </c>
      <c r="C5324" s="220" t="s">
        <v>154</v>
      </c>
      <c r="D5324" s="220" t="s">
        <v>177</v>
      </c>
      <c r="E5324" s="165">
        <v>166</v>
      </c>
    </row>
    <row r="5325" spans="1:5" x14ac:dyDescent="0.25">
      <c r="A5325" s="216" t="s">
        <v>7389</v>
      </c>
      <c r="B5325" s="218">
        <v>1</v>
      </c>
      <c r="C5325" s="220" t="s">
        <v>7390</v>
      </c>
      <c r="D5325" s="220" t="s">
        <v>177</v>
      </c>
      <c r="E5325" s="165">
        <v>166</v>
      </c>
    </row>
    <row r="5326" spans="1:5" x14ac:dyDescent="0.25">
      <c r="A5326" s="216" t="s">
        <v>6363</v>
      </c>
      <c r="B5326" s="218" t="s">
        <v>48</v>
      </c>
      <c r="C5326" s="220" t="s">
        <v>6364</v>
      </c>
      <c r="D5326" s="220" t="s">
        <v>90</v>
      </c>
      <c r="E5326" s="165">
        <v>166</v>
      </c>
    </row>
    <row r="5327" spans="1:5" x14ac:dyDescent="0.25">
      <c r="A5327" s="216" t="s">
        <v>7301</v>
      </c>
      <c r="B5327" s="218">
        <v>1</v>
      </c>
      <c r="C5327" s="220" t="s">
        <v>7302</v>
      </c>
      <c r="D5327" s="220" t="s">
        <v>50</v>
      </c>
      <c r="E5327" s="165">
        <v>166</v>
      </c>
    </row>
    <row r="5328" spans="1:5" x14ac:dyDescent="0.25">
      <c r="A5328" s="216" t="s">
        <v>7246</v>
      </c>
      <c r="B5328" s="218" t="s">
        <v>48</v>
      </c>
      <c r="C5328" s="220" t="s">
        <v>681</v>
      </c>
      <c r="D5328" s="220" t="s">
        <v>90</v>
      </c>
      <c r="E5328" s="165">
        <v>166</v>
      </c>
    </row>
    <row r="5329" spans="1:5" x14ac:dyDescent="0.25">
      <c r="A5329" s="216" t="s">
        <v>11409</v>
      </c>
      <c r="B5329" s="218">
        <v>1</v>
      </c>
      <c r="C5329" s="220" t="s">
        <v>647</v>
      </c>
      <c r="D5329" s="220" t="s">
        <v>236</v>
      </c>
      <c r="E5329" s="165">
        <v>166</v>
      </c>
    </row>
    <row r="5330" spans="1:5" x14ac:dyDescent="0.25">
      <c r="A5330" s="216" t="s">
        <v>7327</v>
      </c>
      <c r="B5330" s="218">
        <v>1</v>
      </c>
      <c r="C5330" s="220" t="s">
        <v>743</v>
      </c>
      <c r="D5330" s="220" t="s">
        <v>277</v>
      </c>
      <c r="E5330" s="165">
        <v>165</v>
      </c>
    </row>
    <row r="5331" spans="1:5" x14ac:dyDescent="0.25">
      <c r="A5331" s="216" t="s">
        <v>7408</v>
      </c>
      <c r="B5331" s="218">
        <v>1</v>
      </c>
      <c r="C5331" s="220" t="s">
        <v>4144</v>
      </c>
      <c r="D5331" s="220" t="s">
        <v>78</v>
      </c>
      <c r="E5331" s="165">
        <v>165</v>
      </c>
    </row>
    <row r="5332" spans="1:5" x14ac:dyDescent="0.25">
      <c r="A5332" s="216" t="s">
        <v>6462</v>
      </c>
      <c r="B5332" s="218" t="s">
        <v>48</v>
      </c>
      <c r="C5332" s="220" t="s">
        <v>1963</v>
      </c>
      <c r="D5332" s="220" t="s">
        <v>90</v>
      </c>
      <c r="E5332" s="165">
        <v>165</v>
      </c>
    </row>
    <row r="5333" spans="1:5" x14ac:dyDescent="0.25">
      <c r="A5333" s="216" t="s">
        <v>7411</v>
      </c>
      <c r="B5333" s="218">
        <v>1</v>
      </c>
      <c r="C5333" s="220" t="s">
        <v>11410</v>
      </c>
      <c r="D5333" s="220" t="s">
        <v>56</v>
      </c>
      <c r="E5333" s="165">
        <v>165</v>
      </c>
    </row>
    <row r="5334" spans="1:5" x14ac:dyDescent="0.25">
      <c r="A5334" s="216" t="s">
        <v>7019</v>
      </c>
      <c r="B5334" s="218">
        <v>1</v>
      </c>
      <c r="C5334" s="220" t="s">
        <v>6200</v>
      </c>
      <c r="D5334" s="220" t="s">
        <v>172</v>
      </c>
      <c r="E5334" s="165">
        <v>165</v>
      </c>
    </row>
    <row r="5335" spans="1:5" x14ac:dyDescent="0.25">
      <c r="A5335" s="216" t="s">
        <v>10830</v>
      </c>
      <c r="B5335" s="218" t="s">
        <v>48</v>
      </c>
      <c r="C5335" s="220" t="s">
        <v>11411</v>
      </c>
      <c r="D5335" s="220" t="s">
        <v>108</v>
      </c>
      <c r="E5335" s="165">
        <v>165</v>
      </c>
    </row>
    <row r="5336" spans="1:5" x14ac:dyDescent="0.25">
      <c r="A5336" s="216" t="s">
        <v>11412</v>
      </c>
      <c r="B5336" s="218">
        <v>1</v>
      </c>
      <c r="C5336" s="220" t="s">
        <v>2623</v>
      </c>
      <c r="D5336" s="220" t="s">
        <v>394</v>
      </c>
      <c r="E5336" s="165">
        <v>165</v>
      </c>
    </row>
    <row r="5337" spans="1:5" x14ac:dyDescent="0.25">
      <c r="A5337" s="216" t="s">
        <v>7626</v>
      </c>
      <c r="B5337" s="218" t="s">
        <v>48</v>
      </c>
      <c r="C5337" s="220" t="s">
        <v>1015</v>
      </c>
      <c r="D5337" s="220" t="s">
        <v>69</v>
      </c>
      <c r="E5337" s="165">
        <v>164</v>
      </c>
    </row>
    <row r="5338" spans="1:5" x14ac:dyDescent="0.25">
      <c r="A5338" s="216" t="s">
        <v>11413</v>
      </c>
      <c r="B5338" s="218">
        <v>1</v>
      </c>
      <c r="C5338" s="220" t="s">
        <v>2201</v>
      </c>
      <c r="D5338" s="220" t="s">
        <v>93</v>
      </c>
      <c r="E5338" s="165">
        <v>164</v>
      </c>
    </row>
    <row r="5339" spans="1:5" x14ac:dyDescent="0.25">
      <c r="A5339" s="216" t="s">
        <v>11414</v>
      </c>
      <c r="B5339" s="218">
        <v>1</v>
      </c>
      <c r="C5339" s="220" t="s">
        <v>634</v>
      </c>
      <c r="D5339" s="220" t="s">
        <v>264</v>
      </c>
      <c r="E5339" s="165">
        <v>164</v>
      </c>
    </row>
    <row r="5340" spans="1:5" x14ac:dyDescent="0.25">
      <c r="A5340" s="216" t="s">
        <v>7278</v>
      </c>
      <c r="B5340" s="218">
        <v>1</v>
      </c>
      <c r="C5340" s="220" t="s">
        <v>347</v>
      </c>
      <c r="D5340" s="220" t="s">
        <v>348</v>
      </c>
      <c r="E5340" s="165">
        <v>164</v>
      </c>
    </row>
    <row r="5341" spans="1:5" x14ac:dyDescent="0.25">
      <c r="A5341" s="216" t="s">
        <v>7521</v>
      </c>
      <c r="B5341" s="218">
        <v>1</v>
      </c>
      <c r="C5341" s="220" t="s">
        <v>7522</v>
      </c>
      <c r="D5341" s="220" t="s">
        <v>63</v>
      </c>
      <c r="E5341" s="165">
        <v>164</v>
      </c>
    </row>
    <row r="5342" spans="1:5" x14ac:dyDescent="0.25">
      <c r="A5342" s="216" t="s">
        <v>7445</v>
      </c>
      <c r="B5342" s="218">
        <v>1</v>
      </c>
      <c r="C5342" s="220" t="s">
        <v>7446</v>
      </c>
      <c r="D5342" s="220" t="s">
        <v>72</v>
      </c>
      <c r="E5342" s="165">
        <v>164</v>
      </c>
    </row>
    <row r="5343" spans="1:5" x14ac:dyDescent="0.25">
      <c r="A5343" s="216" t="s">
        <v>3242</v>
      </c>
      <c r="B5343" s="218" t="s">
        <v>48</v>
      </c>
      <c r="C5343" s="220" t="s">
        <v>709</v>
      </c>
      <c r="D5343" s="220" t="s">
        <v>710</v>
      </c>
      <c r="E5343" s="165">
        <v>164</v>
      </c>
    </row>
    <row r="5344" spans="1:5" x14ac:dyDescent="0.25">
      <c r="A5344" s="216" t="s">
        <v>7751</v>
      </c>
      <c r="B5344" s="218">
        <v>1</v>
      </c>
      <c r="C5344" s="220" t="s">
        <v>1730</v>
      </c>
      <c r="D5344" s="220" t="s">
        <v>575</v>
      </c>
      <c r="E5344" s="165">
        <v>164</v>
      </c>
    </row>
    <row r="5345" spans="1:5" x14ac:dyDescent="0.25">
      <c r="A5345" s="216" t="s">
        <v>7903</v>
      </c>
      <c r="B5345" s="218">
        <v>1</v>
      </c>
      <c r="C5345" s="220" t="s">
        <v>5503</v>
      </c>
      <c r="D5345" s="220" t="s">
        <v>53</v>
      </c>
      <c r="E5345" s="165">
        <v>164</v>
      </c>
    </row>
    <row r="5346" spans="1:5" x14ac:dyDescent="0.25">
      <c r="A5346" s="216" t="s">
        <v>8104</v>
      </c>
      <c r="B5346" s="218">
        <v>1</v>
      </c>
      <c r="C5346" s="220" t="s">
        <v>8105</v>
      </c>
      <c r="D5346" s="220" t="s">
        <v>130</v>
      </c>
      <c r="E5346" s="165">
        <v>164</v>
      </c>
    </row>
    <row r="5347" spans="1:5" x14ac:dyDescent="0.25">
      <c r="A5347" s="216" t="s">
        <v>6970</v>
      </c>
      <c r="B5347" s="218" t="s">
        <v>48</v>
      </c>
      <c r="C5347" s="220" t="s">
        <v>6971</v>
      </c>
      <c r="D5347" s="220" t="s">
        <v>188</v>
      </c>
      <c r="E5347" s="165">
        <v>164</v>
      </c>
    </row>
    <row r="5348" spans="1:5" x14ac:dyDescent="0.25">
      <c r="A5348" s="216" t="s">
        <v>11415</v>
      </c>
      <c r="B5348" s="218">
        <v>1</v>
      </c>
      <c r="C5348" s="220" t="s">
        <v>138</v>
      </c>
      <c r="D5348" s="220" t="s">
        <v>139</v>
      </c>
      <c r="E5348" s="165">
        <v>164</v>
      </c>
    </row>
    <row r="5349" spans="1:5" x14ac:dyDescent="0.25">
      <c r="A5349" s="216" t="s">
        <v>7523</v>
      </c>
      <c r="B5349" s="218" t="s">
        <v>48</v>
      </c>
      <c r="C5349" s="220" t="s">
        <v>7524</v>
      </c>
      <c r="D5349" s="220" t="s">
        <v>206</v>
      </c>
      <c r="E5349" s="165">
        <v>164</v>
      </c>
    </row>
    <row r="5350" spans="1:5" x14ac:dyDescent="0.25">
      <c r="A5350" s="216" t="s">
        <v>11416</v>
      </c>
      <c r="B5350" s="218">
        <v>1</v>
      </c>
      <c r="C5350" s="220" t="s">
        <v>522</v>
      </c>
      <c r="D5350" s="220" t="s">
        <v>523</v>
      </c>
      <c r="E5350" s="165">
        <v>164</v>
      </c>
    </row>
    <row r="5351" spans="1:5" x14ac:dyDescent="0.25">
      <c r="A5351" s="216" t="s">
        <v>11417</v>
      </c>
      <c r="B5351" s="218">
        <v>1</v>
      </c>
      <c r="C5351" s="220" t="s">
        <v>157</v>
      </c>
      <c r="D5351" s="220" t="s">
        <v>56</v>
      </c>
      <c r="E5351" s="165">
        <v>164</v>
      </c>
    </row>
    <row r="5352" spans="1:5" x14ac:dyDescent="0.25">
      <c r="A5352" s="216" t="s">
        <v>7289</v>
      </c>
      <c r="B5352" s="218">
        <v>1</v>
      </c>
      <c r="C5352" s="220" t="s">
        <v>1331</v>
      </c>
      <c r="D5352" s="220" t="s">
        <v>348</v>
      </c>
      <c r="E5352" s="165">
        <v>164</v>
      </c>
    </row>
    <row r="5353" spans="1:5" x14ac:dyDescent="0.25">
      <c r="A5353" s="216" t="s">
        <v>7556</v>
      </c>
      <c r="B5353" s="218" t="s">
        <v>48</v>
      </c>
      <c r="C5353" s="220" t="s">
        <v>3326</v>
      </c>
      <c r="D5353" s="220" t="s">
        <v>206</v>
      </c>
      <c r="E5353" s="165">
        <v>164</v>
      </c>
    </row>
    <row r="5354" spans="1:5" x14ac:dyDescent="0.25">
      <c r="A5354" s="216" t="s">
        <v>5695</v>
      </c>
      <c r="B5354" s="218" t="s">
        <v>48</v>
      </c>
      <c r="C5354" s="220" t="s">
        <v>1969</v>
      </c>
      <c r="D5354" s="220" t="s">
        <v>90</v>
      </c>
      <c r="E5354" s="165">
        <v>164</v>
      </c>
    </row>
    <row r="5355" spans="1:5" x14ac:dyDescent="0.25">
      <c r="A5355" s="216" t="s">
        <v>7402</v>
      </c>
      <c r="B5355" s="218">
        <v>1</v>
      </c>
      <c r="C5355" s="220" t="s">
        <v>1757</v>
      </c>
      <c r="D5355" s="220" t="s">
        <v>98</v>
      </c>
      <c r="E5355" s="165">
        <v>164</v>
      </c>
    </row>
    <row r="5356" spans="1:5" x14ac:dyDescent="0.25">
      <c r="A5356" s="216" t="s">
        <v>8780</v>
      </c>
      <c r="B5356" s="218" t="s">
        <v>48</v>
      </c>
      <c r="C5356" s="220" t="s">
        <v>257</v>
      </c>
      <c r="D5356" s="220" t="s">
        <v>575</v>
      </c>
      <c r="E5356" s="165">
        <v>164</v>
      </c>
    </row>
    <row r="5357" spans="1:5" x14ac:dyDescent="0.25">
      <c r="A5357" s="216" t="s">
        <v>11418</v>
      </c>
      <c r="B5357" s="218">
        <v>1</v>
      </c>
      <c r="C5357" s="220" t="s">
        <v>3338</v>
      </c>
      <c r="D5357" s="220" t="s">
        <v>50</v>
      </c>
      <c r="E5357" s="165">
        <v>164</v>
      </c>
    </row>
    <row r="5358" spans="1:5" x14ac:dyDescent="0.25">
      <c r="A5358" s="216" t="s">
        <v>7918</v>
      </c>
      <c r="B5358" s="218">
        <v>1</v>
      </c>
      <c r="C5358" s="220" t="s">
        <v>7919</v>
      </c>
      <c r="D5358" s="220" t="s">
        <v>188</v>
      </c>
      <c r="E5358" s="165">
        <v>164</v>
      </c>
    </row>
    <row r="5359" spans="1:5" x14ac:dyDescent="0.25">
      <c r="A5359" s="216" t="s">
        <v>7294</v>
      </c>
      <c r="B5359" s="218">
        <v>1</v>
      </c>
      <c r="C5359" s="220" t="s">
        <v>2562</v>
      </c>
      <c r="D5359" s="220" t="s">
        <v>201</v>
      </c>
      <c r="E5359" s="165">
        <v>163</v>
      </c>
    </row>
    <row r="5360" spans="1:5" x14ac:dyDescent="0.25">
      <c r="A5360" s="216" t="s">
        <v>6035</v>
      </c>
      <c r="B5360" s="218" t="s">
        <v>48</v>
      </c>
      <c r="C5360" s="220" t="s">
        <v>6036</v>
      </c>
      <c r="D5360" s="220" t="s">
        <v>59</v>
      </c>
      <c r="E5360" s="165">
        <v>163</v>
      </c>
    </row>
    <row r="5361" spans="1:5" x14ac:dyDescent="0.25">
      <c r="A5361" s="216" t="s">
        <v>7933</v>
      </c>
      <c r="B5361" s="218" t="s">
        <v>48</v>
      </c>
      <c r="C5361" s="220" t="s">
        <v>7934</v>
      </c>
      <c r="D5361" s="220" t="s">
        <v>72</v>
      </c>
      <c r="E5361" s="165">
        <v>163</v>
      </c>
    </row>
    <row r="5362" spans="1:5" x14ac:dyDescent="0.25">
      <c r="A5362" s="216" t="s">
        <v>6900</v>
      </c>
      <c r="B5362" s="218">
        <v>1</v>
      </c>
      <c r="C5362" s="220" t="s">
        <v>3510</v>
      </c>
      <c r="D5362" s="220" t="s">
        <v>264</v>
      </c>
      <c r="E5362" s="165">
        <v>163</v>
      </c>
    </row>
    <row r="5363" spans="1:5" x14ac:dyDescent="0.25">
      <c r="A5363" s="216" t="s">
        <v>8702</v>
      </c>
      <c r="B5363" s="218" t="s">
        <v>48</v>
      </c>
      <c r="C5363" s="220" t="s">
        <v>466</v>
      </c>
      <c r="D5363" s="220" t="s">
        <v>206</v>
      </c>
      <c r="E5363" s="165">
        <v>163</v>
      </c>
    </row>
    <row r="5364" spans="1:5" x14ac:dyDescent="0.25">
      <c r="A5364" s="216" t="s">
        <v>7431</v>
      </c>
      <c r="B5364" s="218">
        <v>1</v>
      </c>
      <c r="C5364" s="220" t="s">
        <v>475</v>
      </c>
      <c r="D5364" s="220" t="s">
        <v>188</v>
      </c>
      <c r="E5364" s="165">
        <v>163</v>
      </c>
    </row>
    <row r="5365" spans="1:5" x14ac:dyDescent="0.25">
      <c r="A5365" s="216" t="s">
        <v>7192</v>
      </c>
      <c r="B5365" s="218" t="s">
        <v>48</v>
      </c>
      <c r="C5365" s="220" t="s">
        <v>7193</v>
      </c>
      <c r="D5365" s="220" t="s">
        <v>90</v>
      </c>
      <c r="E5365" s="165">
        <v>163</v>
      </c>
    </row>
    <row r="5366" spans="1:5" x14ac:dyDescent="0.25">
      <c r="A5366" s="216" t="s">
        <v>11419</v>
      </c>
      <c r="B5366" s="218">
        <v>1</v>
      </c>
      <c r="C5366" s="220" t="s">
        <v>4708</v>
      </c>
      <c r="D5366" s="220" t="s">
        <v>56</v>
      </c>
      <c r="E5366" s="165">
        <v>163</v>
      </c>
    </row>
    <row r="5367" spans="1:5" x14ac:dyDescent="0.25">
      <c r="A5367" s="216" t="s">
        <v>8808</v>
      </c>
      <c r="B5367" s="218" t="s">
        <v>48</v>
      </c>
      <c r="C5367" s="220" t="s">
        <v>213</v>
      </c>
      <c r="D5367" s="220" t="s">
        <v>75</v>
      </c>
      <c r="E5367" s="165">
        <v>163</v>
      </c>
    </row>
    <row r="5368" spans="1:5" x14ac:dyDescent="0.25">
      <c r="A5368" s="216" t="s">
        <v>7057</v>
      </c>
      <c r="B5368" s="218">
        <v>1</v>
      </c>
      <c r="C5368" s="220" t="s">
        <v>11420</v>
      </c>
      <c r="D5368" s="220" t="s">
        <v>118</v>
      </c>
      <c r="E5368" s="165">
        <v>163</v>
      </c>
    </row>
    <row r="5369" spans="1:5" x14ac:dyDescent="0.25">
      <c r="A5369" s="216" t="s">
        <v>7440</v>
      </c>
      <c r="B5369" s="218">
        <v>1</v>
      </c>
      <c r="C5369" s="220" t="s">
        <v>6025</v>
      </c>
      <c r="D5369" s="220" t="s">
        <v>188</v>
      </c>
      <c r="E5369" s="165">
        <v>163</v>
      </c>
    </row>
    <row r="5370" spans="1:5" x14ac:dyDescent="0.25">
      <c r="A5370" s="216" t="s">
        <v>6507</v>
      </c>
      <c r="B5370" s="218">
        <v>1</v>
      </c>
      <c r="C5370" s="220" t="s">
        <v>6508</v>
      </c>
      <c r="D5370" s="220" t="s">
        <v>166</v>
      </c>
      <c r="E5370" s="165">
        <v>162</v>
      </c>
    </row>
    <row r="5371" spans="1:5" x14ac:dyDescent="0.25">
      <c r="A5371" s="216" t="s">
        <v>4607</v>
      </c>
      <c r="B5371" s="218" t="s">
        <v>48</v>
      </c>
      <c r="C5371" s="220" t="s">
        <v>3788</v>
      </c>
      <c r="D5371" s="220" t="s">
        <v>166</v>
      </c>
      <c r="E5371" s="165">
        <v>162</v>
      </c>
    </row>
    <row r="5372" spans="1:5" x14ac:dyDescent="0.25">
      <c r="A5372" s="216" t="s">
        <v>8562</v>
      </c>
      <c r="B5372" s="218">
        <v>1</v>
      </c>
      <c r="C5372" s="220" t="s">
        <v>8563</v>
      </c>
      <c r="D5372" s="220" t="s">
        <v>378</v>
      </c>
      <c r="E5372" s="165">
        <v>162</v>
      </c>
    </row>
    <row r="5373" spans="1:5" x14ac:dyDescent="0.25">
      <c r="A5373" s="216" t="s">
        <v>7200</v>
      </c>
      <c r="B5373" s="218" t="s">
        <v>48</v>
      </c>
      <c r="C5373" s="220" t="s">
        <v>7201</v>
      </c>
      <c r="D5373" s="220" t="s">
        <v>206</v>
      </c>
      <c r="E5373" s="165">
        <v>162</v>
      </c>
    </row>
    <row r="5374" spans="1:5" x14ac:dyDescent="0.25">
      <c r="A5374" s="216" t="s">
        <v>7766</v>
      </c>
      <c r="B5374" s="218" t="s">
        <v>48</v>
      </c>
      <c r="C5374" s="220" t="s">
        <v>466</v>
      </c>
      <c r="D5374" s="220" t="s">
        <v>206</v>
      </c>
      <c r="E5374" s="165">
        <v>162</v>
      </c>
    </row>
    <row r="5375" spans="1:5" x14ac:dyDescent="0.25">
      <c r="A5375" s="216" t="s">
        <v>7694</v>
      </c>
      <c r="B5375" s="218">
        <v>1</v>
      </c>
      <c r="C5375" s="220" t="s">
        <v>665</v>
      </c>
      <c r="D5375" s="220" t="s">
        <v>188</v>
      </c>
      <c r="E5375" s="165">
        <v>162</v>
      </c>
    </row>
    <row r="5376" spans="1:5" x14ac:dyDescent="0.25">
      <c r="A5376" s="216" t="s">
        <v>8458</v>
      </c>
      <c r="B5376" s="218" t="s">
        <v>48</v>
      </c>
      <c r="C5376" s="220" t="s">
        <v>4689</v>
      </c>
      <c r="D5376" s="220" t="s">
        <v>166</v>
      </c>
      <c r="E5376" s="165">
        <v>162</v>
      </c>
    </row>
    <row r="5377" spans="1:5" x14ac:dyDescent="0.25">
      <c r="A5377" s="216" t="s">
        <v>11421</v>
      </c>
      <c r="B5377" s="218">
        <v>1</v>
      </c>
      <c r="C5377" s="220" t="s">
        <v>363</v>
      </c>
      <c r="D5377" s="220" t="s">
        <v>56</v>
      </c>
      <c r="E5377" s="165">
        <v>162</v>
      </c>
    </row>
    <row r="5378" spans="1:5" x14ac:dyDescent="0.25">
      <c r="A5378" s="216" t="s">
        <v>6130</v>
      </c>
      <c r="B5378" s="218">
        <v>1</v>
      </c>
      <c r="C5378" s="220" t="s">
        <v>1807</v>
      </c>
      <c r="D5378" s="220" t="s">
        <v>222</v>
      </c>
      <c r="E5378" s="165">
        <v>162</v>
      </c>
    </row>
    <row r="5379" spans="1:5" x14ac:dyDescent="0.25">
      <c r="A5379" s="216" t="s">
        <v>6191</v>
      </c>
      <c r="B5379" s="218" t="s">
        <v>48</v>
      </c>
      <c r="C5379" s="220" t="s">
        <v>3508</v>
      </c>
      <c r="D5379" s="220" t="s">
        <v>585</v>
      </c>
      <c r="E5379" s="165">
        <v>162</v>
      </c>
    </row>
    <row r="5380" spans="1:5" x14ac:dyDescent="0.25">
      <c r="A5380" s="216" t="s">
        <v>11422</v>
      </c>
      <c r="B5380" s="218" t="s">
        <v>48</v>
      </c>
      <c r="C5380" s="220" t="s">
        <v>11423</v>
      </c>
      <c r="D5380" s="220" t="s">
        <v>108</v>
      </c>
      <c r="E5380" s="165">
        <v>162</v>
      </c>
    </row>
    <row r="5381" spans="1:5" x14ac:dyDescent="0.25">
      <c r="A5381" s="216" t="s">
        <v>2734</v>
      </c>
      <c r="B5381" s="218" t="s">
        <v>48</v>
      </c>
      <c r="C5381" s="220" t="s">
        <v>287</v>
      </c>
      <c r="D5381" s="220" t="s">
        <v>82</v>
      </c>
      <c r="E5381" s="165">
        <v>162</v>
      </c>
    </row>
    <row r="5382" spans="1:5" x14ac:dyDescent="0.25">
      <c r="A5382" s="216" t="s">
        <v>5774</v>
      </c>
      <c r="B5382" s="218">
        <v>1</v>
      </c>
      <c r="C5382" s="220" t="s">
        <v>3624</v>
      </c>
      <c r="D5382" s="220" t="s">
        <v>69</v>
      </c>
      <c r="E5382" s="165">
        <v>162</v>
      </c>
    </row>
    <row r="5383" spans="1:5" x14ac:dyDescent="0.25">
      <c r="A5383" s="216" t="s">
        <v>8177</v>
      </c>
      <c r="B5383" s="218" t="s">
        <v>48</v>
      </c>
      <c r="C5383" s="220" t="s">
        <v>8178</v>
      </c>
      <c r="D5383" s="220" t="s">
        <v>166</v>
      </c>
      <c r="E5383" s="165">
        <v>162</v>
      </c>
    </row>
    <row r="5384" spans="1:5" x14ac:dyDescent="0.25">
      <c r="A5384" s="216" t="s">
        <v>11424</v>
      </c>
      <c r="B5384" s="218" t="s">
        <v>48</v>
      </c>
      <c r="C5384" s="220" t="s">
        <v>11425</v>
      </c>
      <c r="D5384" s="220" t="s">
        <v>206</v>
      </c>
      <c r="E5384" s="165">
        <v>161</v>
      </c>
    </row>
    <row r="5385" spans="1:5" x14ac:dyDescent="0.25">
      <c r="A5385" s="216" t="s">
        <v>7283</v>
      </c>
      <c r="B5385" s="218" t="s">
        <v>48</v>
      </c>
      <c r="C5385" s="220" t="s">
        <v>7284</v>
      </c>
      <c r="D5385" s="220" t="s">
        <v>272</v>
      </c>
      <c r="E5385" s="165">
        <v>161</v>
      </c>
    </row>
    <row r="5386" spans="1:5" x14ac:dyDescent="0.25">
      <c r="A5386" s="216" t="s">
        <v>11426</v>
      </c>
      <c r="B5386" s="218" t="s">
        <v>48</v>
      </c>
      <c r="C5386" s="220" t="s">
        <v>1411</v>
      </c>
      <c r="D5386" s="220" t="s">
        <v>93</v>
      </c>
      <c r="E5386" s="165">
        <v>161</v>
      </c>
    </row>
    <row r="5387" spans="1:5" x14ac:dyDescent="0.25">
      <c r="A5387" s="216" t="s">
        <v>7454</v>
      </c>
      <c r="B5387" s="218">
        <v>1</v>
      </c>
      <c r="C5387" s="220" t="s">
        <v>1821</v>
      </c>
      <c r="D5387" s="220" t="s">
        <v>56</v>
      </c>
      <c r="E5387" s="165">
        <v>161</v>
      </c>
    </row>
    <row r="5388" spans="1:5" x14ac:dyDescent="0.25">
      <c r="A5388" s="216" t="s">
        <v>7476</v>
      </c>
      <c r="B5388" s="218">
        <v>1</v>
      </c>
      <c r="C5388" s="220" t="s">
        <v>329</v>
      </c>
      <c r="D5388" s="220" t="s">
        <v>188</v>
      </c>
      <c r="E5388" s="165">
        <v>161</v>
      </c>
    </row>
    <row r="5389" spans="1:5" x14ac:dyDescent="0.25">
      <c r="A5389" s="216" t="s">
        <v>6927</v>
      </c>
      <c r="B5389" s="218">
        <v>1</v>
      </c>
      <c r="C5389" s="220" t="s">
        <v>1719</v>
      </c>
      <c r="D5389" s="220" t="s">
        <v>90</v>
      </c>
      <c r="E5389" s="165">
        <v>161</v>
      </c>
    </row>
    <row r="5390" spans="1:5" x14ac:dyDescent="0.25">
      <c r="A5390" s="216" t="s">
        <v>7488</v>
      </c>
      <c r="B5390" s="218">
        <v>1</v>
      </c>
      <c r="C5390" s="220" t="s">
        <v>2075</v>
      </c>
      <c r="D5390" s="220" t="s">
        <v>56</v>
      </c>
      <c r="E5390" s="165">
        <v>161</v>
      </c>
    </row>
    <row r="5391" spans="1:5" x14ac:dyDescent="0.25">
      <c r="A5391" s="216" t="s">
        <v>11427</v>
      </c>
      <c r="B5391" s="218">
        <v>1</v>
      </c>
      <c r="C5391" s="220" t="s">
        <v>138</v>
      </c>
      <c r="D5391" s="220" t="s">
        <v>139</v>
      </c>
      <c r="E5391" s="165">
        <v>161</v>
      </c>
    </row>
    <row r="5392" spans="1:5" x14ac:dyDescent="0.25">
      <c r="A5392" s="216" t="s">
        <v>7412</v>
      </c>
      <c r="B5392" s="218">
        <v>1</v>
      </c>
      <c r="C5392" s="220" t="s">
        <v>3137</v>
      </c>
      <c r="D5392" s="220" t="s">
        <v>50</v>
      </c>
      <c r="E5392" s="165">
        <v>161</v>
      </c>
    </row>
    <row r="5393" spans="1:5" x14ac:dyDescent="0.25">
      <c r="A5393" s="216" t="s">
        <v>7607</v>
      </c>
      <c r="B5393" s="218">
        <v>1</v>
      </c>
      <c r="C5393" s="220" t="s">
        <v>7608</v>
      </c>
      <c r="D5393" s="220" t="s">
        <v>63</v>
      </c>
      <c r="E5393" s="165">
        <v>161</v>
      </c>
    </row>
    <row r="5394" spans="1:5" x14ac:dyDescent="0.25">
      <c r="A5394" s="216" t="s">
        <v>7413</v>
      </c>
      <c r="B5394" s="218">
        <v>1</v>
      </c>
      <c r="C5394" s="220" t="s">
        <v>7281</v>
      </c>
      <c r="D5394" s="220" t="s">
        <v>50</v>
      </c>
      <c r="E5394" s="165">
        <v>161</v>
      </c>
    </row>
    <row r="5395" spans="1:5" x14ac:dyDescent="0.25">
      <c r="A5395" s="216" t="s">
        <v>6851</v>
      </c>
      <c r="B5395" s="218">
        <v>1</v>
      </c>
      <c r="C5395" s="220" t="s">
        <v>3375</v>
      </c>
      <c r="D5395" s="220" t="s">
        <v>523</v>
      </c>
      <c r="E5395" s="165">
        <v>161</v>
      </c>
    </row>
    <row r="5396" spans="1:5" x14ac:dyDescent="0.25">
      <c r="A5396" s="216" t="s">
        <v>7516</v>
      </c>
      <c r="B5396" s="218">
        <v>1</v>
      </c>
      <c r="C5396" s="220" t="s">
        <v>7517</v>
      </c>
      <c r="D5396" s="220" t="s">
        <v>264</v>
      </c>
      <c r="E5396" s="165">
        <v>161</v>
      </c>
    </row>
    <row r="5397" spans="1:5" x14ac:dyDescent="0.25">
      <c r="A5397" s="216" t="s">
        <v>6478</v>
      </c>
      <c r="B5397" s="218">
        <v>1</v>
      </c>
      <c r="C5397" s="220" t="s">
        <v>6479</v>
      </c>
      <c r="D5397" s="220" t="s">
        <v>72</v>
      </c>
      <c r="E5397" s="165">
        <v>161</v>
      </c>
    </row>
    <row r="5398" spans="1:5" x14ac:dyDescent="0.25">
      <c r="A5398" s="216" t="s">
        <v>7555</v>
      </c>
      <c r="B5398" s="218">
        <v>1</v>
      </c>
      <c r="C5398" s="220" t="s">
        <v>1747</v>
      </c>
      <c r="D5398" s="220" t="s">
        <v>98</v>
      </c>
      <c r="E5398" s="165">
        <v>161</v>
      </c>
    </row>
    <row r="5399" spans="1:5" x14ac:dyDescent="0.25">
      <c r="A5399" s="216" t="s">
        <v>7419</v>
      </c>
      <c r="B5399" s="218">
        <v>1</v>
      </c>
      <c r="C5399" s="220" t="s">
        <v>7420</v>
      </c>
      <c r="D5399" s="220" t="s">
        <v>50</v>
      </c>
      <c r="E5399" s="165">
        <v>161</v>
      </c>
    </row>
    <row r="5400" spans="1:5" x14ac:dyDescent="0.25">
      <c r="A5400" s="216" t="s">
        <v>8085</v>
      </c>
      <c r="B5400" s="218" t="s">
        <v>48</v>
      </c>
      <c r="C5400" s="220" t="s">
        <v>2782</v>
      </c>
      <c r="D5400" s="220" t="s">
        <v>93</v>
      </c>
      <c r="E5400" s="165">
        <v>161</v>
      </c>
    </row>
    <row r="5401" spans="1:5" x14ac:dyDescent="0.25">
      <c r="A5401" s="216" t="s">
        <v>10804</v>
      </c>
      <c r="B5401" s="218" t="s">
        <v>48</v>
      </c>
      <c r="C5401" s="220" t="s">
        <v>11428</v>
      </c>
      <c r="D5401" s="220" t="s">
        <v>277</v>
      </c>
      <c r="E5401" s="165">
        <v>161</v>
      </c>
    </row>
    <row r="5402" spans="1:5" x14ac:dyDescent="0.25">
      <c r="A5402" s="216" t="s">
        <v>7485</v>
      </c>
      <c r="B5402" s="218">
        <v>1</v>
      </c>
      <c r="C5402" s="220" t="s">
        <v>1889</v>
      </c>
      <c r="D5402" s="220" t="s">
        <v>78</v>
      </c>
      <c r="E5402" s="165">
        <v>161</v>
      </c>
    </row>
    <row r="5403" spans="1:5" x14ac:dyDescent="0.25">
      <c r="A5403" s="216" t="s">
        <v>7728</v>
      </c>
      <c r="B5403" s="218" t="s">
        <v>48</v>
      </c>
      <c r="C5403" s="220" t="s">
        <v>7729</v>
      </c>
      <c r="D5403" s="220" t="s">
        <v>75</v>
      </c>
      <c r="E5403" s="165">
        <v>161</v>
      </c>
    </row>
    <row r="5404" spans="1:5" x14ac:dyDescent="0.25">
      <c r="A5404" s="216" t="s">
        <v>7375</v>
      </c>
      <c r="B5404" s="218">
        <v>1</v>
      </c>
      <c r="C5404" s="220" t="s">
        <v>1199</v>
      </c>
      <c r="D5404" s="220" t="s">
        <v>1200</v>
      </c>
      <c r="E5404" s="165">
        <v>161</v>
      </c>
    </row>
    <row r="5405" spans="1:5" x14ac:dyDescent="0.25">
      <c r="A5405" s="216" t="s">
        <v>7378</v>
      </c>
      <c r="B5405" s="218">
        <v>1</v>
      </c>
      <c r="C5405" s="220" t="s">
        <v>279</v>
      </c>
      <c r="D5405" s="220" t="s">
        <v>127</v>
      </c>
      <c r="E5405" s="165">
        <v>161</v>
      </c>
    </row>
    <row r="5406" spans="1:5" x14ac:dyDescent="0.25">
      <c r="A5406" s="216" t="s">
        <v>7655</v>
      </c>
      <c r="B5406" s="218">
        <v>1</v>
      </c>
      <c r="C5406" s="220" t="s">
        <v>2863</v>
      </c>
      <c r="D5406" s="220" t="s">
        <v>69</v>
      </c>
      <c r="E5406" s="165">
        <v>160</v>
      </c>
    </row>
    <row r="5407" spans="1:5" x14ac:dyDescent="0.25">
      <c r="A5407" s="216" t="s">
        <v>5229</v>
      </c>
      <c r="B5407" s="218">
        <v>1</v>
      </c>
      <c r="C5407" s="220" t="s">
        <v>5230</v>
      </c>
      <c r="D5407" s="220" t="s">
        <v>192</v>
      </c>
      <c r="E5407" s="165">
        <v>160</v>
      </c>
    </row>
    <row r="5408" spans="1:5" x14ac:dyDescent="0.25">
      <c r="A5408" s="216" t="s">
        <v>7833</v>
      </c>
      <c r="B5408" s="218" t="s">
        <v>48</v>
      </c>
      <c r="C5408" s="220" t="s">
        <v>161</v>
      </c>
      <c r="D5408" s="220" t="s">
        <v>66</v>
      </c>
      <c r="E5408" s="165">
        <v>160</v>
      </c>
    </row>
    <row r="5409" spans="1:5" x14ac:dyDescent="0.25">
      <c r="A5409" s="216" t="s">
        <v>7682</v>
      </c>
      <c r="B5409" s="218" t="s">
        <v>48</v>
      </c>
      <c r="C5409" s="220" t="s">
        <v>120</v>
      </c>
      <c r="D5409" s="220" t="s">
        <v>90</v>
      </c>
      <c r="E5409" s="165">
        <v>160</v>
      </c>
    </row>
    <row r="5410" spans="1:5" x14ac:dyDescent="0.25">
      <c r="A5410" s="216" t="s">
        <v>7316</v>
      </c>
      <c r="B5410" s="218" t="s">
        <v>48</v>
      </c>
      <c r="C5410" s="220" t="s">
        <v>281</v>
      </c>
      <c r="D5410" s="220" t="s">
        <v>206</v>
      </c>
      <c r="E5410" s="165">
        <v>160</v>
      </c>
    </row>
    <row r="5411" spans="1:5" x14ac:dyDescent="0.25">
      <c r="A5411" s="216" t="s">
        <v>7188</v>
      </c>
      <c r="B5411" s="218">
        <v>1</v>
      </c>
      <c r="C5411" s="220" t="s">
        <v>7189</v>
      </c>
      <c r="D5411" s="220" t="s">
        <v>87</v>
      </c>
      <c r="E5411" s="165">
        <v>160</v>
      </c>
    </row>
    <row r="5412" spans="1:5" x14ac:dyDescent="0.25">
      <c r="A5412" s="216" t="s">
        <v>7620</v>
      </c>
      <c r="B5412" s="218" t="s">
        <v>48</v>
      </c>
      <c r="C5412" s="220" t="s">
        <v>7621</v>
      </c>
      <c r="D5412" s="220" t="s">
        <v>108</v>
      </c>
      <c r="E5412" s="165">
        <v>160</v>
      </c>
    </row>
    <row r="5413" spans="1:5" x14ac:dyDescent="0.25">
      <c r="A5413" s="216" t="s">
        <v>7690</v>
      </c>
      <c r="B5413" s="218">
        <v>1</v>
      </c>
      <c r="C5413" s="220" t="s">
        <v>84</v>
      </c>
      <c r="D5413" s="220" t="s">
        <v>56</v>
      </c>
      <c r="E5413" s="165">
        <v>160</v>
      </c>
    </row>
    <row r="5414" spans="1:5" x14ac:dyDescent="0.25">
      <c r="A5414" s="216" t="s">
        <v>7447</v>
      </c>
      <c r="B5414" s="218" t="s">
        <v>48</v>
      </c>
      <c r="C5414" s="220" t="s">
        <v>1577</v>
      </c>
      <c r="D5414" s="220" t="s">
        <v>50</v>
      </c>
      <c r="E5414" s="165">
        <v>160</v>
      </c>
    </row>
    <row r="5415" spans="1:5" x14ac:dyDescent="0.25">
      <c r="A5415" s="216" t="s">
        <v>4000</v>
      </c>
      <c r="B5415" s="218" t="s">
        <v>48</v>
      </c>
      <c r="C5415" s="220" t="s">
        <v>2049</v>
      </c>
      <c r="D5415" s="220" t="s">
        <v>63</v>
      </c>
      <c r="E5415" s="165">
        <v>160</v>
      </c>
    </row>
    <row r="5416" spans="1:5" x14ac:dyDescent="0.25">
      <c r="A5416" s="216" t="s">
        <v>7456</v>
      </c>
      <c r="B5416" s="218">
        <v>1</v>
      </c>
      <c r="C5416" s="220" t="s">
        <v>3425</v>
      </c>
      <c r="D5416" s="220" t="s">
        <v>124</v>
      </c>
      <c r="E5416" s="165">
        <v>160</v>
      </c>
    </row>
    <row r="5417" spans="1:5" x14ac:dyDescent="0.25">
      <c r="A5417" s="216" t="s">
        <v>7622</v>
      </c>
      <c r="B5417" s="218">
        <v>1</v>
      </c>
      <c r="C5417" s="220" t="s">
        <v>886</v>
      </c>
      <c r="D5417" s="220" t="s">
        <v>50</v>
      </c>
      <c r="E5417" s="165">
        <v>160</v>
      </c>
    </row>
    <row r="5418" spans="1:5" x14ac:dyDescent="0.25">
      <c r="A5418" s="216" t="s">
        <v>8614</v>
      </c>
      <c r="B5418" s="218" t="s">
        <v>48</v>
      </c>
      <c r="C5418" s="220" t="s">
        <v>92</v>
      </c>
      <c r="D5418" s="220" t="s">
        <v>82</v>
      </c>
      <c r="E5418" s="165">
        <v>160</v>
      </c>
    </row>
    <row r="5419" spans="1:5" x14ac:dyDescent="0.25">
      <c r="A5419" s="216" t="s">
        <v>6885</v>
      </c>
      <c r="B5419" s="218">
        <v>1</v>
      </c>
      <c r="C5419" s="220" t="s">
        <v>1416</v>
      </c>
      <c r="D5419" s="220" t="s">
        <v>523</v>
      </c>
      <c r="E5419" s="165">
        <v>160</v>
      </c>
    </row>
    <row r="5420" spans="1:5" x14ac:dyDescent="0.25">
      <c r="A5420" s="216" t="s">
        <v>7459</v>
      </c>
      <c r="B5420" s="218">
        <v>1</v>
      </c>
      <c r="C5420" s="220" t="s">
        <v>7460</v>
      </c>
      <c r="D5420" s="220" t="s">
        <v>98</v>
      </c>
      <c r="E5420" s="165">
        <v>160</v>
      </c>
    </row>
    <row r="5421" spans="1:5" x14ac:dyDescent="0.25">
      <c r="A5421" s="216" t="s">
        <v>8378</v>
      </c>
      <c r="B5421" s="218" t="s">
        <v>48</v>
      </c>
      <c r="C5421" s="220" t="s">
        <v>6048</v>
      </c>
      <c r="D5421" s="220" t="s">
        <v>206</v>
      </c>
      <c r="E5421" s="165">
        <v>159</v>
      </c>
    </row>
    <row r="5422" spans="1:5" x14ac:dyDescent="0.25">
      <c r="A5422" s="216" t="s">
        <v>7349</v>
      </c>
      <c r="B5422" s="218">
        <v>1</v>
      </c>
      <c r="C5422" s="220" t="s">
        <v>7350</v>
      </c>
      <c r="D5422" s="220" t="s">
        <v>93</v>
      </c>
      <c r="E5422" s="165">
        <v>159</v>
      </c>
    </row>
    <row r="5423" spans="1:5" x14ac:dyDescent="0.25">
      <c r="A5423" s="216" t="s">
        <v>7062</v>
      </c>
      <c r="B5423" s="218">
        <v>1</v>
      </c>
      <c r="C5423" s="220" t="s">
        <v>279</v>
      </c>
      <c r="D5423" s="220" t="s">
        <v>127</v>
      </c>
      <c r="E5423" s="165">
        <v>159</v>
      </c>
    </row>
    <row r="5424" spans="1:5" x14ac:dyDescent="0.25">
      <c r="A5424" s="216" t="s">
        <v>8121</v>
      </c>
      <c r="B5424" s="218" t="s">
        <v>48</v>
      </c>
      <c r="C5424" s="220" t="s">
        <v>5654</v>
      </c>
      <c r="D5424" s="220" t="s">
        <v>98</v>
      </c>
      <c r="E5424" s="165">
        <v>159</v>
      </c>
    </row>
    <row r="5425" spans="1:5" x14ac:dyDescent="0.25">
      <c r="A5425" s="216" t="s">
        <v>8110</v>
      </c>
      <c r="B5425" s="218" t="s">
        <v>48</v>
      </c>
      <c r="C5425" s="220" t="s">
        <v>8111</v>
      </c>
      <c r="D5425" s="220" t="s">
        <v>142</v>
      </c>
      <c r="E5425" s="165">
        <v>159</v>
      </c>
    </row>
    <row r="5426" spans="1:5" x14ac:dyDescent="0.25">
      <c r="A5426" s="216" t="s">
        <v>6571</v>
      </c>
      <c r="B5426" s="218">
        <v>1</v>
      </c>
      <c r="C5426" s="220" t="s">
        <v>6311</v>
      </c>
      <c r="D5426" s="220" t="s">
        <v>166</v>
      </c>
      <c r="E5426" s="165">
        <v>159</v>
      </c>
    </row>
    <row r="5427" spans="1:5" x14ac:dyDescent="0.25">
      <c r="A5427" s="216" t="s">
        <v>6798</v>
      </c>
      <c r="B5427" s="218" t="s">
        <v>48</v>
      </c>
      <c r="C5427" s="220" t="s">
        <v>2128</v>
      </c>
      <c r="D5427" s="220" t="s">
        <v>75</v>
      </c>
      <c r="E5427" s="165">
        <v>159</v>
      </c>
    </row>
    <row r="5428" spans="1:5" x14ac:dyDescent="0.25">
      <c r="A5428" s="216" t="s">
        <v>7368</v>
      </c>
      <c r="B5428" s="218">
        <v>1</v>
      </c>
      <c r="C5428" s="220" t="s">
        <v>3346</v>
      </c>
      <c r="D5428" s="220" t="s">
        <v>272</v>
      </c>
      <c r="E5428" s="165">
        <v>159</v>
      </c>
    </row>
    <row r="5429" spans="1:5" x14ac:dyDescent="0.25">
      <c r="A5429" s="216" t="s">
        <v>7646</v>
      </c>
      <c r="B5429" s="218">
        <v>1</v>
      </c>
      <c r="C5429" s="220" t="s">
        <v>7647</v>
      </c>
      <c r="D5429" s="220" t="s">
        <v>50</v>
      </c>
      <c r="E5429" s="165">
        <v>158</v>
      </c>
    </row>
    <row r="5430" spans="1:5" x14ac:dyDescent="0.25">
      <c r="A5430" s="216" t="s">
        <v>7140</v>
      </c>
      <c r="B5430" s="218" t="s">
        <v>48</v>
      </c>
      <c r="C5430" s="220" t="s">
        <v>58</v>
      </c>
      <c r="D5430" s="220" t="s">
        <v>59</v>
      </c>
      <c r="E5430" s="165">
        <v>158</v>
      </c>
    </row>
    <row r="5431" spans="1:5" x14ac:dyDescent="0.25">
      <c r="A5431" s="216" t="s">
        <v>7650</v>
      </c>
      <c r="B5431" s="218">
        <v>1</v>
      </c>
      <c r="C5431" s="220" t="s">
        <v>7651</v>
      </c>
      <c r="D5431" s="220" t="s">
        <v>50</v>
      </c>
      <c r="E5431" s="165">
        <v>158</v>
      </c>
    </row>
    <row r="5432" spans="1:5" x14ac:dyDescent="0.25">
      <c r="A5432" s="216" t="s">
        <v>11429</v>
      </c>
      <c r="B5432" s="218" t="s">
        <v>48</v>
      </c>
      <c r="C5432" s="220" t="s">
        <v>11430</v>
      </c>
      <c r="D5432" s="220" t="s">
        <v>59</v>
      </c>
      <c r="E5432" s="165">
        <v>158</v>
      </c>
    </row>
    <row r="5433" spans="1:5" x14ac:dyDescent="0.25">
      <c r="A5433" s="216" t="s">
        <v>7721</v>
      </c>
      <c r="B5433" s="218">
        <v>1</v>
      </c>
      <c r="C5433" s="220" t="s">
        <v>7722</v>
      </c>
      <c r="D5433" s="220" t="s">
        <v>56</v>
      </c>
      <c r="E5433" s="165">
        <v>158</v>
      </c>
    </row>
    <row r="5434" spans="1:5" x14ac:dyDescent="0.25">
      <c r="A5434" s="216" t="s">
        <v>7610</v>
      </c>
      <c r="B5434" s="218">
        <v>1</v>
      </c>
      <c r="C5434" s="220" t="s">
        <v>7611</v>
      </c>
      <c r="D5434" s="220" t="s">
        <v>222</v>
      </c>
      <c r="E5434" s="165">
        <v>158</v>
      </c>
    </row>
    <row r="5435" spans="1:5" x14ac:dyDescent="0.25">
      <c r="A5435" s="216" t="s">
        <v>8079</v>
      </c>
      <c r="B5435" s="218">
        <v>1</v>
      </c>
      <c r="C5435" s="220" t="s">
        <v>104</v>
      </c>
      <c r="D5435" s="220" t="s">
        <v>105</v>
      </c>
      <c r="E5435" s="165">
        <v>158</v>
      </c>
    </row>
    <row r="5436" spans="1:5" x14ac:dyDescent="0.25">
      <c r="A5436" s="216" t="s">
        <v>7653</v>
      </c>
      <c r="B5436" s="218">
        <v>1</v>
      </c>
      <c r="C5436" s="220" t="s">
        <v>1538</v>
      </c>
      <c r="D5436" s="220" t="s">
        <v>50</v>
      </c>
      <c r="E5436" s="165">
        <v>158</v>
      </c>
    </row>
    <row r="5437" spans="1:5" x14ac:dyDescent="0.25">
      <c r="A5437" s="216" t="s">
        <v>8066</v>
      </c>
      <c r="B5437" s="218">
        <v>1</v>
      </c>
      <c r="C5437" s="220" t="s">
        <v>8067</v>
      </c>
      <c r="D5437" s="220" t="s">
        <v>264</v>
      </c>
      <c r="E5437" s="165">
        <v>157</v>
      </c>
    </row>
    <row r="5438" spans="1:5" x14ac:dyDescent="0.25">
      <c r="A5438" s="216" t="s">
        <v>7593</v>
      </c>
      <c r="B5438" s="218">
        <v>1</v>
      </c>
      <c r="C5438" s="220" t="s">
        <v>7594</v>
      </c>
      <c r="D5438" s="220" t="s">
        <v>192</v>
      </c>
      <c r="E5438" s="165">
        <v>157</v>
      </c>
    </row>
    <row r="5439" spans="1:5" x14ac:dyDescent="0.25">
      <c r="A5439" s="216" t="s">
        <v>6230</v>
      </c>
      <c r="B5439" s="218">
        <v>1</v>
      </c>
      <c r="C5439" s="220" t="s">
        <v>3344</v>
      </c>
      <c r="D5439" s="220" t="s">
        <v>222</v>
      </c>
      <c r="E5439" s="165">
        <v>157</v>
      </c>
    </row>
    <row r="5440" spans="1:5" x14ac:dyDescent="0.25">
      <c r="A5440" s="216" t="s">
        <v>6377</v>
      </c>
      <c r="B5440" s="218" t="s">
        <v>48</v>
      </c>
      <c r="C5440" s="220" t="s">
        <v>6378</v>
      </c>
      <c r="D5440" s="220" t="s">
        <v>69</v>
      </c>
      <c r="E5440" s="165">
        <v>157</v>
      </c>
    </row>
    <row r="5441" spans="1:5" x14ac:dyDescent="0.25">
      <c r="A5441" s="216" t="s">
        <v>6579</v>
      </c>
      <c r="B5441" s="218" t="s">
        <v>48</v>
      </c>
      <c r="C5441" s="220" t="s">
        <v>313</v>
      </c>
      <c r="D5441" s="220" t="s">
        <v>90</v>
      </c>
      <c r="E5441" s="165">
        <v>157</v>
      </c>
    </row>
    <row r="5442" spans="1:5" x14ac:dyDescent="0.25">
      <c r="A5442" s="216" t="s">
        <v>7639</v>
      </c>
      <c r="B5442" s="218">
        <v>1</v>
      </c>
      <c r="C5442" s="220" t="s">
        <v>7640</v>
      </c>
      <c r="D5442" s="220" t="s">
        <v>774</v>
      </c>
      <c r="E5442" s="165">
        <v>157</v>
      </c>
    </row>
    <row r="5443" spans="1:5" x14ac:dyDescent="0.25">
      <c r="A5443" s="216" t="s">
        <v>7581</v>
      </c>
      <c r="B5443" s="218">
        <v>1</v>
      </c>
      <c r="C5443" s="220" t="s">
        <v>7582</v>
      </c>
      <c r="D5443" s="220" t="s">
        <v>66</v>
      </c>
      <c r="E5443" s="165">
        <v>157</v>
      </c>
    </row>
    <row r="5444" spans="1:5" x14ac:dyDescent="0.25">
      <c r="A5444" s="216" t="s">
        <v>8084</v>
      </c>
      <c r="B5444" s="218">
        <v>1</v>
      </c>
      <c r="C5444" s="220" t="s">
        <v>6659</v>
      </c>
      <c r="D5444" s="220" t="s">
        <v>264</v>
      </c>
      <c r="E5444" s="165">
        <v>157</v>
      </c>
    </row>
    <row r="5445" spans="1:5" x14ac:dyDescent="0.25">
      <c r="A5445" s="216" t="s">
        <v>7351</v>
      </c>
      <c r="B5445" s="218">
        <v>1</v>
      </c>
      <c r="C5445" s="220" t="s">
        <v>1645</v>
      </c>
      <c r="D5445" s="220" t="s">
        <v>130</v>
      </c>
      <c r="E5445" s="165">
        <v>156</v>
      </c>
    </row>
    <row r="5446" spans="1:5" x14ac:dyDescent="0.25">
      <c r="A5446" s="216" t="s">
        <v>11431</v>
      </c>
      <c r="B5446" s="218">
        <v>1</v>
      </c>
      <c r="C5446" s="220" t="s">
        <v>11432</v>
      </c>
      <c r="D5446" s="220" t="s">
        <v>575</v>
      </c>
      <c r="E5446" s="165">
        <v>156</v>
      </c>
    </row>
    <row r="5447" spans="1:5" x14ac:dyDescent="0.25">
      <c r="A5447" s="216" t="s">
        <v>7537</v>
      </c>
      <c r="B5447" s="218">
        <v>1</v>
      </c>
      <c r="C5447" s="220" t="s">
        <v>984</v>
      </c>
      <c r="D5447" s="220" t="s">
        <v>56</v>
      </c>
      <c r="E5447" s="165">
        <v>156</v>
      </c>
    </row>
    <row r="5448" spans="1:5" x14ac:dyDescent="0.25">
      <c r="A5448" s="216" t="s">
        <v>5461</v>
      </c>
      <c r="B5448" s="218">
        <v>1</v>
      </c>
      <c r="C5448" s="220" t="s">
        <v>5462</v>
      </c>
      <c r="D5448" s="220" t="s">
        <v>66</v>
      </c>
      <c r="E5448" s="165">
        <v>156</v>
      </c>
    </row>
    <row r="5449" spans="1:5" x14ac:dyDescent="0.25">
      <c r="A5449" s="216" t="s">
        <v>11433</v>
      </c>
      <c r="B5449" s="218" t="s">
        <v>48</v>
      </c>
      <c r="C5449" s="220" t="s">
        <v>466</v>
      </c>
      <c r="D5449" s="220" t="s">
        <v>206</v>
      </c>
      <c r="E5449" s="165">
        <v>156</v>
      </c>
    </row>
    <row r="5450" spans="1:5" x14ac:dyDescent="0.25">
      <c r="A5450" s="216" t="s">
        <v>7703</v>
      </c>
      <c r="B5450" s="218">
        <v>1</v>
      </c>
      <c r="C5450" s="220" t="s">
        <v>1036</v>
      </c>
      <c r="D5450" s="220" t="s">
        <v>50</v>
      </c>
      <c r="E5450" s="165">
        <v>156</v>
      </c>
    </row>
    <row r="5451" spans="1:5" x14ac:dyDescent="0.25">
      <c r="A5451" s="216" t="s">
        <v>7598</v>
      </c>
      <c r="B5451" s="218">
        <v>1</v>
      </c>
      <c r="C5451" s="220" t="s">
        <v>727</v>
      </c>
      <c r="D5451" s="220" t="s">
        <v>66</v>
      </c>
      <c r="E5451" s="165">
        <v>156</v>
      </c>
    </row>
    <row r="5452" spans="1:5" x14ac:dyDescent="0.25">
      <c r="A5452" s="216" t="s">
        <v>7357</v>
      </c>
      <c r="B5452" s="218">
        <v>1</v>
      </c>
      <c r="C5452" s="220" t="s">
        <v>1768</v>
      </c>
      <c r="D5452" s="220" t="s">
        <v>130</v>
      </c>
      <c r="E5452" s="165">
        <v>156</v>
      </c>
    </row>
    <row r="5453" spans="1:5" x14ac:dyDescent="0.25">
      <c r="A5453" s="216" t="s">
        <v>7360</v>
      </c>
      <c r="B5453" s="218">
        <v>1</v>
      </c>
      <c r="C5453" s="220" t="s">
        <v>7361</v>
      </c>
      <c r="D5453" s="220" t="s">
        <v>130</v>
      </c>
      <c r="E5453" s="165">
        <v>156</v>
      </c>
    </row>
    <row r="5454" spans="1:5" x14ac:dyDescent="0.25">
      <c r="A5454" s="216" t="s">
        <v>8008</v>
      </c>
      <c r="B5454" s="218" t="s">
        <v>48</v>
      </c>
      <c r="C5454" s="220" t="s">
        <v>2378</v>
      </c>
      <c r="D5454" s="220" t="s">
        <v>93</v>
      </c>
      <c r="E5454" s="165">
        <v>156</v>
      </c>
    </row>
    <row r="5455" spans="1:5" x14ac:dyDescent="0.25">
      <c r="A5455" s="216" t="s">
        <v>7527</v>
      </c>
      <c r="B5455" s="218">
        <v>1</v>
      </c>
      <c r="C5455" s="220" t="s">
        <v>7528</v>
      </c>
      <c r="D5455" s="220" t="s">
        <v>56</v>
      </c>
      <c r="E5455" s="165">
        <v>156</v>
      </c>
    </row>
    <row r="5456" spans="1:5" x14ac:dyDescent="0.25">
      <c r="A5456" s="216" t="s">
        <v>7551</v>
      </c>
      <c r="B5456" s="218">
        <v>1</v>
      </c>
      <c r="C5456" s="220" t="s">
        <v>7552</v>
      </c>
      <c r="D5456" s="220" t="s">
        <v>56</v>
      </c>
      <c r="E5456" s="165">
        <v>156</v>
      </c>
    </row>
    <row r="5457" spans="1:5" x14ac:dyDescent="0.25">
      <c r="A5457" s="216" t="s">
        <v>7553</v>
      </c>
      <c r="B5457" s="218">
        <v>1</v>
      </c>
      <c r="C5457" s="220" t="s">
        <v>7554</v>
      </c>
      <c r="D5457" s="220" t="s">
        <v>56</v>
      </c>
      <c r="E5457" s="165">
        <v>156</v>
      </c>
    </row>
    <row r="5458" spans="1:5" x14ac:dyDescent="0.25">
      <c r="A5458" s="216" t="s">
        <v>8159</v>
      </c>
      <c r="B5458" s="218" t="s">
        <v>48</v>
      </c>
      <c r="C5458" s="220" t="s">
        <v>4543</v>
      </c>
      <c r="D5458" s="220" t="s">
        <v>166</v>
      </c>
      <c r="E5458" s="165">
        <v>156</v>
      </c>
    </row>
    <row r="5459" spans="1:5" x14ac:dyDescent="0.25">
      <c r="A5459" s="216" t="s">
        <v>7573</v>
      </c>
      <c r="B5459" s="218">
        <v>1</v>
      </c>
      <c r="C5459" s="220" t="s">
        <v>7574</v>
      </c>
      <c r="D5459" s="220" t="s">
        <v>69</v>
      </c>
      <c r="E5459" s="165">
        <v>156</v>
      </c>
    </row>
    <row r="5460" spans="1:5" x14ac:dyDescent="0.25">
      <c r="A5460" s="216" t="s">
        <v>11434</v>
      </c>
      <c r="B5460" s="218">
        <v>1</v>
      </c>
      <c r="C5460" s="220" t="s">
        <v>3877</v>
      </c>
      <c r="D5460" s="220" t="s">
        <v>166</v>
      </c>
      <c r="E5460" s="165">
        <v>156</v>
      </c>
    </row>
    <row r="5461" spans="1:5" x14ac:dyDescent="0.25">
      <c r="A5461" s="216" t="s">
        <v>7211</v>
      </c>
      <c r="B5461" s="218">
        <v>1</v>
      </c>
      <c r="C5461" s="220" t="s">
        <v>6675</v>
      </c>
      <c r="D5461" s="220" t="s">
        <v>72</v>
      </c>
      <c r="E5461" s="165">
        <v>155</v>
      </c>
    </row>
    <row r="5462" spans="1:5" x14ac:dyDescent="0.25">
      <c r="A5462" s="216" t="s">
        <v>7563</v>
      </c>
      <c r="B5462" s="218">
        <v>1</v>
      </c>
      <c r="C5462" s="220" t="s">
        <v>391</v>
      </c>
      <c r="D5462" s="220" t="s">
        <v>56</v>
      </c>
      <c r="E5462" s="165">
        <v>155</v>
      </c>
    </row>
    <row r="5463" spans="1:5" x14ac:dyDescent="0.25">
      <c r="A5463" s="216" t="s">
        <v>7762</v>
      </c>
      <c r="B5463" s="218" t="s">
        <v>48</v>
      </c>
      <c r="C5463" s="220" t="s">
        <v>7763</v>
      </c>
      <c r="D5463" s="220" t="s">
        <v>56</v>
      </c>
      <c r="E5463" s="165">
        <v>155</v>
      </c>
    </row>
    <row r="5464" spans="1:5" x14ac:dyDescent="0.25">
      <c r="A5464" s="216" t="s">
        <v>7787</v>
      </c>
      <c r="B5464" s="218">
        <v>1</v>
      </c>
      <c r="C5464" s="220" t="s">
        <v>7788</v>
      </c>
      <c r="D5464" s="220" t="s">
        <v>188</v>
      </c>
      <c r="E5464" s="165">
        <v>155</v>
      </c>
    </row>
    <row r="5465" spans="1:5" x14ac:dyDescent="0.25">
      <c r="A5465" s="216" t="s">
        <v>8003</v>
      </c>
      <c r="B5465" s="218" t="s">
        <v>48</v>
      </c>
      <c r="C5465" s="220" t="s">
        <v>4209</v>
      </c>
      <c r="D5465" s="220" t="s">
        <v>90</v>
      </c>
      <c r="E5465" s="165">
        <v>155</v>
      </c>
    </row>
    <row r="5466" spans="1:5" x14ac:dyDescent="0.25">
      <c r="A5466" s="216" t="s">
        <v>7687</v>
      </c>
      <c r="B5466" s="218">
        <v>1</v>
      </c>
      <c r="C5466" s="220" t="s">
        <v>1921</v>
      </c>
      <c r="D5466" s="220" t="s">
        <v>63</v>
      </c>
      <c r="E5466" s="165">
        <v>155</v>
      </c>
    </row>
    <row r="5467" spans="1:5" x14ac:dyDescent="0.25">
      <c r="A5467" s="216" t="s">
        <v>7901</v>
      </c>
      <c r="B5467" s="218">
        <v>1</v>
      </c>
      <c r="C5467" s="220" t="s">
        <v>7902</v>
      </c>
      <c r="D5467" s="220" t="s">
        <v>575</v>
      </c>
      <c r="E5467" s="165">
        <v>155</v>
      </c>
    </row>
    <row r="5468" spans="1:5" x14ac:dyDescent="0.25">
      <c r="A5468" s="216" t="s">
        <v>7731</v>
      </c>
      <c r="B5468" s="218">
        <v>1</v>
      </c>
      <c r="C5468" s="220" t="s">
        <v>7732</v>
      </c>
      <c r="D5468" s="220" t="s">
        <v>394</v>
      </c>
      <c r="E5468" s="165">
        <v>155</v>
      </c>
    </row>
    <row r="5469" spans="1:5" x14ac:dyDescent="0.25">
      <c r="A5469" s="216" t="s">
        <v>6758</v>
      </c>
      <c r="B5469" s="218" t="s">
        <v>48</v>
      </c>
      <c r="C5469" s="220" t="s">
        <v>4172</v>
      </c>
      <c r="D5469" s="220" t="s">
        <v>53</v>
      </c>
      <c r="E5469" s="165">
        <v>155</v>
      </c>
    </row>
    <row r="5470" spans="1:5" x14ac:dyDescent="0.25">
      <c r="A5470" s="216" t="s">
        <v>10196</v>
      </c>
      <c r="B5470" s="218" t="s">
        <v>48</v>
      </c>
      <c r="C5470" s="220" t="s">
        <v>285</v>
      </c>
      <c r="D5470" s="220" t="s">
        <v>59</v>
      </c>
      <c r="E5470" s="165">
        <v>155</v>
      </c>
    </row>
    <row r="5471" spans="1:5" x14ac:dyDescent="0.25">
      <c r="A5471" s="216" t="s">
        <v>7767</v>
      </c>
      <c r="B5471" s="218" t="s">
        <v>48</v>
      </c>
      <c r="C5471" s="220" t="s">
        <v>7768</v>
      </c>
      <c r="D5471" s="220" t="s">
        <v>87</v>
      </c>
      <c r="E5471" s="165">
        <v>155</v>
      </c>
    </row>
    <row r="5472" spans="1:5" x14ac:dyDescent="0.25">
      <c r="A5472" s="216" t="s">
        <v>6379</v>
      </c>
      <c r="B5472" s="218" t="s">
        <v>48</v>
      </c>
      <c r="C5472" s="220" t="s">
        <v>245</v>
      </c>
      <c r="D5472" s="220" t="s">
        <v>69</v>
      </c>
      <c r="E5472" s="165">
        <v>155</v>
      </c>
    </row>
    <row r="5473" spans="1:5" x14ac:dyDescent="0.25">
      <c r="A5473" s="216" t="s">
        <v>7550</v>
      </c>
      <c r="B5473" s="218">
        <v>1</v>
      </c>
      <c r="C5473" s="220" t="s">
        <v>4545</v>
      </c>
      <c r="D5473" s="220" t="s">
        <v>188</v>
      </c>
      <c r="E5473" s="165">
        <v>155</v>
      </c>
    </row>
    <row r="5474" spans="1:5" x14ac:dyDescent="0.25">
      <c r="A5474" s="216" t="s">
        <v>6997</v>
      </c>
      <c r="B5474" s="218">
        <v>1</v>
      </c>
      <c r="C5474" s="220" t="s">
        <v>4152</v>
      </c>
      <c r="D5474" s="220" t="s">
        <v>50</v>
      </c>
      <c r="E5474" s="165">
        <v>155</v>
      </c>
    </row>
    <row r="5475" spans="1:5" x14ac:dyDescent="0.25">
      <c r="A5475" s="216" t="s">
        <v>7376</v>
      </c>
      <c r="B5475" s="218">
        <v>1</v>
      </c>
      <c r="C5475" s="220" t="s">
        <v>7377</v>
      </c>
      <c r="D5475" s="220" t="s">
        <v>87</v>
      </c>
      <c r="E5475" s="165">
        <v>155</v>
      </c>
    </row>
    <row r="5476" spans="1:5" x14ac:dyDescent="0.25">
      <c r="A5476" s="216" t="s">
        <v>3108</v>
      </c>
      <c r="B5476" s="218" t="s">
        <v>48</v>
      </c>
      <c r="C5476" s="220" t="s">
        <v>3109</v>
      </c>
      <c r="D5476" s="220" t="s">
        <v>75</v>
      </c>
      <c r="E5476" s="165">
        <v>154</v>
      </c>
    </row>
    <row r="5477" spans="1:5" x14ac:dyDescent="0.25">
      <c r="A5477" s="216" t="s">
        <v>7813</v>
      </c>
      <c r="B5477" s="218" t="s">
        <v>48</v>
      </c>
      <c r="C5477" s="220" t="s">
        <v>3137</v>
      </c>
      <c r="D5477" s="220" t="s">
        <v>50</v>
      </c>
      <c r="E5477" s="165">
        <v>154</v>
      </c>
    </row>
    <row r="5478" spans="1:5" x14ac:dyDescent="0.25">
      <c r="A5478" s="216" t="s">
        <v>7856</v>
      </c>
      <c r="B5478" s="218">
        <v>1</v>
      </c>
      <c r="C5478" s="220" t="s">
        <v>7857</v>
      </c>
      <c r="D5478" s="220" t="s">
        <v>139</v>
      </c>
      <c r="E5478" s="165">
        <v>154</v>
      </c>
    </row>
    <row r="5479" spans="1:5" x14ac:dyDescent="0.25">
      <c r="A5479" s="216" t="s">
        <v>7733</v>
      </c>
      <c r="B5479" s="218" t="s">
        <v>48</v>
      </c>
      <c r="C5479" s="220" t="s">
        <v>570</v>
      </c>
      <c r="D5479" s="220" t="s">
        <v>93</v>
      </c>
      <c r="E5479" s="165">
        <v>154</v>
      </c>
    </row>
    <row r="5480" spans="1:5" x14ac:dyDescent="0.25">
      <c r="A5480" s="216" t="s">
        <v>7734</v>
      </c>
      <c r="B5480" s="218" t="s">
        <v>48</v>
      </c>
      <c r="C5480" s="220" t="s">
        <v>5885</v>
      </c>
      <c r="D5480" s="220" t="s">
        <v>201</v>
      </c>
      <c r="E5480" s="165">
        <v>154</v>
      </c>
    </row>
    <row r="5481" spans="1:5" x14ac:dyDescent="0.25">
      <c r="A5481" s="216" t="s">
        <v>6883</v>
      </c>
      <c r="B5481" s="218" t="s">
        <v>48</v>
      </c>
      <c r="C5481" s="220" t="s">
        <v>6884</v>
      </c>
      <c r="D5481" s="220" t="s">
        <v>127</v>
      </c>
      <c r="E5481" s="165">
        <v>154</v>
      </c>
    </row>
    <row r="5482" spans="1:5" x14ac:dyDescent="0.25">
      <c r="A5482" s="216" t="s">
        <v>7704</v>
      </c>
      <c r="B5482" s="218">
        <v>1</v>
      </c>
      <c r="C5482" s="220" t="s">
        <v>2347</v>
      </c>
      <c r="D5482" s="220" t="s">
        <v>63</v>
      </c>
      <c r="E5482" s="165">
        <v>154</v>
      </c>
    </row>
    <row r="5483" spans="1:5" x14ac:dyDescent="0.25">
      <c r="A5483" s="216" t="s">
        <v>7225</v>
      </c>
      <c r="B5483" s="218">
        <v>1</v>
      </c>
      <c r="C5483" s="220" t="s">
        <v>433</v>
      </c>
      <c r="D5483" s="220" t="s">
        <v>127</v>
      </c>
      <c r="E5483" s="165">
        <v>154</v>
      </c>
    </row>
    <row r="5484" spans="1:5" x14ac:dyDescent="0.25">
      <c r="A5484" s="216" t="s">
        <v>7504</v>
      </c>
      <c r="B5484" s="218">
        <v>1</v>
      </c>
      <c r="C5484" s="220" t="s">
        <v>2623</v>
      </c>
      <c r="D5484" s="220" t="s">
        <v>50</v>
      </c>
      <c r="E5484" s="165">
        <v>154</v>
      </c>
    </row>
    <row r="5485" spans="1:5" x14ac:dyDescent="0.25">
      <c r="A5485" s="216" t="s">
        <v>7864</v>
      </c>
      <c r="B5485" s="218">
        <v>1</v>
      </c>
      <c r="C5485" s="220" t="s">
        <v>1084</v>
      </c>
      <c r="D5485" s="220" t="s">
        <v>139</v>
      </c>
      <c r="E5485" s="165">
        <v>154</v>
      </c>
    </row>
    <row r="5486" spans="1:5" x14ac:dyDescent="0.25">
      <c r="A5486" s="216" t="s">
        <v>7706</v>
      </c>
      <c r="B5486" s="218">
        <v>1</v>
      </c>
      <c r="C5486" s="220" t="s">
        <v>615</v>
      </c>
      <c r="D5486" s="220" t="s">
        <v>63</v>
      </c>
      <c r="E5486" s="165">
        <v>154</v>
      </c>
    </row>
    <row r="5487" spans="1:5" x14ac:dyDescent="0.25">
      <c r="A5487" s="216" t="s">
        <v>7869</v>
      </c>
      <c r="B5487" s="218">
        <v>1</v>
      </c>
      <c r="C5487" s="220" t="s">
        <v>1889</v>
      </c>
      <c r="D5487" s="220" t="s">
        <v>139</v>
      </c>
      <c r="E5487" s="165">
        <v>154</v>
      </c>
    </row>
    <row r="5488" spans="1:5" x14ac:dyDescent="0.25">
      <c r="A5488" s="216" t="s">
        <v>7708</v>
      </c>
      <c r="B5488" s="218">
        <v>1</v>
      </c>
      <c r="C5488" s="220" t="s">
        <v>7709</v>
      </c>
      <c r="D5488" s="220" t="s">
        <v>63</v>
      </c>
      <c r="E5488" s="165">
        <v>154</v>
      </c>
    </row>
    <row r="5489" spans="1:5" x14ac:dyDescent="0.25">
      <c r="A5489" s="216" t="s">
        <v>7529</v>
      </c>
      <c r="B5489" s="218" t="s">
        <v>48</v>
      </c>
      <c r="C5489" s="220" t="s">
        <v>1709</v>
      </c>
      <c r="D5489" s="220" t="s">
        <v>108</v>
      </c>
      <c r="E5489" s="165">
        <v>154</v>
      </c>
    </row>
    <row r="5490" spans="1:5" x14ac:dyDescent="0.25">
      <c r="A5490" s="216" t="s">
        <v>7397</v>
      </c>
      <c r="B5490" s="218" t="s">
        <v>48</v>
      </c>
      <c r="C5490" s="220" t="s">
        <v>4739</v>
      </c>
      <c r="D5490" s="220" t="s">
        <v>348</v>
      </c>
      <c r="E5490" s="165">
        <v>154</v>
      </c>
    </row>
    <row r="5491" spans="1:5" x14ac:dyDescent="0.25">
      <c r="A5491" s="216" t="s">
        <v>7827</v>
      </c>
      <c r="B5491" s="218">
        <v>1</v>
      </c>
      <c r="C5491" s="220" t="s">
        <v>1418</v>
      </c>
      <c r="D5491" s="220" t="s">
        <v>188</v>
      </c>
      <c r="E5491" s="165">
        <v>154</v>
      </c>
    </row>
    <row r="5492" spans="1:5" x14ac:dyDescent="0.25">
      <c r="A5492" s="216" t="s">
        <v>5278</v>
      </c>
      <c r="B5492" s="218" t="s">
        <v>48</v>
      </c>
      <c r="C5492" s="220" t="s">
        <v>5279</v>
      </c>
      <c r="D5492" s="220" t="s">
        <v>53</v>
      </c>
      <c r="E5492" s="165">
        <v>154</v>
      </c>
    </row>
    <row r="5493" spans="1:5" x14ac:dyDescent="0.25">
      <c r="A5493" s="216" t="s">
        <v>7259</v>
      </c>
      <c r="B5493" s="218" t="s">
        <v>48</v>
      </c>
      <c r="C5493" s="220" t="s">
        <v>7260</v>
      </c>
      <c r="D5493" s="220" t="s">
        <v>108</v>
      </c>
      <c r="E5493" s="165">
        <v>153</v>
      </c>
    </row>
    <row r="5494" spans="1:5" x14ac:dyDescent="0.25">
      <c r="A5494" s="216" t="s">
        <v>7006</v>
      </c>
      <c r="B5494" s="218">
        <v>1</v>
      </c>
      <c r="C5494" s="220" t="s">
        <v>5705</v>
      </c>
      <c r="D5494" s="220" t="s">
        <v>523</v>
      </c>
      <c r="E5494" s="165">
        <v>153</v>
      </c>
    </row>
    <row r="5495" spans="1:5" x14ac:dyDescent="0.25">
      <c r="A5495" s="216" t="s">
        <v>11435</v>
      </c>
      <c r="B5495" s="218">
        <v>1</v>
      </c>
      <c r="C5495" s="220" t="s">
        <v>3078</v>
      </c>
      <c r="D5495" s="220" t="s">
        <v>575</v>
      </c>
      <c r="E5495" s="165">
        <v>153</v>
      </c>
    </row>
    <row r="5496" spans="1:5" x14ac:dyDescent="0.25">
      <c r="A5496" s="216" t="s">
        <v>7785</v>
      </c>
      <c r="B5496" s="218">
        <v>1</v>
      </c>
      <c r="C5496" s="220" t="s">
        <v>3371</v>
      </c>
      <c r="D5496" s="220" t="s">
        <v>56</v>
      </c>
      <c r="E5496" s="165">
        <v>153</v>
      </c>
    </row>
    <row r="5497" spans="1:5" x14ac:dyDescent="0.25">
      <c r="A5497" s="216" t="s">
        <v>7595</v>
      </c>
      <c r="B5497" s="218">
        <v>1</v>
      </c>
      <c r="C5497" s="220" t="s">
        <v>6021</v>
      </c>
      <c r="D5497" s="220" t="s">
        <v>78</v>
      </c>
      <c r="E5497" s="165">
        <v>153</v>
      </c>
    </row>
    <row r="5498" spans="1:5" x14ac:dyDescent="0.25">
      <c r="A5498" s="216" t="s">
        <v>6990</v>
      </c>
      <c r="B5498" s="218">
        <v>1</v>
      </c>
      <c r="C5498" s="220" t="s">
        <v>6991</v>
      </c>
      <c r="D5498" s="220" t="s">
        <v>523</v>
      </c>
      <c r="E5498" s="165">
        <v>153</v>
      </c>
    </row>
    <row r="5499" spans="1:5" x14ac:dyDescent="0.25">
      <c r="A5499" s="216" t="s">
        <v>11436</v>
      </c>
      <c r="B5499" s="218">
        <v>1</v>
      </c>
      <c r="C5499" s="220" t="s">
        <v>11437</v>
      </c>
      <c r="D5499" s="220" t="s">
        <v>130</v>
      </c>
      <c r="E5499" s="165">
        <v>153</v>
      </c>
    </row>
    <row r="5500" spans="1:5" x14ac:dyDescent="0.25">
      <c r="A5500" s="216" t="s">
        <v>7795</v>
      </c>
      <c r="B5500" s="218">
        <v>1</v>
      </c>
      <c r="C5500" s="220" t="s">
        <v>7796</v>
      </c>
      <c r="D5500" s="220" t="s">
        <v>56</v>
      </c>
      <c r="E5500" s="165">
        <v>153</v>
      </c>
    </row>
    <row r="5501" spans="1:5" x14ac:dyDescent="0.25">
      <c r="A5501" s="216" t="s">
        <v>5848</v>
      </c>
      <c r="B5501" s="218">
        <v>1</v>
      </c>
      <c r="C5501" s="220" t="s">
        <v>5849</v>
      </c>
      <c r="D5501" s="220" t="s">
        <v>105</v>
      </c>
      <c r="E5501" s="165">
        <v>153</v>
      </c>
    </row>
    <row r="5502" spans="1:5" x14ac:dyDescent="0.25">
      <c r="A5502" s="216" t="s">
        <v>7801</v>
      </c>
      <c r="B5502" s="218">
        <v>1</v>
      </c>
      <c r="C5502" s="220" t="s">
        <v>7802</v>
      </c>
      <c r="D5502" s="220" t="s">
        <v>56</v>
      </c>
      <c r="E5502" s="165">
        <v>153</v>
      </c>
    </row>
    <row r="5503" spans="1:5" x14ac:dyDescent="0.25">
      <c r="A5503" s="216" t="s">
        <v>7736</v>
      </c>
      <c r="B5503" s="218">
        <v>1</v>
      </c>
      <c r="C5503" s="220" t="s">
        <v>1569</v>
      </c>
      <c r="D5503" s="220" t="s">
        <v>50</v>
      </c>
      <c r="E5503" s="165">
        <v>153</v>
      </c>
    </row>
    <row r="5504" spans="1:5" x14ac:dyDescent="0.25">
      <c r="A5504" s="216" t="s">
        <v>7417</v>
      </c>
      <c r="B5504" s="218" t="s">
        <v>48</v>
      </c>
      <c r="C5504" s="220" t="s">
        <v>7418</v>
      </c>
      <c r="D5504" s="220" t="s">
        <v>523</v>
      </c>
      <c r="E5504" s="165">
        <v>153</v>
      </c>
    </row>
    <row r="5505" spans="1:5" x14ac:dyDescent="0.25">
      <c r="A5505" s="216" t="s">
        <v>7166</v>
      </c>
      <c r="B5505" s="218" t="s">
        <v>48</v>
      </c>
      <c r="C5505" s="220" t="s">
        <v>6210</v>
      </c>
      <c r="D5505" s="220" t="s">
        <v>166</v>
      </c>
      <c r="E5505" s="165">
        <v>153</v>
      </c>
    </row>
    <row r="5506" spans="1:5" x14ac:dyDescent="0.25">
      <c r="A5506" s="216" t="s">
        <v>2922</v>
      </c>
      <c r="B5506" s="218">
        <v>1</v>
      </c>
      <c r="C5506" s="220" t="s">
        <v>58</v>
      </c>
      <c r="D5506" s="220" t="s">
        <v>59</v>
      </c>
      <c r="E5506" s="165">
        <v>153</v>
      </c>
    </row>
    <row r="5507" spans="1:5" x14ac:dyDescent="0.25">
      <c r="A5507" s="216" t="s">
        <v>10865</v>
      </c>
      <c r="B5507" s="218">
        <v>1</v>
      </c>
      <c r="C5507" s="220" t="s">
        <v>2715</v>
      </c>
      <c r="D5507" s="220" t="s">
        <v>56</v>
      </c>
      <c r="E5507" s="165">
        <v>153</v>
      </c>
    </row>
    <row r="5508" spans="1:5" x14ac:dyDescent="0.25">
      <c r="A5508" s="216" t="s">
        <v>7744</v>
      </c>
      <c r="B5508" s="218">
        <v>1</v>
      </c>
      <c r="C5508" s="220" t="s">
        <v>7745</v>
      </c>
      <c r="D5508" s="220" t="s">
        <v>63</v>
      </c>
      <c r="E5508" s="165">
        <v>152</v>
      </c>
    </row>
    <row r="5509" spans="1:5" x14ac:dyDescent="0.25">
      <c r="A5509" s="216" t="s">
        <v>6844</v>
      </c>
      <c r="B5509" s="218" t="s">
        <v>48</v>
      </c>
      <c r="C5509" s="220" t="s">
        <v>2211</v>
      </c>
      <c r="D5509" s="220" t="s">
        <v>90</v>
      </c>
      <c r="E5509" s="165">
        <v>152</v>
      </c>
    </row>
    <row r="5510" spans="1:5" x14ac:dyDescent="0.25">
      <c r="A5510" s="216" t="s">
        <v>7592</v>
      </c>
      <c r="B5510" s="218">
        <v>1</v>
      </c>
      <c r="C5510" s="220" t="s">
        <v>274</v>
      </c>
      <c r="D5510" s="220" t="s">
        <v>188</v>
      </c>
      <c r="E5510" s="165">
        <v>152</v>
      </c>
    </row>
    <row r="5511" spans="1:5" x14ac:dyDescent="0.25">
      <c r="A5511" s="216" t="s">
        <v>7851</v>
      </c>
      <c r="B5511" s="218">
        <v>1</v>
      </c>
      <c r="C5511" s="220" t="s">
        <v>7852</v>
      </c>
      <c r="D5511" s="220" t="s">
        <v>188</v>
      </c>
      <c r="E5511" s="165">
        <v>152</v>
      </c>
    </row>
    <row r="5512" spans="1:5" x14ac:dyDescent="0.25">
      <c r="A5512" s="216" t="s">
        <v>7173</v>
      </c>
      <c r="B5512" s="218" t="s">
        <v>48</v>
      </c>
      <c r="C5512" s="220" t="s">
        <v>1610</v>
      </c>
      <c r="D5512" s="220" t="s">
        <v>166</v>
      </c>
      <c r="E5512" s="165">
        <v>152</v>
      </c>
    </row>
    <row r="5513" spans="1:5" x14ac:dyDescent="0.25">
      <c r="A5513" s="216" t="s">
        <v>11438</v>
      </c>
      <c r="B5513" s="218">
        <v>1</v>
      </c>
      <c r="C5513" s="220" t="s">
        <v>1331</v>
      </c>
      <c r="D5513" s="220" t="s">
        <v>348</v>
      </c>
      <c r="E5513" s="165">
        <v>152</v>
      </c>
    </row>
    <row r="5514" spans="1:5" x14ac:dyDescent="0.25">
      <c r="A5514" s="216" t="s">
        <v>7753</v>
      </c>
      <c r="B5514" s="218">
        <v>1</v>
      </c>
      <c r="C5514" s="220" t="s">
        <v>5481</v>
      </c>
      <c r="D5514" s="220" t="s">
        <v>63</v>
      </c>
      <c r="E5514" s="165">
        <v>152</v>
      </c>
    </row>
    <row r="5515" spans="1:5" x14ac:dyDescent="0.25">
      <c r="A5515" s="216" t="s">
        <v>6173</v>
      </c>
      <c r="B5515" s="218">
        <v>1</v>
      </c>
      <c r="C5515" s="220" t="s">
        <v>3439</v>
      </c>
      <c r="D5515" s="220" t="s">
        <v>50</v>
      </c>
      <c r="E5515" s="165">
        <v>152</v>
      </c>
    </row>
    <row r="5516" spans="1:5" x14ac:dyDescent="0.25">
      <c r="A5516" s="216" t="s">
        <v>8506</v>
      </c>
      <c r="B5516" s="218" t="s">
        <v>48</v>
      </c>
      <c r="C5516" s="220" t="s">
        <v>8507</v>
      </c>
      <c r="D5516" s="220" t="s">
        <v>75</v>
      </c>
      <c r="E5516" s="165">
        <v>152</v>
      </c>
    </row>
    <row r="5517" spans="1:5" x14ac:dyDescent="0.25">
      <c r="A5517" s="216" t="s">
        <v>7735</v>
      </c>
      <c r="B5517" s="218">
        <v>1</v>
      </c>
      <c r="C5517" s="220" t="s">
        <v>6279</v>
      </c>
      <c r="D5517" s="220" t="s">
        <v>63</v>
      </c>
      <c r="E5517" s="165">
        <v>152</v>
      </c>
    </row>
    <row r="5518" spans="1:5" x14ac:dyDescent="0.25">
      <c r="A5518" s="216" t="s">
        <v>7941</v>
      </c>
      <c r="B5518" s="218" t="s">
        <v>48</v>
      </c>
      <c r="C5518" s="220" t="s">
        <v>4162</v>
      </c>
      <c r="D5518" s="220" t="s">
        <v>53</v>
      </c>
      <c r="E5518" s="165">
        <v>152</v>
      </c>
    </row>
    <row r="5519" spans="1:5" x14ac:dyDescent="0.25">
      <c r="A5519" s="216" t="s">
        <v>11439</v>
      </c>
      <c r="B5519" s="218">
        <v>1</v>
      </c>
      <c r="C5519" s="220" t="s">
        <v>2156</v>
      </c>
      <c r="D5519" s="220" t="s">
        <v>166</v>
      </c>
      <c r="E5519" s="165">
        <v>152</v>
      </c>
    </row>
    <row r="5520" spans="1:5" x14ac:dyDescent="0.25">
      <c r="A5520" s="216" t="s">
        <v>7338</v>
      </c>
      <c r="B5520" s="218">
        <v>1</v>
      </c>
      <c r="C5520" s="220" t="s">
        <v>7339</v>
      </c>
      <c r="D5520" s="220" t="s">
        <v>87</v>
      </c>
      <c r="E5520" s="165">
        <v>152</v>
      </c>
    </row>
    <row r="5521" spans="1:5" x14ac:dyDescent="0.25">
      <c r="A5521" s="216" t="s">
        <v>11440</v>
      </c>
      <c r="B5521" s="218">
        <v>1</v>
      </c>
      <c r="C5521" s="220" t="s">
        <v>5165</v>
      </c>
      <c r="D5521" s="220" t="s">
        <v>66</v>
      </c>
      <c r="E5521" s="165">
        <v>151</v>
      </c>
    </row>
    <row r="5522" spans="1:5" x14ac:dyDescent="0.25">
      <c r="A5522" s="216" t="s">
        <v>5972</v>
      </c>
      <c r="B5522" s="218" t="s">
        <v>48</v>
      </c>
      <c r="C5522" s="220" t="s">
        <v>5973</v>
      </c>
      <c r="D5522" s="220" t="s">
        <v>69</v>
      </c>
      <c r="E5522" s="165">
        <v>151</v>
      </c>
    </row>
    <row r="5523" spans="1:5" x14ac:dyDescent="0.25">
      <c r="A5523" s="216" t="s">
        <v>7577</v>
      </c>
      <c r="B5523" s="218" t="s">
        <v>48</v>
      </c>
      <c r="C5523" s="220" t="s">
        <v>7341</v>
      </c>
      <c r="D5523" s="220" t="s">
        <v>90</v>
      </c>
      <c r="E5523" s="165">
        <v>151</v>
      </c>
    </row>
    <row r="5524" spans="1:5" x14ac:dyDescent="0.25">
      <c r="A5524" s="216" t="s">
        <v>9563</v>
      </c>
      <c r="B5524" s="218" t="s">
        <v>48</v>
      </c>
      <c r="C5524" s="220" t="s">
        <v>443</v>
      </c>
      <c r="D5524" s="220" t="s">
        <v>166</v>
      </c>
      <c r="E5524" s="165">
        <v>151</v>
      </c>
    </row>
    <row r="5525" spans="1:5" x14ac:dyDescent="0.25">
      <c r="A5525" s="216" t="s">
        <v>5207</v>
      </c>
      <c r="B5525" s="218" t="s">
        <v>48</v>
      </c>
      <c r="C5525" s="220" t="s">
        <v>144</v>
      </c>
      <c r="D5525" s="220" t="s">
        <v>59</v>
      </c>
      <c r="E5525" s="165">
        <v>151</v>
      </c>
    </row>
    <row r="5526" spans="1:5" x14ac:dyDescent="0.25">
      <c r="A5526" s="216" t="s">
        <v>7602</v>
      </c>
      <c r="B5526" s="218">
        <v>1</v>
      </c>
      <c r="C5526" s="220" t="s">
        <v>4799</v>
      </c>
      <c r="D5526" s="220" t="s">
        <v>98</v>
      </c>
      <c r="E5526" s="165">
        <v>151</v>
      </c>
    </row>
    <row r="5527" spans="1:5" x14ac:dyDescent="0.25">
      <c r="A5527" s="216" t="s">
        <v>7692</v>
      </c>
      <c r="B5527" s="218">
        <v>1</v>
      </c>
      <c r="C5527" s="220" t="s">
        <v>7693</v>
      </c>
      <c r="D5527" s="220" t="s">
        <v>66</v>
      </c>
      <c r="E5527" s="165">
        <v>151</v>
      </c>
    </row>
    <row r="5528" spans="1:5" x14ac:dyDescent="0.25">
      <c r="A5528" s="216" t="s">
        <v>7566</v>
      </c>
      <c r="B5528" s="218">
        <v>1</v>
      </c>
      <c r="C5528" s="220" t="s">
        <v>7567</v>
      </c>
      <c r="D5528" s="220" t="s">
        <v>277</v>
      </c>
      <c r="E5528" s="165">
        <v>151</v>
      </c>
    </row>
    <row r="5529" spans="1:5" x14ac:dyDescent="0.25">
      <c r="A5529" s="216" t="s">
        <v>3468</v>
      </c>
      <c r="B5529" s="218">
        <v>1</v>
      </c>
      <c r="C5529" s="220" t="s">
        <v>3469</v>
      </c>
      <c r="D5529" s="220" t="s">
        <v>774</v>
      </c>
      <c r="E5529" s="165">
        <v>151</v>
      </c>
    </row>
    <row r="5530" spans="1:5" x14ac:dyDescent="0.25">
      <c r="A5530" s="216" t="s">
        <v>5499</v>
      </c>
      <c r="B5530" s="218" t="s">
        <v>48</v>
      </c>
      <c r="C5530" s="220" t="s">
        <v>5500</v>
      </c>
      <c r="D5530" s="220" t="s">
        <v>108</v>
      </c>
      <c r="E5530" s="165">
        <v>151</v>
      </c>
    </row>
    <row r="5531" spans="1:5" x14ac:dyDescent="0.25">
      <c r="A5531" s="216" t="s">
        <v>7306</v>
      </c>
      <c r="B5531" s="218">
        <v>1</v>
      </c>
      <c r="C5531" s="220" t="s">
        <v>7307</v>
      </c>
      <c r="D5531" s="220" t="s">
        <v>139</v>
      </c>
      <c r="E5531" s="165">
        <v>151</v>
      </c>
    </row>
    <row r="5532" spans="1:5" x14ac:dyDescent="0.25">
      <c r="A5532" s="216" t="s">
        <v>8058</v>
      </c>
      <c r="B5532" s="218" t="s">
        <v>48</v>
      </c>
      <c r="C5532" s="220" t="s">
        <v>283</v>
      </c>
      <c r="D5532" s="220" t="s">
        <v>59</v>
      </c>
      <c r="E5532" s="165">
        <v>151</v>
      </c>
    </row>
    <row r="5533" spans="1:5" x14ac:dyDescent="0.25">
      <c r="A5533" s="216" t="s">
        <v>6934</v>
      </c>
      <c r="B5533" s="218" t="s">
        <v>48</v>
      </c>
      <c r="C5533" s="220" t="s">
        <v>6935</v>
      </c>
      <c r="D5533" s="220" t="s">
        <v>90</v>
      </c>
      <c r="E5533" s="165">
        <v>151</v>
      </c>
    </row>
    <row r="5534" spans="1:5" x14ac:dyDescent="0.25">
      <c r="A5534" s="216" t="s">
        <v>7273</v>
      </c>
      <c r="B5534" s="218">
        <v>1</v>
      </c>
      <c r="C5534" s="220" t="s">
        <v>1305</v>
      </c>
      <c r="D5534" s="220" t="s">
        <v>206</v>
      </c>
      <c r="E5534" s="165">
        <v>151</v>
      </c>
    </row>
    <row r="5535" spans="1:5" x14ac:dyDescent="0.25">
      <c r="A5535" s="216" t="s">
        <v>8059</v>
      </c>
      <c r="B5535" s="218" t="s">
        <v>48</v>
      </c>
      <c r="C5535" s="220" t="s">
        <v>1411</v>
      </c>
      <c r="D5535" s="220" t="s">
        <v>139</v>
      </c>
      <c r="E5535" s="165">
        <v>151</v>
      </c>
    </row>
    <row r="5536" spans="1:5" x14ac:dyDescent="0.25">
      <c r="A5536" s="216" t="s">
        <v>7559</v>
      </c>
      <c r="B5536" s="218">
        <v>1</v>
      </c>
      <c r="C5536" s="220" t="s">
        <v>2413</v>
      </c>
      <c r="D5536" s="220" t="s">
        <v>272</v>
      </c>
      <c r="E5536" s="165">
        <v>151</v>
      </c>
    </row>
    <row r="5537" spans="1:5" x14ac:dyDescent="0.25">
      <c r="A5537" s="216" t="s">
        <v>7716</v>
      </c>
      <c r="B5537" s="218">
        <v>1</v>
      </c>
      <c r="C5537" s="220" t="s">
        <v>3063</v>
      </c>
      <c r="D5537" s="220" t="s">
        <v>192</v>
      </c>
      <c r="E5537" s="165">
        <v>151</v>
      </c>
    </row>
    <row r="5538" spans="1:5" x14ac:dyDescent="0.25">
      <c r="A5538" s="216" t="s">
        <v>11441</v>
      </c>
      <c r="B5538" s="218" t="s">
        <v>48</v>
      </c>
      <c r="C5538" s="220" t="s">
        <v>8623</v>
      </c>
      <c r="D5538" s="220" t="s">
        <v>59</v>
      </c>
      <c r="E5538" s="165">
        <v>150</v>
      </c>
    </row>
    <row r="5539" spans="1:5" x14ac:dyDescent="0.25">
      <c r="A5539" s="216" t="s">
        <v>6923</v>
      </c>
      <c r="B5539" s="218" t="s">
        <v>48</v>
      </c>
      <c r="C5539" s="220" t="s">
        <v>230</v>
      </c>
      <c r="D5539" s="220" t="s">
        <v>53</v>
      </c>
      <c r="E5539" s="165">
        <v>150</v>
      </c>
    </row>
    <row r="5540" spans="1:5" x14ac:dyDescent="0.25">
      <c r="A5540" s="216" t="s">
        <v>8021</v>
      </c>
      <c r="B5540" s="218" t="s">
        <v>48</v>
      </c>
      <c r="C5540" s="220" t="s">
        <v>3685</v>
      </c>
      <c r="D5540" s="220" t="s">
        <v>90</v>
      </c>
      <c r="E5540" s="165">
        <v>150</v>
      </c>
    </row>
    <row r="5541" spans="1:5" x14ac:dyDescent="0.25">
      <c r="A5541" s="216" t="s">
        <v>7345</v>
      </c>
      <c r="B5541" s="218">
        <v>1</v>
      </c>
      <c r="C5541" s="220" t="s">
        <v>7346</v>
      </c>
      <c r="D5541" s="220" t="s">
        <v>93</v>
      </c>
      <c r="E5541" s="165">
        <v>150</v>
      </c>
    </row>
    <row r="5542" spans="1:5" x14ac:dyDescent="0.25">
      <c r="A5542" s="216" t="s">
        <v>7760</v>
      </c>
      <c r="B5542" s="218" t="s">
        <v>48</v>
      </c>
      <c r="C5542" s="220" t="s">
        <v>203</v>
      </c>
      <c r="D5542" s="220" t="s">
        <v>166</v>
      </c>
      <c r="E5542" s="165">
        <v>150</v>
      </c>
    </row>
    <row r="5543" spans="1:5" x14ac:dyDescent="0.25">
      <c r="A5543" s="216" t="s">
        <v>7060</v>
      </c>
      <c r="B5543" s="218" t="s">
        <v>48</v>
      </c>
      <c r="C5543" s="220" t="s">
        <v>7061</v>
      </c>
      <c r="D5543" s="220" t="s">
        <v>277</v>
      </c>
      <c r="E5543" s="165">
        <v>150</v>
      </c>
    </row>
    <row r="5544" spans="1:5" x14ac:dyDescent="0.25">
      <c r="A5544" s="216" t="s">
        <v>11442</v>
      </c>
      <c r="B5544" s="218" t="s">
        <v>48</v>
      </c>
      <c r="C5544" s="220" t="s">
        <v>1877</v>
      </c>
      <c r="D5544" s="220" t="s">
        <v>56</v>
      </c>
      <c r="E5544" s="165">
        <v>150</v>
      </c>
    </row>
    <row r="5545" spans="1:5" x14ac:dyDescent="0.25">
      <c r="A5545" s="216" t="s">
        <v>7853</v>
      </c>
      <c r="B5545" s="218" t="s">
        <v>48</v>
      </c>
      <c r="C5545" s="220" t="s">
        <v>634</v>
      </c>
      <c r="D5545" s="220" t="s">
        <v>264</v>
      </c>
      <c r="E5545" s="165">
        <v>150</v>
      </c>
    </row>
    <row r="5546" spans="1:5" x14ac:dyDescent="0.25">
      <c r="A5546" s="216" t="s">
        <v>4138</v>
      </c>
      <c r="B5546" s="218">
        <v>1</v>
      </c>
      <c r="C5546" s="220" t="s">
        <v>1513</v>
      </c>
      <c r="D5546" s="220" t="s">
        <v>188</v>
      </c>
      <c r="E5546" s="165">
        <v>150</v>
      </c>
    </row>
    <row r="5547" spans="1:5" x14ac:dyDescent="0.25">
      <c r="A5547" s="216" t="s">
        <v>7662</v>
      </c>
      <c r="B5547" s="218" t="s">
        <v>48</v>
      </c>
      <c r="C5547" s="220" t="s">
        <v>7663</v>
      </c>
      <c r="D5547" s="220" t="s">
        <v>69</v>
      </c>
      <c r="E5547" s="165">
        <v>150</v>
      </c>
    </row>
    <row r="5548" spans="1:5" x14ac:dyDescent="0.25">
      <c r="A5548" s="216" t="s">
        <v>7355</v>
      </c>
      <c r="B5548" s="218" t="s">
        <v>48</v>
      </c>
      <c r="C5548" s="220" t="s">
        <v>102</v>
      </c>
      <c r="D5548" s="220" t="s">
        <v>93</v>
      </c>
      <c r="E5548" s="165">
        <v>150</v>
      </c>
    </row>
    <row r="5549" spans="1:5" x14ac:dyDescent="0.25">
      <c r="A5549" s="216" t="s">
        <v>6732</v>
      </c>
      <c r="B5549" s="218" t="s">
        <v>48</v>
      </c>
      <c r="C5549" s="220" t="s">
        <v>1849</v>
      </c>
      <c r="D5549" s="220" t="s">
        <v>93</v>
      </c>
      <c r="E5549" s="165">
        <v>150</v>
      </c>
    </row>
    <row r="5550" spans="1:5" x14ac:dyDescent="0.25">
      <c r="A5550" s="216" t="s">
        <v>7264</v>
      </c>
      <c r="B5550" s="218">
        <v>1</v>
      </c>
      <c r="C5550" s="220" t="s">
        <v>7265</v>
      </c>
      <c r="D5550" s="220" t="s">
        <v>142</v>
      </c>
      <c r="E5550" s="165">
        <v>150</v>
      </c>
    </row>
    <row r="5551" spans="1:5" x14ac:dyDescent="0.25">
      <c r="A5551" s="216" t="s">
        <v>11443</v>
      </c>
      <c r="B5551" s="218" t="s">
        <v>48</v>
      </c>
      <c r="C5551" s="220" t="s">
        <v>11444</v>
      </c>
      <c r="D5551" s="220" t="s">
        <v>192</v>
      </c>
      <c r="E5551" s="165">
        <v>150</v>
      </c>
    </row>
    <row r="5552" spans="1:5" x14ac:dyDescent="0.25">
      <c r="A5552" s="216" t="s">
        <v>7816</v>
      </c>
      <c r="B5552" s="218" t="s">
        <v>48</v>
      </c>
      <c r="C5552" s="220" t="s">
        <v>3833</v>
      </c>
      <c r="D5552" s="220" t="s">
        <v>166</v>
      </c>
      <c r="E5552" s="165">
        <v>150</v>
      </c>
    </row>
    <row r="5553" spans="1:5" x14ac:dyDescent="0.25">
      <c r="A5553" s="216" t="s">
        <v>9443</v>
      </c>
      <c r="B5553" s="218" t="s">
        <v>48</v>
      </c>
      <c r="C5553" s="220" t="s">
        <v>9444</v>
      </c>
      <c r="D5553" s="220" t="s">
        <v>63</v>
      </c>
      <c r="E5553" s="165">
        <v>150</v>
      </c>
    </row>
    <row r="5554" spans="1:5" x14ac:dyDescent="0.25">
      <c r="A5554" s="216" t="s">
        <v>8663</v>
      </c>
      <c r="B5554" s="218" t="s">
        <v>48</v>
      </c>
      <c r="C5554" s="220" t="s">
        <v>8165</v>
      </c>
      <c r="D5554" s="220" t="s">
        <v>98</v>
      </c>
      <c r="E5554" s="165">
        <v>150</v>
      </c>
    </row>
    <row r="5555" spans="1:5" x14ac:dyDescent="0.25">
      <c r="A5555" s="216" t="s">
        <v>8369</v>
      </c>
      <c r="B5555" s="218" t="s">
        <v>48</v>
      </c>
      <c r="C5555" s="220" t="s">
        <v>8370</v>
      </c>
      <c r="D5555" s="220" t="s">
        <v>63</v>
      </c>
      <c r="E5555" s="165">
        <v>150</v>
      </c>
    </row>
    <row r="5556" spans="1:5" x14ac:dyDescent="0.25">
      <c r="A5556" s="216" t="s">
        <v>7707</v>
      </c>
      <c r="B5556" s="218">
        <v>1</v>
      </c>
      <c r="C5556" s="220" t="s">
        <v>417</v>
      </c>
      <c r="D5556" s="220" t="s">
        <v>66</v>
      </c>
      <c r="E5556" s="165">
        <v>150</v>
      </c>
    </row>
    <row r="5557" spans="1:5" x14ac:dyDescent="0.25">
      <c r="A5557" s="216" t="s">
        <v>7821</v>
      </c>
      <c r="B5557" s="218" t="s">
        <v>48</v>
      </c>
      <c r="C5557" s="220" t="s">
        <v>285</v>
      </c>
      <c r="D5557" s="220" t="s">
        <v>59</v>
      </c>
      <c r="E5557" s="165">
        <v>150</v>
      </c>
    </row>
    <row r="5558" spans="1:5" x14ac:dyDescent="0.25">
      <c r="A5558" s="216" t="s">
        <v>11445</v>
      </c>
      <c r="B5558" s="218">
        <v>1</v>
      </c>
      <c r="C5558" s="220" t="s">
        <v>756</v>
      </c>
      <c r="D5558" s="220" t="s">
        <v>66</v>
      </c>
      <c r="E5558" s="165">
        <v>150</v>
      </c>
    </row>
    <row r="5559" spans="1:5" x14ac:dyDescent="0.25">
      <c r="A5559" s="216" t="s">
        <v>5799</v>
      </c>
      <c r="B5559" s="218" t="s">
        <v>48</v>
      </c>
      <c r="C5559" s="220" t="s">
        <v>2780</v>
      </c>
      <c r="D5559" s="220" t="s">
        <v>277</v>
      </c>
      <c r="E5559" s="165">
        <v>150</v>
      </c>
    </row>
    <row r="5560" spans="1:5" x14ac:dyDescent="0.25">
      <c r="A5560" s="216" t="s">
        <v>4549</v>
      </c>
      <c r="B5560" s="218" t="s">
        <v>48</v>
      </c>
      <c r="C5560" s="220" t="s">
        <v>4550</v>
      </c>
      <c r="D5560" s="220" t="s">
        <v>63</v>
      </c>
      <c r="E5560" s="165">
        <v>150</v>
      </c>
    </row>
    <row r="5561" spans="1:5" x14ac:dyDescent="0.25">
      <c r="A5561" s="216" t="s">
        <v>7320</v>
      </c>
      <c r="B5561" s="218">
        <v>1</v>
      </c>
      <c r="C5561" s="220" t="s">
        <v>7321</v>
      </c>
      <c r="D5561" s="220" t="s">
        <v>139</v>
      </c>
      <c r="E5561" s="165">
        <v>150</v>
      </c>
    </row>
    <row r="5562" spans="1:5" x14ac:dyDescent="0.25">
      <c r="A5562" s="216" t="s">
        <v>7712</v>
      </c>
      <c r="B5562" s="218">
        <v>1</v>
      </c>
      <c r="C5562" s="220" t="s">
        <v>1376</v>
      </c>
      <c r="D5562" s="220" t="s">
        <v>66</v>
      </c>
      <c r="E5562" s="165">
        <v>150</v>
      </c>
    </row>
    <row r="5563" spans="1:5" x14ac:dyDescent="0.25">
      <c r="A5563" s="216" t="s">
        <v>7845</v>
      </c>
      <c r="B5563" s="218" t="s">
        <v>48</v>
      </c>
      <c r="C5563" s="220" t="s">
        <v>3738</v>
      </c>
      <c r="D5563" s="220" t="s">
        <v>93</v>
      </c>
      <c r="E5563" s="165">
        <v>150</v>
      </c>
    </row>
    <row r="5564" spans="1:5" x14ac:dyDescent="0.25">
      <c r="A5564" s="216" t="s">
        <v>11446</v>
      </c>
      <c r="B5564" s="218">
        <v>1</v>
      </c>
      <c r="C5564" s="220" t="s">
        <v>4513</v>
      </c>
      <c r="D5564" s="220" t="s">
        <v>348</v>
      </c>
      <c r="E5564" s="165">
        <v>150</v>
      </c>
    </row>
    <row r="5565" spans="1:5" x14ac:dyDescent="0.25">
      <c r="A5565" s="216" t="s">
        <v>8052</v>
      </c>
      <c r="B5565" s="218" t="s">
        <v>48</v>
      </c>
      <c r="C5565" s="220" t="s">
        <v>2453</v>
      </c>
      <c r="D5565" s="220" t="s">
        <v>93</v>
      </c>
      <c r="E5565" s="165">
        <v>150</v>
      </c>
    </row>
    <row r="5566" spans="1:5" x14ac:dyDescent="0.25">
      <c r="A5566" s="216" t="s">
        <v>5378</v>
      </c>
      <c r="B5566" s="218" t="s">
        <v>48</v>
      </c>
      <c r="C5566" s="220" t="s">
        <v>470</v>
      </c>
      <c r="D5566" s="220" t="s">
        <v>108</v>
      </c>
      <c r="E5566" s="165">
        <v>150</v>
      </c>
    </row>
    <row r="5567" spans="1:5" x14ac:dyDescent="0.25">
      <c r="A5567" s="216" t="s">
        <v>7789</v>
      </c>
      <c r="B5567" s="218">
        <v>1</v>
      </c>
      <c r="C5567" s="220" t="s">
        <v>7790</v>
      </c>
      <c r="D5567" s="220" t="s">
        <v>63</v>
      </c>
      <c r="E5567" s="165">
        <v>149</v>
      </c>
    </row>
    <row r="5568" spans="1:5" x14ac:dyDescent="0.25">
      <c r="A5568" s="216" t="s">
        <v>7603</v>
      </c>
      <c r="B5568" s="218">
        <v>1</v>
      </c>
      <c r="C5568" s="220" t="s">
        <v>5257</v>
      </c>
      <c r="D5568" s="220" t="s">
        <v>50</v>
      </c>
      <c r="E5568" s="165">
        <v>149</v>
      </c>
    </row>
    <row r="5569" spans="1:5" x14ac:dyDescent="0.25">
      <c r="A5569" s="216" t="s">
        <v>7980</v>
      </c>
      <c r="B5569" s="218" t="s">
        <v>48</v>
      </c>
      <c r="C5569" s="220" t="s">
        <v>7981</v>
      </c>
      <c r="D5569" s="220" t="s">
        <v>87</v>
      </c>
      <c r="E5569" s="165">
        <v>149</v>
      </c>
    </row>
    <row r="5570" spans="1:5" x14ac:dyDescent="0.25">
      <c r="A5570" s="216" t="s">
        <v>7609</v>
      </c>
      <c r="B5570" s="218">
        <v>1</v>
      </c>
      <c r="C5570" s="220" t="s">
        <v>5503</v>
      </c>
      <c r="D5570" s="220" t="s">
        <v>50</v>
      </c>
      <c r="E5570" s="165">
        <v>149</v>
      </c>
    </row>
    <row r="5571" spans="1:5" x14ac:dyDescent="0.25">
      <c r="A5571" s="216" t="s">
        <v>6806</v>
      </c>
      <c r="B5571" s="218">
        <v>1</v>
      </c>
      <c r="C5571" s="220" t="s">
        <v>6807</v>
      </c>
      <c r="D5571" s="220" t="s">
        <v>166</v>
      </c>
      <c r="E5571" s="165">
        <v>149</v>
      </c>
    </row>
    <row r="5572" spans="1:5" x14ac:dyDescent="0.25">
      <c r="A5572" s="216" t="s">
        <v>7806</v>
      </c>
      <c r="B5572" s="218">
        <v>1</v>
      </c>
      <c r="C5572" s="220" t="s">
        <v>483</v>
      </c>
      <c r="D5572" s="220" t="s">
        <v>63</v>
      </c>
      <c r="E5572" s="165">
        <v>149</v>
      </c>
    </row>
    <row r="5573" spans="1:5" x14ac:dyDescent="0.25">
      <c r="A5573" s="216" t="s">
        <v>7534</v>
      </c>
      <c r="B5573" s="218">
        <v>1</v>
      </c>
      <c r="C5573" s="220" t="s">
        <v>5116</v>
      </c>
      <c r="D5573" s="220" t="s">
        <v>201</v>
      </c>
      <c r="E5573" s="165">
        <v>149</v>
      </c>
    </row>
    <row r="5574" spans="1:5" x14ac:dyDescent="0.25">
      <c r="A5574" s="216" t="s">
        <v>7342</v>
      </c>
      <c r="B5574" s="218">
        <v>1</v>
      </c>
      <c r="C5574" s="220" t="s">
        <v>1565</v>
      </c>
      <c r="D5574" s="220" t="s">
        <v>139</v>
      </c>
      <c r="E5574" s="165">
        <v>149</v>
      </c>
    </row>
    <row r="5575" spans="1:5" x14ac:dyDescent="0.25">
      <c r="A5575" s="216" t="s">
        <v>11447</v>
      </c>
      <c r="B5575" s="218">
        <v>1</v>
      </c>
      <c r="C5575" s="220" t="s">
        <v>11448</v>
      </c>
      <c r="D5575" s="220" t="s">
        <v>192</v>
      </c>
      <c r="E5575" s="165">
        <v>148</v>
      </c>
    </row>
    <row r="5576" spans="1:5" x14ac:dyDescent="0.25">
      <c r="A5576" s="216" t="s">
        <v>7296</v>
      </c>
      <c r="B5576" s="218">
        <v>1</v>
      </c>
      <c r="C5576" s="220" t="s">
        <v>1414</v>
      </c>
      <c r="D5576" s="220" t="s">
        <v>93</v>
      </c>
      <c r="E5576" s="165">
        <v>148</v>
      </c>
    </row>
    <row r="5577" spans="1:5" x14ac:dyDescent="0.25">
      <c r="A5577" s="216" t="s">
        <v>7811</v>
      </c>
      <c r="B5577" s="218">
        <v>1</v>
      </c>
      <c r="C5577" s="220" t="s">
        <v>7812</v>
      </c>
      <c r="D5577" s="220" t="s">
        <v>50</v>
      </c>
      <c r="E5577" s="165">
        <v>148</v>
      </c>
    </row>
    <row r="5578" spans="1:5" x14ac:dyDescent="0.25">
      <c r="A5578" s="216" t="s">
        <v>11449</v>
      </c>
      <c r="B5578" s="218">
        <v>1</v>
      </c>
      <c r="C5578" s="220" t="s">
        <v>63</v>
      </c>
      <c r="D5578" s="220" t="s">
        <v>63</v>
      </c>
      <c r="E5578" s="165">
        <v>148</v>
      </c>
    </row>
    <row r="5579" spans="1:5" x14ac:dyDescent="0.25">
      <c r="A5579" s="216" t="s">
        <v>7832</v>
      </c>
      <c r="B5579" s="218">
        <v>1</v>
      </c>
      <c r="C5579" s="220" t="s">
        <v>306</v>
      </c>
      <c r="D5579" s="220" t="s">
        <v>63</v>
      </c>
      <c r="E5579" s="165">
        <v>148</v>
      </c>
    </row>
    <row r="5580" spans="1:5" x14ac:dyDescent="0.25">
      <c r="A5580" s="216" t="s">
        <v>7660</v>
      </c>
      <c r="B5580" s="218">
        <v>1</v>
      </c>
      <c r="C5580" s="220" t="s">
        <v>7661</v>
      </c>
      <c r="D5580" s="220" t="s">
        <v>56</v>
      </c>
      <c r="E5580" s="165">
        <v>148</v>
      </c>
    </row>
    <row r="5581" spans="1:5" x14ac:dyDescent="0.25">
      <c r="A5581" s="216" t="s">
        <v>7668</v>
      </c>
      <c r="B5581" s="218">
        <v>1</v>
      </c>
      <c r="C5581" s="220" t="s">
        <v>7669</v>
      </c>
      <c r="D5581" s="220" t="s">
        <v>56</v>
      </c>
      <c r="E5581" s="165">
        <v>148</v>
      </c>
    </row>
    <row r="5582" spans="1:5" x14ac:dyDescent="0.25">
      <c r="A5582" s="216" t="s">
        <v>7817</v>
      </c>
      <c r="B5582" s="218">
        <v>1</v>
      </c>
      <c r="C5582" s="220" t="s">
        <v>7818</v>
      </c>
      <c r="D5582" s="220" t="s">
        <v>50</v>
      </c>
      <c r="E5582" s="165">
        <v>148</v>
      </c>
    </row>
    <row r="5583" spans="1:5" x14ac:dyDescent="0.25">
      <c r="A5583" s="216" t="s">
        <v>11450</v>
      </c>
      <c r="B5583" s="218">
        <v>1</v>
      </c>
      <c r="C5583" s="220" t="s">
        <v>2299</v>
      </c>
      <c r="D5583" s="220" t="s">
        <v>118</v>
      </c>
      <c r="E5583" s="165">
        <v>148</v>
      </c>
    </row>
    <row r="5584" spans="1:5" x14ac:dyDescent="0.25">
      <c r="A5584" s="216" t="s">
        <v>7892</v>
      </c>
      <c r="B5584" s="218">
        <v>1</v>
      </c>
      <c r="C5584" s="220" t="s">
        <v>968</v>
      </c>
      <c r="D5584" s="220" t="s">
        <v>56</v>
      </c>
      <c r="E5584" s="165">
        <v>148</v>
      </c>
    </row>
    <row r="5585" spans="1:5" x14ac:dyDescent="0.25">
      <c r="A5585" s="216" t="s">
        <v>7334</v>
      </c>
      <c r="B5585" s="218">
        <v>1</v>
      </c>
      <c r="C5585" s="220" t="s">
        <v>2584</v>
      </c>
      <c r="D5585" s="220" t="s">
        <v>72</v>
      </c>
      <c r="E5585" s="165">
        <v>148</v>
      </c>
    </row>
    <row r="5586" spans="1:5" x14ac:dyDescent="0.25">
      <c r="A5586" s="216" t="s">
        <v>7839</v>
      </c>
      <c r="B5586" s="218">
        <v>1</v>
      </c>
      <c r="C5586" s="220" t="s">
        <v>7840</v>
      </c>
      <c r="D5586" s="220" t="s">
        <v>63</v>
      </c>
      <c r="E5586" s="165">
        <v>148</v>
      </c>
    </row>
    <row r="5587" spans="1:5" x14ac:dyDescent="0.25">
      <c r="A5587" s="216" t="s">
        <v>7843</v>
      </c>
      <c r="B5587" s="218">
        <v>1</v>
      </c>
      <c r="C5587" s="220" t="s">
        <v>7844</v>
      </c>
      <c r="D5587" s="220" t="s">
        <v>63</v>
      </c>
      <c r="E5587" s="165">
        <v>148</v>
      </c>
    </row>
    <row r="5588" spans="1:5" x14ac:dyDescent="0.25">
      <c r="A5588" s="216" t="s">
        <v>7677</v>
      </c>
      <c r="B5588" s="218">
        <v>1</v>
      </c>
      <c r="C5588" s="220" t="s">
        <v>1087</v>
      </c>
      <c r="D5588" s="220" t="s">
        <v>188</v>
      </c>
      <c r="E5588" s="165">
        <v>148</v>
      </c>
    </row>
    <row r="5589" spans="1:5" x14ac:dyDescent="0.25">
      <c r="A5589" s="216" t="s">
        <v>11451</v>
      </c>
      <c r="B5589" s="218">
        <v>1</v>
      </c>
      <c r="C5589" s="220" t="s">
        <v>8394</v>
      </c>
      <c r="D5589" s="220" t="s">
        <v>50</v>
      </c>
      <c r="E5589" s="165">
        <v>148</v>
      </c>
    </row>
    <row r="5590" spans="1:5" x14ac:dyDescent="0.25">
      <c r="A5590" s="216" t="s">
        <v>4340</v>
      </c>
      <c r="B5590" s="218" t="s">
        <v>48</v>
      </c>
      <c r="C5590" s="220" t="s">
        <v>4341</v>
      </c>
      <c r="D5590" s="220" t="s">
        <v>166</v>
      </c>
      <c r="E5590" s="165">
        <v>148</v>
      </c>
    </row>
    <row r="5591" spans="1:5" x14ac:dyDescent="0.25">
      <c r="A5591" s="216" t="s">
        <v>10877</v>
      </c>
      <c r="B5591" s="218">
        <v>1</v>
      </c>
      <c r="C5591" s="220" t="s">
        <v>3156</v>
      </c>
      <c r="D5591" s="220" t="s">
        <v>139</v>
      </c>
      <c r="E5591" s="165">
        <v>148</v>
      </c>
    </row>
    <row r="5592" spans="1:5" x14ac:dyDescent="0.25">
      <c r="A5592" s="216" t="s">
        <v>11452</v>
      </c>
      <c r="B5592" s="218">
        <v>1</v>
      </c>
      <c r="C5592" s="220" t="s">
        <v>350</v>
      </c>
      <c r="D5592" s="220" t="s">
        <v>69</v>
      </c>
      <c r="E5592" s="165">
        <v>147</v>
      </c>
    </row>
    <row r="5593" spans="1:5" x14ac:dyDescent="0.25">
      <c r="A5593" s="216" t="s">
        <v>7541</v>
      </c>
      <c r="B5593" s="218" t="s">
        <v>48</v>
      </c>
      <c r="C5593" s="220" t="s">
        <v>7536</v>
      </c>
      <c r="D5593" s="220" t="s">
        <v>108</v>
      </c>
      <c r="E5593" s="165">
        <v>147</v>
      </c>
    </row>
    <row r="5594" spans="1:5" x14ac:dyDescent="0.25">
      <c r="A5594" s="216" t="s">
        <v>11453</v>
      </c>
      <c r="B5594" s="218" t="s">
        <v>48</v>
      </c>
      <c r="C5594" s="220" t="s">
        <v>4985</v>
      </c>
      <c r="D5594" s="220" t="s">
        <v>93</v>
      </c>
      <c r="E5594" s="165">
        <v>147</v>
      </c>
    </row>
    <row r="5595" spans="1:5" x14ac:dyDescent="0.25">
      <c r="A5595" s="216" t="s">
        <v>7604</v>
      </c>
      <c r="B5595" s="218">
        <v>1</v>
      </c>
      <c r="C5595" s="220" t="s">
        <v>647</v>
      </c>
      <c r="D5595" s="220" t="s">
        <v>236</v>
      </c>
      <c r="E5595" s="165">
        <v>147</v>
      </c>
    </row>
    <row r="5596" spans="1:5" x14ac:dyDescent="0.25">
      <c r="A5596" s="216" t="s">
        <v>6853</v>
      </c>
      <c r="B5596" s="218" t="s">
        <v>48</v>
      </c>
      <c r="C5596" s="220" t="s">
        <v>2417</v>
      </c>
      <c r="D5596" s="220" t="s">
        <v>53</v>
      </c>
      <c r="E5596" s="165">
        <v>147</v>
      </c>
    </row>
    <row r="5597" spans="1:5" x14ac:dyDescent="0.25">
      <c r="A5597" s="216" t="s">
        <v>11454</v>
      </c>
      <c r="B5597" s="218">
        <v>1</v>
      </c>
      <c r="C5597" s="220" t="s">
        <v>464</v>
      </c>
      <c r="D5597" s="220" t="s">
        <v>56</v>
      </c>
      <c r="E5597" s="165">
        <v>147</v>
      </c>
    </row>
    <row r="5598" spans="1:5" x14ac:dyDescent="0.25">
      <c r="A5598" s="216" t="s">
        <v>8045</v>
      </c>
      <c r="B5598" s="218" t="s">
        <v>48</v>
      </c>
      <c r="C5598" s="220" t="s">
        <v>8046</v>
      </c>
      <c r="D5598" s="220" t="s">
        <v>166</v>
      </c>
      <c r="E5598" s="165">
        <v>147</v>
      </c>
    </row>
    <row r="5599" spans="1:5" x14ac:dyDescent="0.25">
      <c r="A5599" s="216" t="s">
        <v>11455</v>
      </c>
      <c r="B5599" s="218" t="s">
        <v>48</v>
      </c>
      <c r="C5599" s="220" t="s">
        <v>11456</v>
      </c>
      <c r="D5599" s="220" t="s">
        <v>166</v>
      </c>
      <c r="E5599" s="165">
        <v>146</v>
      </c>
    </row>
    <row r="5600" spans="1:5" x14ac:dyDescent="0.25">
      <c r="A5600" s="216" t="s">
        <v>7644</v>
      </c>
      <c r="B5600" s="218" t="s">
        <v>48</v>
      </c>
      <c r="C5600" s="220" t="s">
        <v>2711</v>
      </c>
      <c r="D5600" s="220" t="s">
        <v>75</v>
      </c>
      <c r="E5600" s="165">
        <v>146</v>
      </c>
    </row>
    <row r="5601" spans="1:5" x14ac:dyDescent="0.25">
      <c r="A5601" s="216" t="s">
        <v>7748</v>
      </c>
      <c r="B5601" s="218">
        <v>1</v>
      </c>
      <c r="C5601" s="220" t="s">
        <v>6450</v>
      </c>
      <c r="D5601" s="220" t="s">
        <v>66</v>
      </c>
      <c r="E5601" s="165">
        <v>146</v>
      </c>
    </row>
    <row r="5602" spans="1:5" x14ac:dyDescent="0.25">
      <c r="A5602" s="216" t="s">
        <v>8048</v>
      </c>
      <c r="B5602" s="218" t="s">
        <v>48</v>
      </c>
      <c r="C5602" s="220" t="s">
        <v>2225</v>
      </c>
      <c r="D5602" s="220" t="s">
        <v>90</v>
      </c>
      <c r="E5602" s="165">
        <v>146</v>
      </c>
    </row>
    <row r="5603" spans="1:5" x14ac:dyDescent="0.25">
      <c r="A5603" s="216" t="s">
        <v>7776</v>
      </c>
      <c r="B5603" s="218">
        <v>1</v>
      </c>
      <c r="C5603" s="220" t="s">
        <v>5243</v>
      </c>
      <c r="D5603" s="220" t="s">
        <v>66</v>
      </c>
      <c r="E5603" s="165">
        <v>146</v>
      </c>
    </row>
    <row r="5604" spans="1:5" x14ac:dyDescent="0.25">
      <c r="A5604" s="216" t="s">
        <v>7940</v>
      </c>
      <c r="B5604" s="218">
        <v>1</v>
      </c>
      <c r="C5604" s="220" t="s">
        <v>2091</v>
      </c>
      <c r="D5604" s="220" t="s">
        <v>188</v>
      </c>
      <c r="E5604" s="165">
        <v>146</v>
      </c>
    </row>
    <row r="5605" spans="1:5" x14ac:dyDescent="0.25">
      <c r="A5605" s="216" t="s">
        <v>7654</v>
      </c>
      <c r="B5605" s="218">
        <v>1</v>
      </c>
      <c r="C5605" s="220" t="s">
        <v>2849</v>
      </c>
      <c r="D5605" s="220" t="s">
        <v>277</v>
      </c>
      <c r="E5605" s="165">
        <v>146</v>
      </c>
    </row>
    <row r="5606" spans="1:5" x14ac:dyDescent="0.25">
      <c r="A5606" s="216" t="s">
        <v>7710</v>
      </c>
      <c r="B5606" s="218">
        <v>1</v>
      </c>
      <c r="C5606" s="220" t="s">
        <v>7711</v>
      </c>
      <c r="D5606" s="220" t="s">
        <v>98</v>
      </c>
      <c r="E5606" s="165">
        <v>146</v>
      </c>
    </row>
    <row r="5607" spans="1:5" x14ac:dyDescent="0.25">
      <c r="A5607" s="216" t="s">
        <v>7825</v>
      </c>
      <c r="B5607" s="218">
        <v>1</v>
      </c>
      <c r="C5607" s="220" t="s">
        <v>7826</v>
      </c>
      <c r="D5607" s="220" t="s">
        <v>78</v>
      </c>
      <c r="E5607" s="165">
        <v>146</v>
      </c>
    </row>
    <row r="5608" spans="1:5" x14ac:dyDescent="0.25">
      <c r="A5608" s="216" t="s">
        <v>7725</v>
      </c>
      <c r="B5608" s="218">
        <v>1</v>
      </c>
      <c r="C5608" s="220" t="s">
        <v>4450</v>
      </c>
      <c r="D5608" s="220" t="s">
        <v>188</v>
      </c>
      <c r="E5608" s="165">
        <v>146</v>
      </c>
    </row>
    <row r="5609" spans="1:5" x14ac:dyDescent="0.25">
      <c r="A5609" s="216" t="s">
        <v>7586</v>
      </c>
      <c r="B5609" s="218">
        <v>1</v>
      </c>
      <c r="C5609" s="220" t="s">
        <v>7587</v>
      </c>
      <c r="D5609" s="220" t="s">
        <v>93</v>
      </c>
      <c r="E5609" s="165">
        <v>145</v>
      </c>
    </row>
    <row r="5610" spans="1:5" x14ac:dyDescent="0.25">
      <c r="A5610" s="216" t="s">
        <v>7730</v>
      </c>
      <c r="B5610" s="218" t="s">
        <v>48</v>
      </c>
      <c r="C5610" s="220" t="s">
        <v>3038</v>
      </c>
      <c r="D5610" s="220" t="s">
        <v>59</v>
      </c>
      <c r="E5610" s="165">
        <v>145</v>
      </c>
    </row>
    <row r="5611" spans="1:5" x14ac:dyDescent="0.25">
      <c r="A5611" s="216" t="s">
        <v>7399</v>
      </c>
      <c r="B5611" s="218">
        <v>1</v>
      </c>
      <c r="C5611" s="220" t="s">
        <v>5092</v>
      </c>
      <c r="D5611" s="220" t="s">
        <v>118</v>
      </c>
      <c r="E5611" s="165">
        <v>145</v>
      </c>
    </row>
    <row r="5612" spans="1:5" x14ac:dyDescent="0.25">
      <c r="A5612" s="216" t="s">
        <v>8147</v>
      </c>
      <c r="B5612" s="218" t="s">
        <v>48</v>
      </c>
      <c r="C5612" s="220" t="s">
        <v>8148</v>
      </c>
      <c r="D5612" s="220" t="s">
        <v>192</v>
      </c>
      <c r="E5612" s="165">
        <v>145</v>
      </c>
    </row>
    <row r="5613" spans="1:5" x14ac:dyDescent="0.25">
      <c r="A5613" s="216" t="s">
        <v>10581</v>
      </c>
      <c r="B5613" s="218" t="s">
        <v>48</v>
      </c>
      <c r="C5613" s="220" t="s">
        <v>11457</v>
      </c>
      <c r="D5613" s="220" t="s">
        <v>277</v>
      </c>
      <c r="E5613" s="165">
        <v>145</v>
      </c>
    </row>
    <row r="5614" spans="1:5" x14ac:dyDescent="0.25">
      <c r="A5614" s="216" t="s">
        <v>7685</v>
      </c>
      <c r="B5614" s="218">
        <v>1</v>
      </c>
      <c r="C5614" s="220" t="s">
        <v>7686</v>
      </c>
      <c r="D5614" s="220" t="s">
        <v>50</v>
      </c>
      <c r="E5614" s="165">
        <v>145</v>
      </c>
    </row>
    <row r="5615" spans="1:5" x14ac:dyDescent="0.25">
      <c r="A5615" s="216" t="s">
        <v>7689</v>
      </c>
      <c r="B5615" s="218">
        <v>1</v>
      </c>
      <c r="C5615" s="220" t="s">
        <v>668</v>
      </c>
      <c r="D5615" s="220" t="s">
        <v>50</v>
      </c>
      <c r="E5615" s="165">
        <v>145</v>
      </c>
    </row>
    <row r="5616" spans="1:5" x14ac:dyDescent="0.25">
      <c r="A5616" s="216" t="s">
        <v>7814</v>
      </c>
      <c r="B5616" s="218">
        <v>1</v>
      </c>
      <c r="C5616" s="220" t="s">
        <v>7815</v>
      </c>
      <c r="D5616" s="220" t="s">
        <v>192</v>
      </c>
      <c r="E5616" s="165">
        <v>145</v>
      </c>
    </row>
    <row r="5617" spans="1:5" x14ac:dyDescent="0.25">
      <c r="A5617" s="216" t="s">
        <v>9408</v>
      </c>
      <c r="B5617" s="218" t="s">
        <v>48</v>
      </c>
      <c r="C5617" s="220" t="s">
        <v>665</v>
      </c>
      <c r="D5617" s="220" t="s">
        <v>188</v>
      </c>
      <c r="E5617" s="165">
        <v>145</v>
      </c>
    </row>
    <row r="5618" spans="1:5" x14ac:dyDescent="0.25">
      <c r="A5618" s="216" t="s">
        <v>7386</v>
      </c>
      <c r="B5618" s="218">
        <v>1</v>
      </c>
      <c r="C5618" s="220" t="s">
        <v>102</v>
      </c>
      <c r="D5618" s="220" t="s">
        <v>93</v>
      </c>
      <c r="E5618" s="165">
        <v>145</v>
      </c>
    </row>
    <row r="5619" spans="1:5" x14ac:dyDescent="0.25">
      <c r="A5619" s="216" t="s">
        <v>7822</v>
      </c>
      <c r="B5619" s="218" t="s">
        <v>48</v>
      </c>
      <c r="C5619" s="220" t="s">
        <v>6809</v>
      </c>
      <c r="D5619" s="220" t="s">
        <v>90</v>
      </c>
      <c r="E5619" s="165">
        <v>145</v>
      </c>
    </row>
    <row r="5620" spans="1:5" x14ac:dyDescent="0.25">
      <c r="A5620" s="216" t="s">
        <v>5036</v>
      </c>
      <c r="B5620" s="218">
        <v>1</v>
      </c>
      <c r="C5620" s="220" t="s">
        <v>2974</v>
      </c>
      <c r="D5620" s="220" t="s">
        <v>72</v>
      </c>
      <c r="E5620" s="165">
        <v>145</v>
      </c>
    </row>
    <row r="5621" spans="1:5" x14ac:dyDescent="0.25">
      <c r="A5621" s="216" t="s">
        <v>11458</v>
      </c>
      <c r="B5621" s="218" t="s">
        <v>48</v>
      </c>
      <c r="C5621" s="220" t="s">
        <v>11459</v>
      </c>
      <c r="D5621" s="220" t="s">
        <v>93</v>
      </c>
      <c r="E5621" s="165">
        <v>145</v>
      </c>
    </row>
    <row r="5622" spans="1:5" x14ac:dyDescent="0.25">
      <c r="A5622" s="216" t="s">
        <v>4888</v>
      </c>
      <c r="B5622" s="218" t="s">
        <v>48</v>
      </c>
      <c r="C5622" s="220" t="s">
        <v>4889</v>
      </c>
      <c r="D5622" s="220" t="s">
        <v>53</v>
      </c>
      <c r="E5622" s="165">
        <v>144</v>
      </c>
    </row>
    <row r="5623" spans="1:5" x14ac:dyDescent="0.25">
      <c r="A5623" s="216" t="s">
        <v>7171</v>
      </c>
      <c r="B5623" s="218" t="s">
        <v>48</v>
      </c>
      <c r="C5623" s="220" t="s">
        <v>313</v>
      </c>
      <c r="D5623" s="220" t="s">
        <v>90</v>
      </c>
      <c r="E5623" s="165">
        <v>144</v>
      </c>
    </row>
    <row r="5624" spans="1:5" x14ac:dyDescent="0.25">
      <c r="A5624" s="216" t="s">
        <v>7219</v>
      </c>
      <c r="B5624" s="218">
        <v>1</v>
      </c>
      <c r="C5624" s="220" t="s">
        <v>1290</v>
      </c>
      <c r="D5624" s="220" t="s">
        <v>277</v>
      </c>
      <c r="E5624" s="165">
        <v>144</v>
      </c>
    </row>
    <row r="5625" spans="1:5" x14ac:dyDescent="0.25">
      <c r="A5625" s="216" t="s">
        <v>7971</v>
      </c>
      <c r="B5625" s="218">
        <v>1</v>
      </c>
      <c r="C5625" s="220" t="s">
        <v>7972</v>
      </c>
      <c r="D5625" s="220" t="s">
        <v>188</v>
      </c>
      <c r="E5625" s="165">
        <v>144</v>
      </c>
    </row>
    <row r="5626" spans="1:5" x14ac:dyDescent="0.25">
      <c r="A5626" s="216" t="s">
        <v>8265</v>
      </c>
      <c r="B5626" s="218" t="s">
        <v>48</v>
      </c>
      <c r="C5626" s="220" t="s">
        <v>679</v>
      </c>
      <c r="D5626" s="220" t="s">
        <v>206</v>
      </c>
      <c r="E5626" s="165">
        <v>144</v>
      </c>
    </row>
    <row r="5627" spans="1:5" x14ac:dyDescent="0.25">
      <c r="A5627" s="216" t="s">
        <v>7599</v>
      </c>
      <c r="B5627" s="218">
        <v>1</v>
      </c>
      <c r="C5627" s="220" t="s">
        <v>3375</v>
      </c>
      <c r="D5627" s="220" t="s">
        <v>523</v>
      </c>
      <c r="E5627" s="165">
        <v>144</v>
      </c>
    </row>
    <row r="5628" spans="1:5" x14ac:dyDescent="0.25">
      <c r="A5628" s="216" t="s">
        <v>7888</v>
      </c>
      <c r="B5628" s="218">
        <v>1</v>
      </c>
      <c r="C5628" s="220" t="s">
        <v>1518</v>
      </c>
      <c r="D5628" s="220" t="s">
        <v>63</v>
      </c>
      <c r="E5628" s="165">
        <v>144</v>
      </c>
    </row>
    <row r="5629" spans="1:5" x14ac:dyDescent="0.25">
      <c r="A5629" s="216" t="s">
        <v>7819</v>
      </c>
      <c r="B5629" s="218">
        <v>1</v>
      </c>
      <c r="C5629" s="220" t="s">
        <v>3497</v>
      </c>
      <c r="D5629" s="220" t="s">
        <v>66</v>
      </c>
      <c r="E5629" s="165">
        <v>144</v>
      </c>
    </row>
    <row r="5630" spans="1:5" x14ac:dyDescent="0.25">
      <c r="A5630" s="216" t="s">
        <v>8006</v>
      </c>
      <c r="B5630" s="218">
        <v>1</v>
      </c>
      <c r="C5630" s="220" t="s">
        <v>8007</v>
      </c>
      <c r="D5630" s="220" t="s">
        <v>139</v>
      </c>
      <c r="E5630" s="165">
        <v>144</v>
      </c>
    </row>
    <row r="5631" spans="1:5" x14ac:dyDescent="0.25">
      <c r="A5631" s="216" t="s">
        <v>11460</v>
      </c>
      <c r="B5631" s="218">
        <v>1</v>
      </c>
      <c r="C5631" s="220" t="s">
        <v>570</v>
      </c>
      <c r="D5631" s="220" t="s">
        <v>118</v>
      </c>
      <c r="E5631" s="165">
        <v>144</v>
      </c>
    </row>
    <row r="5632" spans="1:5" x14ac:dyDescent="0.25">
      <c r="A5632" s="216" t="s">
        <v>7163</v>
      </c>
      <c r="B5632" s="218" t="s">
        <v>48</v>
      </c>
      <c r="C5632" s="220" t="s">
        <v>7164</v>
      </c>
      <c r="D5632" s="220" t="s">
        <v>90</v>
      </c>
      <c r="E5632" s="165">
        <v>144</v>
      </c>
    </row>
    <row r="5633" spans="1:5" x14ac:dyDescent="0.25">
      <c r="A5633" s="216" t="s">
        <v>7891</v>
      </c>
      <c r="B5633" s="218">
        <v>1</v>
      </c>
      <c r="C5633" s="220" t="s">
        <v>1921</v>
      </c>
      <c r="D5633" s="220" t="s">
        <v>63</v>
      </c>
      <c r="E5633" s="165">
        <v>144</v>
      </c>
    </row>
    <row r="5634" spans="1:5" x14ac:dyDescent="0.25">
      <c r="A5634" s="216" t="s">
        <v>6597</v>
      </c>
      <c r="B5634" s="218" t="s">
        <v>48</v>
      </c>
      <c r="C5634" s="220" t="s">
        <v>1293</v>
      </c>
      <c r="D5634" s="220" t="s">
        <v>166</v>
      </c>
      <c r="E5634" s="165">
        <v>144</v>
      </c>
    </row>
    <row r="5635" spans="1:5" x14ac:dyDescent="0.25">
      <c r="A5635" s="216" t="s">
        <v>7769</v>
      </c>
      <c r="B5635" s="218">
        <v>1</v>
      </c>
      <c r="C5635" s="220" t="s">
        <v>7770</v>
      </c>
      <c r="D5635" s="220" t="s">
        <v>72</v>
      </c>
      <c r="E5635" s="165">
        <v>144</v>
      </c>
    </row>
    <row r="5636" spans="1:5" x14ac:dyDescent="0.25">
      <c r="A5636" s="216" t="s">
        <v>7227</v>
      </c>
      <c r="B5636" s="218">
        <v>1</v>
      </c>
      <c r="C5636" s="220" t="s">
        <v>342</v>
      </c>
      <c r="D5636" s="220" t="s">
        <v>277</v>
      </c>
      <c r="E5636" s="165">
        <v>144</v>
      </c>
    </row>
    <row r="5637" spans="1:5" x14ac:dyDescent="0.25">
      <c r="A5637" s="216" t="s">
        <v>8014</v>
      </c>
      <c r="B5637" s="218">
        <v>1</v>
      </c>
      <c r="C5637" s="220" t="s">
        <v>8015</v>
      </c>
      <c r="D5637" s="220" t="s">
        <v>139</v>
      </c>
      <c r="E5637" s="165">
        <v>144</v>
      </c>
    </row>
    <row r="5638" spans="1:5" x14ac:dyDescent="0.25">
      <c r="A5638" s="216" t="s">
        <v>7895</v>
      </c>
      <c r="B5638" s="218">
        <v>1</v>
      </c>
      <c r="C5638" s="220" t="s">
        <v>7896</v>
      </c>
      <c r="D5638" s="220" t="s">
        <v>63</v>
      </c>
      <c r="E5638" s="165">
        <v>144</v>
      </c>
    </row>
    <row r="5639" spans="1:5" x14ac:dyDescent="0.25">
      <c r="A5639" s="216" t="s">
        <v>7232</v>
      </c>
      <c r="B5639" s="218">
        <v>1</v>
      </c>
      <c r="C5639" s="220" t="s">
        <v>1006</v>
      </c>
      <c r="D5639" s="220" t="s">
        <v>277</v>
      </c>
      <c r="E5639" s="165">
        <v>144</v>
      </c>
    </row>
    <row r="5640" spans="1:5" x14ac:dyDescent="0.25">
      <c r="A5640" s="216" t="s">
        <v>5410</v>
      </c>
      <c r="B5640" s="218">
        <v>1</v>
      </c>
      <c r="C5640" s="220" t="s">
        <v>3973</v>
      </c>
      <c r="D5640" s="220" t="s">
        <v>56</v>
      </c>
      <c r="E5640" s="165">
        <v>144</v>
      </c>
    </row>
    <row r="5641" spans="1:5" x14ac:dyDescent="0.25">
      <c r="A5641" s="216" t="s">
        <v>11461</v>
      </c>
      <c r="B5641" s="218">
        <v>1</v>
      </c>
      <c r="C5641" s="220" t="s">
        <v>1113</v>
      </c>
      <c r="D5641" s="220" t="s">
        <v>50</v>
      </c>
      <c r="E5641" s="165">
        <v>143</v>
      </c>
    </row>
    <row r="5642" spans="1:5" x14ac:dyDescent="0.25">
      <c r="A5642" s="216" t="s">
        <v>11462</v>
      </c>
      <c r="B5642" s="218" t="s">
        <v>48</v>
      </c>
      <c r="C5642" s="220" t="s">
        <v>1405</v>
      </c>
      <c r="D5642" s="220" t="s">
        <v>710</v>
      </c>
      <c r="E5642" s="165">
        <v>143</v>
      </c>
    </row>
    <row r="5643" spans="1:5" x14ac:dyDescent="0.25">
      <c r="A5643" s="216" t="s">
        <v>11463</v>
      </c>
      <c r="B5643" s="218">
        <v>1</v>
      </c>
      <c r="C5643" s="220" t="s">
        <v>782</v>
      </c>
      <c r="D5643" s="220" t="s">
        <v>93</v>
      </c>
      <c r="E5643" s="165">
        <v>143</v>
      </c>
    </row>
    <row r="5644" spans="1:5" x14ac:dyDescent="0.25">
      <c r="A5644" s="216" t="s">
        <v>8100</v>
      </c>
      <c r="B5644" s="218">
        <v>1</v>
      </c>
      <c r="C5644" s="220" t="s">
        <v>8101</v>
      </c>
      <c r="D5644" s="220" t="s">
        <v>201</v>
      </c>
      <c r="E5644" s="165">
        <v>143</v>
      </c>
    </row>
    <row r="5645" spans="1:5" x14ac:dyDescent="0.25">
      <c r="A5645" s="216" t="s">
        <v>10608</v>
      </c>
      <c r="B5645" s="218">
        <v>1</v>
      </c>
      <c r="C5645" s="220" t="s">
        <v>5941</v>
      </c>
      <c r="D5645" s="220" t="s">
        <v>348</v>
      </c>
      <c r="E5645" s="165">
        <v>143</v>
      </c>
    </row>
    <row r="5646" spans="1:5" x14ac:dyDescent="0.25">
      <c r="A5646" s="216" t="s">
        <v>7750</v>
      </c>
      <c r="B5646" s="218">
        <v>1</v>
      </c>
      <c r="C5646" s="220" t="s">
        <v>4056</v>
      </c>
      <c r="D5646" s="220" t="s">
        <v>98</v>
      </c>
      <c r="E5646" s="165">
        <v>143</v>
      </c>
    </row>
    <row r="5647" spans="1:5" x14ac:dyDescent="0.25">
      <c r="A5647" s="216" t="s">
        <v>7792</v>
      </c>
      <c r="B5647" s="218">
        <v>1</v>
      </c>
      <c r="C5647" s="220" t="s">
        <v>640</v>
      </c>
      <c r="D5647" s="220" t="s">
        <v>69</v>
      </c>
      <c r="E5647" s="165">
        <v>143</v>
      </c>
    </row>
    <row r="5648" spans="1:5" x14ac:dyDescent="0.25">
      <c r="A5648" s="216" t="s">
        <v>7752</v>
      </c>
      <c r="B5648" s="218">
        <v>1</v>
      </c>
      <c r="C5648" s="220" t="s">
        <v>5111</v>
      </c>
      <c r="D5648" s="220" t="s">
        <v>98</v>
      </c>
      <c r="E5648" s="165">
        <v>143</v>
      </c>
    </row>
    <row r="5649" spans="1:5" x14ac:dyDescent="0.25">
      <c r="A5649" s="216" t="s">
        <v>7564</v>
      </c>
      <c r="B5649" s="218">
        <v>1</v>
      </c>
      <c r="C5649" s="220" t="s">
        <v>4560</v>
      </c>
      <c r="D5649" s="220" t="s">
        <v>82</v>
      </c>
      <c r="E5649" s="165">
        <v>143</v>
      </c>
    </row>
    <row r="5650" spans="1:5" x14ac:dyDescent="0.25">
      <c r="A5650" s="216" t="s">
        <v>7755</v>
      </c>
      <c r="B5650" s="218">
        <v>1</v>
      </c>
      <c r="C5650" s="220" t="s">
        <v>390</v>
      </c>
      <c r="D5650" s="220" t="s">
        <v>98</v>
      </c>
      <c r="E5650" s="165">
        <v>143</v>
      </c>
    </row>
    <row r="5651" spans="1:5" x14ac:dyDescent="0.25">
      <c r="A5651" s="216" t="s">
        <v>7865</v>
      </c>
      <c r="B5651" s="218">
        <v>1</v>
      </c>
      <c r="C5651" s="220" t="s">
        <v>1757</v>
      </c>
      <c r="D5651" s="220" t="s">
        <v>192</v>
      </c>
      <c r="E5651" s="165">
        <v>143</v>
      </c>
    </row>
    <row r="5652" spans="1:5" x14ac:dyDescent="0.25">
      <c r="A5652" s="216" t="s">
        <v>7871</v>
      </c>
      <c r="B5652" s="218">
        <v>1</v>
      </c>
      <c r="C5652" s="220" t="s">
        <v>6820</v>
      </c>
      <c r="D5652" s="220" t="s">
        <v>192</v>
      </c>
      <c r="E5652" s="165">
        <v>143</v>
      </c>
    </row>
    <row r="5653" spans="1:5" x14ac:dyDescent="0.25">
      <c r="A5653" s="216" t="s">
        <v>7782</v>
      </c>
      <c r="B5653" s="218">
        <v>1</v>
      </c>
      <c r="C5653" s="220" t="s">
        <v>2075</v>
      </c>
      <c r="D5653" s="220" t="s">
        <v>56</v>
      </c>
      <c r="E5653" s="165">
        <v>142</v>
      </c>
    </row>
    <row r="5654" spans="1:5" x14ac:dyDescent="0.25">
      <c r="A5654" s="216" t="s">
        <v>7810</v>
      </c>
      <c r="B5654" s="218">
        <v>1</v>
      </c>
      <c r="C5654" s="220" t="s">
        <v>331</v>
      </c>
      <c r="D5654" s="220" t="s">
        <v>69</v>
      </c>
      <c r="E5654" s="165">
        <v>142</v>
      </c>
    </row>
    <row r="5655" spans="1:5" x14ac:dyDescent="0.25">
      <c r="A5655" s="216" t="s">
        <v>7469</v>
      </c>
      <c r="B5655" s="218">
        <v>1</v>
      </c>
      <c r="C5655" s="220" t="s">
        <v>11464</v>
      </c>
      <c r="D5655" s="220" t="s">
        <v>177</v>
      </c>
      <c r="E5655" s="165">
        <v>142</v>
      </c>
    </row>
    <row r="5656" spans="1:5" x14ac:dyDescent="0.25">
      <c r="A5656" s="216" t="s">
        <v>7664</v>
      </c>
      <c r="B5656" s="218">
        <v>1</v>
      </c>
      <c r="C5656" s="220" t="s">
        <v>7665</v>
      </c>
      <c r="D5656" s="220" t="s">
        <v>201</v>
      </c>
      <c r="E5656" s="165">
        <v>142</v>
      </c>
    </row>
    <row r="5657" spans="1:5" x14ac:dyDescent="0.25">
      <c r="A5657" s="216" t="s">
        <v>7834</v>
      </c>
      <c r="B5657" s="218" t="s">
        <v>48</v>
      </c>
      <c r="C5657" s="220" t="s">
        <v>3738</v>
      </c>
      <c r="D5657" s="220" t="s">
        <v>93</v>
      </c>
      <c r="E5657" s="165">
        <v>142</v>
      </c>
    </row>
    <row r="5658" spans="1:5" x14ac:dyDescent="0.25">
      <c r="A5658" s="216" t="s">
        <v>7835</v>
      </c>
      <c r="B5658" s="218">
        <v>1</v>
      </c>
      <c r="C5658" s="220" t="s">
        <v>843</v>
      </c>
      <c r="D5658" s="220" t="s">
        <v>172</v>
      </c>
      <c r="E5658" s="165">
        <v>142</v>
      </c>
    </row>
    <row r="5659" spans="1:5" x14ac:dyDescent="0.25">
      <c r="A5659" s="216" t="s">
        <v>7797</v>
      </c>
      <c r="B5659" s="218">
        <v>1</v>
      </c>
      <c r="C5659" s="220" t="s">
        <v>7798</v>
      </c>
      <c r="D5659" s="220" t="s">
        <v>56</v>
      </c>
      <c r="E5659" s="165">
        <v>142</v>
      </c>
    </row>
    <row r="5660" spans="1:5" x14ac:dyDescent="0.25">
      <c r="A5660" s="216" t="s">
        <v>7479</v>
      </c>
      <c r="B5660" s="218">
        <v>1</v>
      </c>
      <c r="C5660" s="220" t="s">
        <v>347</v>
      </c>
      <c r="D5660" s="220" t="s">
        <v>348</v>
      </c>
      <c r="E5660" s="165">
        <v>142</v>
      </c>
    </row>
    <row r="5661" spans="1:5" x14ac:dyDescent="0.25">
      <c r="A5661" s="216" t="s">
        <v>8173</v>
      </c>
      <c r="B5661" s="218" t="s">
        <v>48</v>
      </c>
      <c r="C5661" s="220" t="s">
        <v>8174</v>
      </c>
      <c r="D5661" s="220" t="s">
        <v>63</v>
      </c>
      <c r="E5661" s="165">
        <v>142</v>
      </c>
    </row>
    <row r="5662" spans="1:5" x14ac:dyDescent="0.25">
      <c r="A5662" s="216" t="s">
        <v>6918</v>
      </c>
      <c r="B5662" s="218">
        <v>1</v>
      </c>
      <c r="C5662" s="220" t="s">
        <v>925</v>
      </c>
      <c r="D5662" s="220" t="s">
        <v>394</v>
      </c>
      <c r="E5662" s="165">
        <v>142</v>
      </c>
    </row>
    <row r="5663" spans="1:5" x14ac:dyDescent="0.25">
      <c r="A5663" s="216" t="s">
        <v>7884</v>
      </c>
      <c r="B5663" s="218">
        <v>1</v>
      </c>
      <c r="C5663" s="220" t="s">
        <v>161</v>
      </c>
      <c r="D5663" s="220" t="s">
        <v>192</v>
      </c>
      <c r="E5663" s="165">
        <v>142</v>
      </c>
    </row>
    <row r="5664" spans="1:5" x14ac:dyDescent="0.25">
      <c r="A5664" s="216" t="s">
        <v>10491</v>
      </c>
      <c r="B5664" s="218" t="s">
        <v>48</v>
      </c>
      <c r="C5664" s="220" t="s">
        <v>222</v>
      </c>
      <c r="D5664" s="220" t="s">
        <v>166</v>
      </c>
      <c r="E5664" s="165">
        <v>141</v>
      </c>
    </row>
    <row r="5665" spans="1:5" x14ac:dyDescent="0.25">
      <c r="A5665" s="216" t="s">
        <v>8227</v>
      </c>
      <c r="B5665" s="218">
        <v>1</v>
      </c>
      <c r="C5665" s="220" t="s">
        <v>647</v>
      </c>
      <c r="D5665" s="220" t="s">
        <v>236</v>
      </c>
      <c r="E5665" s="165">
        <v>141</v>
      </c>
    </row>
    <row r="5666" spans="1:5" x14ac:dyDescent="0.25">
      <c r="A5666" s="216" t="s">
        <v>7849</v>
      </c>
      <c r="B5666" s="218" t="s">
        <v>48</v>
      </c>
      <c r="C5666" s="220" t="s">
        <v>7850</v>
      </c>
      <c r="D5666" s="220" t="s">
        <v>108</v>
      </c>
      <c r="E5666" s="165">
        <v>141</v>
      </c>
    </row>
    <row r="5667" spans="1:5" x14ac:dyDescent="0.25">
      <c r="A5667" s="216" t="s">
        <v>7681</v>
      </c>
      <c r="B5667" s="218">
        <v>1</v>
      </c>
      <c r="C5667" s="220" t="s">
        <v>347</v>
      </c>
      <c r="D5667" s="220" t="s">
        <v>348</v>
      </c>
      <c r="E5667" s="165">
        <v>141</v>
      </c>
    </row>
    <row r="5668" spans="1:5" x14ac:dyDescent="0.25">
      <c r="A5668" s="216" t="s">
        <v>8347</v>
      </c>
      <c r="B5668" s="218" t="s">
        <v>48</v>
      </c>
      <c r="C5668" s="220" t="s">
        <v>547</v>
      </c>
      <c r="D5668" s="220" t="s">
        <v>93</v>
      </c>
      <c r="E5668" s="165">
        <v>141</v>
      </c>
    </row>
    <row r="5669" spans="1:5" x14ac:dyDescent="0.25">
      <c r="A5669" s="216" t="s">
        <v>7775</v>
      </c>
      <c r="B5669" s="218">
        <v>1</v>
      </c>
      <c r="C5669" s="220" t="s">
        <v>2958</v>
      </c>
      <c r="D5669" s="220" t="s">
        <v>124</v>
      </c>
      <c r="E5669" s="165">
        <v>141</v>
      </c>
    </row>
    <row r="5670" spans="1:5" x14ac:dyDescent="0.25">
      <c r="A5670" s="216" t="s">
        <v>7737</v>
      </c>
      <c r="B5670" s="218">
        <v>1</v>
      </c>
      <c r="C5670" s="220" t="s">
        <v>7738</v>
      </c>
      <c r="D5670" s="220" t="s">
        <v>277</v>
      </c>
      <c r="E5670" s="165">
        <v>141</v>
      </c>
    </row>
    <row r="5671" spans="1:5" x14ac:dyDescent="0.25">
      <c r="A5671" s="216" t="s">
        <v>10066</v>
      </c>
      <c r="B5671" s="218" t="s">
        <v>48</v>
      </c>
      <c r="C5671" s="220" t="s">
        <v>10067</v>
      </c>
      <c r="D5671" s="220" t="s">
        <v>53</v>
      </c>
      <c r="E5671" s="165">
        <v>140</v>
      </c>
    </row>
    <row r="5672" spans="1:5" x14ac:dyDescent="0.25">
      <c r="A5672" s="216" t="s">
        <v>7295</v>
      </c>
      <c r="B5672" s="218">
        <v>1</v>
      </c>
      <c r="C5672" s="220" t="s">
        <v>5135</v>
      </c>
      <c r="D5672" s="220" t="s">
        <v>277</v>
      </c>
      <c r="E5672" s="165">
        <v>140</v>
      </c>
    </row>
    <row r="5673" spans="1:5" x14ac:dyDescent="0.25">
      <c r="A5673" s="216" t="s">
        <v>7831</v>
      </c>
      <c r="B5673" s="218">
        <v>1</v>
      </c>
      <c r="C5673" s="220" t="s">
        <v>4278</v>
      </c>
      <c r="D5673" s="220" t="s">
        <v>78</v>
      </c>
      <c r="E5673" s="165">
        <v>140</v>
      </c>
    </row>
    <row r="5674" spans="1:5" x14ac:dyDescent="0.25">
      <c r="A5674" s="216" t="s">
        <v>7300</v>
      </c>
      <c r="B5674" s="218">
        <v>1</v>
      </c>
      <c r="C5674" s="220" t="s">
        <v>3346</v>
      </c>
      <c r="D5674" s="220" t="s">
        <v>277</v>
      </c>
      <c r="E5674" s="165">
        <v>140</v>
      </c>
    </row>
    <row r="5675" spans="1:5" x14ac:dyDescent="0.25">
      <c r="A5675" s="216" t="s">
        <v>4559</v>
      </c>
      <c r="B5675" s="218" t="s">
        <v>48</v>
      </c>
      <c r="C5675" s="220" t="s">
        <v>4560</v>
      </c>
      <c r="D5675" s="220" t="s">
        <v>82</v>
      </c>
      <c r="E5675" s="165">
        <v>140</v>
      </c>
    </row>
    <row r="5676" spans="1:5" x14ac:dyDescent="0.25">
      <c r="A5676" s="216" t="s">
        <v>8004</v>
      </c>
      <c r="B5676" s="218">
        <v>1</v>
      </c>
      <c r="C5676" s="220" t="s">
        <v>8005</v>
      </c>
      <c r="D5676" s="220" t="s">
        <v>69</v>
      </c>
      <c r="E5676" s="165">
        <v>140</v>
      </c>
    </row>
    <row r="5677" spans="1:5" x14ac:dyDescent="0.25">
      <c r="A5677" s="216" t="s">
        <v>8133</v>
      </c>
      <c r="B5677" s="218" t="s">
        <v>48</v>
      </c>
      <c r="C5677" s="220" t="s">
        <v>754</v>
      </c>
      <c r="D5677" s="220" t="s">
        <v>166</v>
      </c>
      <c r="E5677" s="165">
        <v>140</v>
      </c>
    </row>
    <row r="5678" spans="1:5" x14ac:dyDescent="0.25">
      <c r="A5678" s="216" t="s">
        <v>7347</v>
      </c>
      <c r="B5678" s="218">
        <v>1</v>
      </c>
      <c r="C5678" s="220" t="s">
        <v>7348</v>
      </c>
      <c r="D5678" s="220" t="s">
        <v>90</v>
      </c>
      <c r="E5678" s="165">
        <v>140</v>
      </c>
    </row>
    <row r="5679" spans="1:5" x14ac:dyDescent="0.25">
      <c r="A5679" s="216" t="s">
        <v>10726</v>
      </c>
      <c r="B5679" s="218" t="s">
        <v>48</v>
      </c>
      <c r="C5679" s="220" t="s">
        <v>735</v>
      </c>
      <c r="D5679" s="220" t="s">
        <v>93</v>
      </c>
      <c r="E5679" s="165">
        <v>140</v>
      </c>
    </row>
    <row r="5680" spans="1:5" x14ac:dyDescent="0.25">
      <c r="A5680" s="216" t="s">
        <v>8038</v>
      </c>
      <c r="B5680" s="218" t="s">
        <v>48</v>
      </c>
      <c r="C5680" s="220" t="s">
        <v>4361</v>
      </c>
      <c r="D5680" s="220" t="s">
        <v>139</v>
      </c>
      <c r="E5680" s="165">
        <v>140</v>
      </c>
    </row>
    <row r="5681" spans="1:5" x14ac:dyDescent="0.25">
      <c r="A5681" s="216" t="s">
        <v>8356</v>
      </c>
      <c r="B5681" s="218" t="s">
        <v>48</v>
      </c>
      <c r="C5681" s="220" t="s">
        <v>8357</v>
      </c>
      <c r="D5681" s="220" t="s">
        <v>82</v>
      </c>
      <c r="E5681" s="165">
        <v>140</v>
      </c>
    </row>
    <row r="5682" spans="1:5" x14ac:dyDescent="0.25">
      <c r="A5682" s="216" t="s">
        <v>11465</v>
      </c>
      <c r="B5682" s="218">
        <v>1</v>
      </c>
      <c r="C5682" s="220" t="s">
        <v>11466</v>
      </c>
      <c r="D5682" s="220" t="s">
        <v>378</v>
      </c>
      <c r="E5682" s="165">
        <v>139</v>
      </c>
    </row>
    <row r="5683" spans="1:5" x14ac:dyDescent="0.25">
      <c r="A5683" s="216" t="s">
        <v>7658</v>
      </c>
      <c r="B5683" s="218" t="s">
        <v>48</v>
      </c>
      <c r="C5683" s="220" t="s">
        <v>7659</v>
      </c>
      <c r="D5683" s="220" t="s">
        <v>166</v>
      </c>
      <c r="E5683" s="165">
        <v>139</v>
      </c>
    </row>
    <row r="5684" spans="1:5" x14ac:dyDescent="0.25">
      <c r="A5684" s="216" t="s">
        <v>8070</v>
      </c>
      <c r="B5684" s="218" t="s">
        <v>48</v>
      </c>
      <c r="C5684" s="220" t="s">
        <v>8071</v>
      </c>
      <c r="D5684" s="220" t="s">
        <v>93</v>
      </c>
      <c r="E5684" s="165">
        <v>139</v>
      </c>
    </row>
    <row r="5685" spans="1:5" x14ac:dyDescent="0.25">
      <c r="A5685" s="216" t="s">
        <v>11467</v>
      </c>
      <c r="B5685" s="218">
        <v>1</v>
      </c>
      <c r="C5685" s="220" t="s">
        <v>4422</v>
      </c>
      <c r="D5685" s="220" t="s">
        <v>50</v>
      </c>
      <c r="E5685" s="165">
        <v>139</v>
      </c>
    </row>
    <row r="5686" spans="1:5" x14ac:dyDescent="0.25">
      <c r="A5686" s="216" t="s">
        <v>9134</v>
      </c>
      <c r="B5686" s="218">
        <v>1</v>
      </c>
      <c r="C5686" s="220" t="s">
        <v>9135</v>
      </c>
      <c r="D5686" s="220" t="s">
        <v>130</v>
      </c>
      <c r="E5686" s="165">
        <v>139</v>
      </c>
    </row>
    <row r="5687" spans="1:5" x14ac:dyDescent="0.25">
      <c r="A5687" s="216" t="s">
        <v>8286</v>
      </c>
      <c r="B5687" s="218">
        <v>1</v>
      </c>
      <c r="C5687" s="220" t="s">
        <v>8287</v>
      </c>
      <c r="D5687" s="220" t="s">
        <v>272</v>
      </c>
      <c r="E5687" s="165">
        <v>139</v>
      </c>
    </row>
    <row r="5688" spans="1:5" x14ac:dyDescent="0.25">
      <c r="A5688" s="216" t="s">
        <v>9409</v>
      </c>
      <c r="B5688" s="218" t="s">
        <v>48</v>
      </c>
      <c r="C5688" s="220" t="s">
        <v>4486</v>
      </c>
      <c r="D5688" s="220" t="s">
        <v>90</v>
      </c>
      <c r="E5688" s="165">
        <v>139</v>
      </c>
    </row>
    <row r="5689" spans="1:5" x14ac:dyDescent="0.25">
      <c r="A5689" s="216" t="s">
        <v>7754</v>
      </c>
      <c r="B5689" s="218">
        <v>1</v>
      </c>
      <c r="C5689" s="220" t="s">
        <v>735</v>
      </c>
      <c r="D5689" s="220" t="s">
        <v>628</v>
      </c>
      <c r="E5689" s="165">
        <v>139</v>
      </c>
    </row>
    <row r="5690" spans="1:5" x14ac:dyDescent="0.25">
      <c r="A5690" s="216" t="s">
        <v>7979</v>
      </c>
      <c r="B5690" s="218">
        <v>1</v>
      </c>
      <c r="C5690" s="220" t="s">
        <v>1411</v>
      </c>
      <c r="D5690" s="220" t="s">
        <v>63</v>
      </c>
      <c r="E5690" s="165">
        <v>139</v>
      </c>
    </row>
    <row r="5691" spans="1:5" x14ac:dyDescent="0.25">
      <c r="A5691" s="216" t="s">
        <v>8606</v>
      </c>
      <c r="B5691" s="218">
        <v>1</v>
      </c>
      <c r="C5691" s="220" t="s">
        <v>8607</v>
      </c>
      <c r="D5691" s="220" t="s">
        <v>82</v>
      </c>
      <c r="E5691" s="165">
        <v>139</v>
      </c>
    </row>
    <row r="5692" spans="1:5" x14ac:dyDescent="0.25">
      <c r="A5692" s="216" t="s">
        <v>5131</v>
      </c>
      <c r="B5692" s="218">
        <v>1</v>
      </c>
      <c r="C5692" s="220" t="s">
        <v>4444</v>
      </c>
      <c r="D5692" s="220" t="s">
        <v>56</v>
      </c>
      <c r="E5692" s="165">
        <v>139</v>
      </c>
    </row>
    <row r="5693" spans="1:5" x14ac:dyDescent="0.25">
      <c r="A5693" s="216" t="s">
        <v>8461</v>
      </c>
      <c r="B5693" s="218">
        <v>1</v>
      </c>
      <c r="C5693" s="220" t="s">
        <v>2015</v>
      </c>
      <c r="D5693" s="220" t="s">
        <v>142</v>
      </c>
      <c r="E5693" s="165">
        <v>139</v>
      </c>
    </row>
    <row r="5694" spans="1:5" x14ac:dyDescent="0.25">
      <c r="A5694" s="216" t="s">
        <v>7985</v>
      </c>
      <c r="B5694" s="218">
        <v>1</v>
      </c>
      <c r="C5694" s="220" t="s">
        <v>1268</v>
      </c>
      <c r="D5694" s="220" t="s">
        <v>63</v>
      </c>
      <c r="E5694" s="165">
        <v>139</v>
      </c>
    </row>
    <row r="5695" spans="1:5" x14ac:dyDescent="0.25">
      <c r="A5695" s="216" t="s">
        <v>8586</v>
      </c>
      <c r="B5695" s="218">
        <v>1</v>
      </c>
      <c r="C5695" s="220" t="s">
        <v>8587</v>
      </c>
      <c r="D5695" s="220" t="s">
        <v>63</v>
      </c>
      <c r="E5695" s="165">
        <v>139</v>
      </c>
    </row>
    <row r="5696" spans="1:5" x14ac:dyDescent="0.25">
      <c r="A5696" s="216" t="s">
        <v>6866</v>
      </c>
      <c r="B5696" s="218" t="s">
        <v>48</v>
      </c>
      <c r="C5696" s="220" t="s">
        <v>1963</v>
      </c>
      <c r="D5696" s="220" t="s">
        <v>90</v>
      </c>
      <c r="E5696" s="165">
        <v>139</v>
      </c>
    </row>
    <row r="5697" spans="1:5" x14ac:dyDescent="0.25">
      <c r="A5697" s="216" t="s">
        <v>7511</v>
      </c>
      <c r="B5697" s="218">
        <v>1</v>
      </c>
      <c r="C5697" s="220" t="s">
        <v>7512</v>
      </c>
      <c r="D5697" s="220" t="s">
        <v>802</v>
      </c>
      <c r="E5697" s="165">
        <v>138</v>
      </c>
    </row>
    <row r="5698" spans="1:5" x14ac:dyDescent="0.25">
      <c r="A5698" s="216" t="s">
        <v>8047</v>
      </c>
      <c r="B5698" s="218">
        <v>1</v>
      </c>
      <c r="C5698" s="220" t="s">
        <v>5444</v>
      </c>
      <c r="D5698" s="220" t="s">
        <v>56</v>
      </c>
      <c r="E5698" s="165">
        <v>138</v>
      </c>
    </row>
    <row r="5699" spans="1:5" x14ac:dyDescent="0.25">
      <c r="A5699" s="216" t="s">
        <v>6330</v>
      </c>
      <c r="B5699" s="218" t="s">
        <v>48</v>
      </c>
      <c r="C5699" s="220" t="s">
        <v>6331</v>
      </c>
      <c r="D5699" s="220" t="s">
        <v>378</v>
      </c>
      <c r="E5699" s="165">
        <v>138</v>
      </c>
    </row>
    <row r="5700" spans="1:5" x14ac:dyDescent="0.25">
      <c r="A5700" s="216" t="s">
        <v>6928</v>
      </c>
      <c r="B5700" s="218" t="s">
        <v>48</v>
      </c>
      <c r="C5700" s="220" t="s">
        <v>4757</v>
      </c>
      <c r="D5700" s="220" t="s">
        <v>90</v>
      </c>
      <c r="E5700" s="165">
        <v>138</v>
      </c>
    </row>
    <row r="5701" spans="1:5" x14ac:dyDescent="0.25">
      <c r="A5701" s="216" t="s">
        <v>7935</v>
      </c>
      <c r="B5701" s="218">
        <v>1</v>
      </c>
      <c r="C5701" s="220" t="s">
        <v>7936</v>
      </c>
      <c r="D5701" s="220" t="s">
        <v>192</v>
      </c>
      <c r="E5701" s="165">
        <v>138</v>
      </c>
    </row>
    <row r="5702" spans="1:5" x14ac:dyDescent="0.25">
      <c r="A5702" s="216" t="s">
        <v>6849</v>
      </c>
      <c r="B5702" s="218" t="s">
        <v>48</v>
      </c>
      <c r="C5702" s="220" t="s">
        <v>1518</v>
      </c>
      <c r="D5702" s="220" t="s">
        <v>90</v>
      </c>
      <c r="E5702" s="165">
        <v>138</v>
      </c>
    </row>
    <row r="5703" spans="1:5" x14ac:dyDescent="0.25">
      <c r="A5703" s="216" t="s">
        <v>5254</v>
      </c>
      <c r="B5703" s="218" t="s">
        <v>48</v>
      </c>
      <c r="C5703" s="220" t="s">
        <v>4661</v>
      </c>
      <c r="D5703" s="220" t="s">
        <v>585</v>
      </c>
      <c r="E5703" s="165">
        <v>138</v>
      </c>
    </row>
    <row r="5704" spans="1:5" x14ac:dyDescent="0.25">
      <c r="A5704" s="216" t="s">
        <v>8010</v>
      </c>
      <c r="B5704" s="218">
        <v>1</v>
      </c>
      <c r="C5704" s="220" t="s">
        <v>7686</v>
      </c>
      <c r="D5704" s="220" t="s">
        <v>50</v>
      </c>
      <c r="E5704" s="165">
        <v>138</v>
      </c>
    </row>
    <row r="5705" spans="1:5" x14ac:dyDescent="0.25">
      <c r="A5705" s="216" t="s">
        <v>8050</v>
      </c>
      <c r="B5705" s="218">
        <v>1</v>
      </c>
      <c r="C5705" s="220" t="s">
        <v>121</v>
      </c>
      <c r="D5705" s="220" t="s">
        <v>56</v>
      </c>
      <c r="E5705" s="165">
        <v>138</v>
      </c>
    </row>
    <row r="5706" spans="1:5" x14ac:dyDescent="0.25">
      <c r="A5706" s="216" t="s">
        <v>7893</v>
      </c>
      <c r="B5706" s="218">
        <v>1</v>
      </c>
      <c r="C5706" s="220" t="s">
        <v>7894</v>
      </c>
      <c r="D5706" s="220" t="s">
        <v>56</v>
      </c>
      <c r="E5706" s="165">
        <v>138</v>
      </c>
    </row>
    <row r="5707" spans="1:5" x14ac:dyDescent="0.25">
      <c r="A5707" s="216" t="s">
        <v>7151</v>
      </c>
      <c r="B5707" s="218" t="s">
        <v>48</v>
      </c>
      <c r="C5707" s="220" t="s">
        <v>7152</v>
      </c>
      <c r="D5707" s="220" t="s">
        <v>53</v>
      </c>
      <c r="E5707" s="165">
        <v>138</v>
      </c>
    </row>
    <row r="5708" spans="1:5" x14ac:dyDescent="0.25">
      <c r="A5708" s="216" t="s">
        <v>7624</v>
      </c>
      <c r="B5708" s="218">
        <v>1</v>
      </c>
      <c r="C5708" s="220" t="s">
        <v>7625</v>
      </c>
      <c r="D5708" s="220" t="s">
        <v>272</v>
      </c>
      <c r="E5708" s="165">
        <v>138</v>
      </c>
    </row>
    <row r="5709" spans="1:5" x14ac:dyDescent="0.25">
      <c r="A5709" s="216" t="s">
        <v>8415</v>
      </c>
      <c r="B5709" s="218" t="s">
        <v>48</v>
      </c>
      <c r="C5709" s="220" t="s">
        <v>1977</v>
      </c>
      <c r="D5709" s="220" t="s">
        <v>166</v>
      </c>
      <c r="E5709" s="165">
        <v>138</v>
      </c>
    </row>
    <row r="5710" spans="1:5" x14ac:dyDescent="0.25">
      <c r="A5710" s="216" t="s">
        <v>9820</v>
      </c>
      <c r="B5710" s="218" t="s">
        <v>48</v>
      </c>
      <c r="C5710" s="220" t="s">
        <v>9821</v>
      </c>
      <c r="D5710" s="220" t="s">
        <v>166</v>
      </c>
      <c r="E5710" s="165">
        <v>138</v>
      </c>
    </row>
    <row r="5711" spans="1:5" x14ac:dyDescent="0.25">
      <c r="A5711" s="216" t="s">
        <v>11468</v>
      </c>
      <c r="B5711" s="218">
        <v>1</v>
      </c>
      <c r="C5711" s="220" t="s">
        <v>1293</v>
      </c>
      <c r="D5711" s="220" t="s">
        <v>166</v>
      </c>
      <c r="E5711" s="165">
        <v>137</v>
      </c>
    </row>
    <row r="5712" spans="1:5" x14ac:dyDescent="0.25">
      <c r="A5712" s="216" t="s">
        <v>7443</v>
      </c>
      <c r="B5712" s="218">
        <v>1</v>
      </c>
      <c r="C5712" s="220" t="s">
        <v>7444</v>
      </c>
      <c r="D5712" s="220" t="s">
        <v>486</v>
      </c>
      <c r="E5712" s="165">
        <v>137</v>
      </c>
    </row>
    <row r="5713" spans="1:5" x14ac:dyDescent="0.25">
      <c r="A5713" s="216" t="s">
        <v>7880</v>
      </c>
      <c r="B5713" s="218">
        <v>1</v>
      </c>
      <c r="C5713" s="220" t="s">
        <v>176</v>
      </c>
      <c r="D5713" s="220" t="s">
        <v>177</v>
      </c>
      <c r="E5713" s="165">
        <v>137</v>
      </c>
    </row>
    <row r="5714" spans="1:5" x14ac:dyDescent="0.25">
      <c r="A5714" s="216" t="s">
        <v>6394</v>
      </c>
      <c r="B5714" s="218" t="s">
        <v>48</v>
      </c>
      <c r="C5714" s="220" t="s">
        <v>4654</v>
      </c>
      <c r="D5714" s="220" t="s">
        <v>188</v>
      </c>
      <c r="E5714" s="165">
        <v>137</v>
      </c>
    </row>
    <row r="5715" spans="1:5" x14ac:dyDescent="0.25">
      <c r="A5715" s="216" t="s">
        <v>8386</v>
      </c>
      <c r="B5715" s="218">
        <v>1</v>
      </c>
      <c r="C5715" s="220" t="s">
        <v>8387</v>
      </c>
      <c r="D5715" s="220" t="s">
        <v>264</v>
      </c>
      <c r="E5715" s="165">
        <v>137</v>
      </c>
    </row>
    <row r="5716" spans="1:5" x14ac:dyDescent="0.25">
      <c r="A5716" s="216" t="s">
        <v>7382</v>
      </c>
      <c r="B5716" s="218">
        <v>1</v>
      </c>
      <c r="C5716" s="220" t="s">
        <v>609</v>
      </c>
      <c r="D5716" s="220" t="s">
        <v>277</v>
      </c>
      <c r="E5716" s="165">
        <v>137</v>
      </c>
    </row>
    <row r="5717" spans="1:5" x14ac:dyDescent="0.25">
      <c r="A5717" s="216" t="s">
        <v>7605</v>
      </c>
      <c r="B5717" s="218" t="s">
        <v>48</v>
      </c>
      <c r="C5717" s="220" t="s">
        <v>7606</v>
      </c>
      <c r="D5717" s="220" t="s">
        <v>56</v>
      </c>
      <c r="E5717" s="165">
        <v>137</v>
      </c>
    </row>
    <row r="5718" spans="1:5" x14ac:dyDescent="0.25">
      <c r="A5718" s="216" t="s">
        <v>8304</v>
      </c>
      <c r="B5718" s="218">
        <v>1</v>
      </c>
      <c r="C5718" s="220" t="s">
        <v>2365</v>
      </c>
      <c r="D5718" s="220" t="s">
        <v>78</v>
      </c>
      <c r="E5718" s="165">
        <v>137</v>
      </c>
    </row>
    <row r="5719" spans="1:5" x14ac:dyDescent="0.25">
      <c r="A5719" s="216" t="s">
        <v>7924</v>
      </c>
      <c r="B5719" s="218">
        <v>1</v>
      </c>
      <c r="C5719" s="220" t="s">
        <v>3977</v>
      </c>
      <c r="D5719" s="220" t="s">
        <v>69</v>
      </c>
      <c r="E5719" s="165">
        <v>137</v>
      </c>
    </row>
    <row r="5720" spans="1:5" x14ac:dyDescent="0.25">
      <c r="A5720" s="216" t="s">
        <v>7823</v>
      </c>
      <c r="B5720" s="218">
        <v>1</v>
      </c>
      <c r="C5720" s="220" t="s">
        <v>7824</v>
      </c>
      <c r="D5720" s="220" t="s">
        <v>277</v>
      </c>
      <c r="E5720" s="165">
        <v>137</v>
      </c>
    </row>
    <row r="5721" spans="1:5" x14ac:dyDescent="0.25">
      <c r="A5721" s="216" t="s">
        <v>8412</v>
      </c>
      <c r="B5721" s="218">
        <v>1</v>
      </c>
      <c r="C5721" s="220" t="s">
        <v>2277</v>
      </c>
      <c r="D5721" s="220" t="s">
        <v>105</v>
      </c>
      <c r="E5721" s="165">
        <v>137</v>
      </c>
    </row>
    <row r="5722" spans="1:5" x14ac:dyDescent="0.25">
      <c r="A5722" s="216" t="s">
        <v>7927</v>
      </c>
      <c r="B5722" s="218">
        <v>1</v>
      </c>
      <c r="C5722" s="220" t="s">
        <v>7928</v>
      </c>
      <c r="D5722" s="220" t="s">
        <v>69</v>
      </c>
      <c r="E5722" s="165">
        <v>137</v>
      </c>
    </row>
    <row r="5723" spans="1:5" x14ac:dyDescent="0.25">
      <c r="A5723" s="216" t="s">
        <v>8312</v>
      </c>
      <c r="B5723" s="218">
        <v>1</v>
      </c>
      <c r="C5723" s="220" t="s">
        <v>6611</v>
      </c>
      <c r="D5723" s="220" t="s">
        <v>66</v>
      </c>
      <c r="E5723" s="165">
        <v>137</v>
      </c>
    </row>
    <row r="5724" spans="1:5" x14ac:dyDescent="0.25">
      <c r="A5724" s="216" t="s">
        <v>7217</v>
      </c>
      <c r="B5724" s="218" t="s">
        <v>48</v>
      </c>
      <c r="C5724" s="220" t="s">
        <v>7218</v>
      </c>
      <c r="D5724" s="220" t="s">
        <v>108</v>
      </c>
      <c r="E5724" s="165">
        <v>137</v>
      </c>
    </row>
    <row r="5725" spans="1:5" x14ac:dyDescent="0.25">
      <c r="A5725" s="216" t="s">
        <v>8811</v>
      </c>
      <c r="B5725" s="218" t="s">
        <v>48</v>
      </c>
      <c r="C5725" s="220" t="s">
        <v>120</v>
      </c>
      <c r="D5725" s="220" t="s">
        <v>63</v>
      </c>
      <c r="E5725" s="165">
        <v>136</v>
      </c>
    </row>
    <row r="5726" spans="1:5" x14ac:dyDescent="0.25">
      <c r="A5726" s="216" t="s">
        <v>6814</v>
      </c>
      <c r="B5726" s="218">
        <v>1</v>
      </c>
      <c r="C5726" s="220" t="s">
        <v>5196</v>
      </c>
      <c r="D5726" s="220" t="s">
        <v>222</v>
      </c>
      <c r="E5726" s="165">
        <v>136</v>
      </c>
    </row>
    <row r="5727" spans="1:5" x14ac:dyDescent="0.25">
      <c r="A5727" s="216" t="s">
        <v>8182</v>
      </c>
      <c r="B5727" s="218">
        <v>1</v>
      </c>
      <c r="C5727" s="220" t="s">
        <v>5734</v>
      </c>
      <c r="D5727" s="220" t="s">
        <v>575</v>
      </c>
      <c r="E5727" s="165">
        <v>136</v>
      </c>
    </row>
    <row r="5728" spans="1:5" x14ac:dyDescent="0.25">
      <c r="A5728" s="216" t="s">
        <v>10162</v>
      </c>
      <c r="B5728" s="218" t="s">
        <v>48</v>
      </c>
      <c r="C5728" s="220" t="s">
        <v>10085</v>
      </c>
      <c r="D5728" s="220" t="s">
        <v>56</v>
      </c>
      <c r="E5728" s="165">
        <v>136</v>
      </c>
    </row>
    <row r="5729" spans="1:5" x14ac:dyDescent="0.25">
      <c r="A5729" s="216" t="s">
        <v>7601</v>
      </c>
      <c r="B5729" s="218">
        <v>1</v>
      </c>
      <c r="C5729" s="220" t="s">
        <v>6746</v>
      </c>
      <c r="D5729" s="220" t="s">
        <v>93</v>
      </c>
      <c r="E5729" s="165">
        <v>136</v>
      </c>
    </row>
    <row r="5730" spans="1:5" x14ac:dyDescent="0.25">
      <c r="A5730" s="216" t="s">
        <v>6429</v>
      </c>
      <c r="B5730" s="218">
        <v>1</v>
      </c>
      <c r="C5730" s="220" t="s">
        <v>238</v>
      </c>
      <c r="D5730" s="220" t="s">
        <v>93</v>
      </c>
      <c r="E5730" s="165">
        <v>136</v>
      </c>
    </row>
    <row r="5731" spans="1:5" x14ac:dyDescent="0.25">
      <c r="A5731" s="216" t="s">
        <v>7395</v>
      </c>
      <c r="B5731" s="218" t="s">
        <v>48</v>
      </c>
      <c r="C5731" s="220" t="s">
        <v>7396</v>
      </c>
      <c r="D5731" s="220" t="s">
        <v>90</v>
      </c>
      <c r="E5731" s="165">
        <v>136</v>
      </c>
    </row>
    <row r="5732" spans="1:5" x14ac:dyDescent="0.25">
      <c r="A5732" s="216" t="s">
        <v>7364</v>
      </c>
      <c r="B5732" s="218">
        <v>1</v>
      </c>
      <c r="C5732" s="220" t="s">
        <v>3382</v>
      </c>
      <c r="D5732" s="220" t="s">
        <v>523</v>
      </c>
      <c r="E5732" s="165">
        <v>136</v>
      </c>
    </row>
    <row r="5733" spans="1:5" x14ac:dyDescent="0.25">
      <c r="A5733" s="216" t="s">
        <v>7293</v>
      </c>
      <c r="B5733" s="218" t="s">
        <v>48</v>
      </c>
      <c r="C5733" s="220" t="s">
        <v>3094</v>
      </c>
      <c r="D5733" s="220" t="s">
        <v>59</v>
      </c>
      <c r="E5733" s="165">
        <v>135</v>
      </c>
    </row>
    <row r="5734" spans="1:5" x14ac:dyDescent="0.25">
      <c r="A5734" s="216" t="s">
        <v>7464</v>
      </c>
      <c r="B5734" s="218">
        <v>1</v>
      </c>
      <c r="C5734" s="220" t="s">
        <v>1757</v>
      </c>
      <c r="D5734" s="220" t="s">
        <v>53</v>
      </c>
      <c r="E5734" s="165">
        <v>135</v>
      </c>
    </row>
    <row r="5735" spans="1:5" x14ac:dyDescent="0.25">
      <c r="A5735" s="216" t="s">
        <v>7846</v>
      </c>
      <c r="B5735" s="218">
        <v>1</v>
      </c>
      <c r="C5735" s="220" t="s">
        <v>7847</v>
      </c>
      <c r="D5735" s="220" t="s">
        <v>50</v>
      </c>
      <c r="E5735" s="165">
        <v>135</v>
      </c>
    </row>
    <row r="5736" spans="1:5" x14ac:dyDescent="0.25">
      <c r="A5736" s="216" t="s">
        <v>7719</v>
      </c>
      <c r="B5736" s="218">
        <v>1</v>
      </c>
      <c r="C5736" s="220" t="s">
        <v>1481</v>
      </c>
      <c r="D5736" s="220" t="s">
        <v>87</v>
      </c>
      <c r="E5736" s="165">
        <v>135</v>
      </c>
    </row>
    <row r="5737" spans="1:5" x14ac:dyDescent="0.25">
      <c r="A5737" s="216" t="s">
        <v>8163</v>
      </c>
      <c r="B5737" s="218" t="s">
        <v>48</v>
      </c>
      <c r="C5737" s="220" t="s">
        <v>235</v>
      </c>
      <c r="D5737" s="220" t="s">
        <v>277</v>
      </c>
      <c r="E5737" s="165">
        <v>135</v>
      </c>
    </row>
    <row r="5738" spans="1:5" x14ac:dyDescent="0.25">
      <c r="A5738" s="216" t="s">
        <v>4115</v>
      </c>
      <c r="B5738" s="218">
        <v>1</v>
      </c>
      <c r="C5738" s="220" t="s">
        <v>1669</v>
      </c>
      <c r="D5738" s="220" t="s">
        <v>66</v>
      </c>
      <c r="E5738" s="165">
        <v>135</v>
      </c>
    </row>
    <row r="5739" spans="1:5" x14ac:dyDescent="0.25">
      <c r="A5739" s="216" t="s">
        <v>7477</v>
      </c>
      <c r="B5739" s="218">
        <v>1</v>
      </c>
      <c r="C5739" s="220" t="s">
        <v>7478</v>
      </c>
      <c r="D5739" s="220" t="s">
        <v>53</v>
      </c>
      <c r="E5739" s="165">
        <v>135</v>
      </c>
    </row>
    <row r="5740" spans="1:5" x14ac:dyDescent="0.25">
      <c r="A5740" s="216" t="s">
        <v>7861</v>
      </c>
      <c r="B5740" s="218">
        <v>1</v>
      </c>
      <c r="C5740" s="220" t="s">
        <v>3390</v>
      </c>
      <c r="D5740" s="220" t="s">
        <v>50</v>
      </c>
      <c r="E5740" s="165">
        <v>135</v>
      </c>
    </row>
    <row r="5741" spans="1:5" x14ac:dyDescent="0.25">
      <c r="A5741" s="216" t="s">
        <v>8080</v>
      </c>
      <c r="B5741" s="218">
        <v>1</v>
      </c>
      <c r="C5741" s="220" t="s">
        <v>8081</v>
      </c>
      <c r="D5741" s="220" t="s">
        <v>177</v>
      </c>
      <c r="E5741" s="165">
        <v>135</v>
      </c>
    </row>
    <row r="5742" spans="1:5" x14ac:dyDescent="0.25">
      <c r="A5742" s="216" t="s">
        <v>7482</v>
      </c>
      <c r="B5742" s="218">
        <v>1</v>
      </c>
      <c r="C5742" s="220" t="s">
        <v>7483</v>
      </c>
      <c r="D5742" s="220" t="s">
        <v>53</v>
      </c>
      <c r="E5742" s="165">
        <v>135</v>
      </c>
    </row>
    <row r="5743" spans="1:5" x14ac:dyDescent="0.25">
      <c r="A5743" s="216" t="s">
        <v>7583</v>
      </c>
      <c r="B5743" s="218">
        <v>1</v>
      </c>
      <c r="C5743" s="220" t="s">
        <v>7584</v>
      </c>
      <c r="D5743" s="220" t="s">
        <v>7585</v>
      </c>
      <c r="E5743" s="165">
        <v>135</v>
      </c>
    </row>
    <row r="5744" spans="1:5" x14ac:dyDescent="0.25">
      <c r="A5744" s="216" t="s">
        <v>7724</v>
      </c>
      <c r="B5744" s="218">
        <v>1</v>
      </c>
      <c r="C5744" s="220" t="s">
        <v>185</v>
      </c>
      <c r="D5744" s="220" t="s">
        <v>87</v>
      </c>
      <c r="E5744" s="165">
        <v>135</v>
      </c>
    </row>
    <row r="5745" spans="1:5" x14ac:dyDescent="0.25">
      <c r="A5745" s="216" t="s">
        <v>7088</v>
      </c>
      <c r="B5745" s="218" t="s">
        <v>48</v>
      </c>
      <c r="C5745" s="220" t="s">
        <v>4325</v>
      </c>
      <c r="D5745" s="220" t="s">
        <v>93</v>
      </c>
      <c r="E5745" s="165">
        <v>135</v>
      </c>
    </row>
    <row r="5746" spans="1:5" x14ac:dyDescent="0.25">
      <c r="A5746" s="216" t="s">
        <v>7950</v>
      </c>
      <c r="B5746" s="218">
        <v>1</v>
      </c>
      <c r="C5746" s="220" t="s">
        <v>4572</v>
      </c>
      <c r="D5746" s="220" t="s">
        <v>72</v>
      </c>
      <c r="E5746" s="165">
        <v>134</v>
      </c>
    </row>
    <row r="5747" spans="1:5" x14ac:dyDescent="0.25">
      <c r="A5747" s="216" t="s">
        <v>7591</v>
      </c>
      <c r="B5747" s="218">
        <v>1</v>
      </c>
      <c r="C5747" s="220" t="s">
        <v>138</v>
      </c>
      <c r="D5747" s="220" t="s">
        <v>139</v>
      </c>
      <c r="E5747" s="165">
        <v>134</v>
      </c>
    </row>
    <row r="5748" spans="1:5" x14ac:dyDescent="0.25">
      <c r="A5748" s="216" t="s">
        <v>4711</v>
      </c>
      <c r="B5748" s="218">
        <v>1</v>
      </c>
      <c r="C5748" s="220" t="s">
        <v>4504</v>
      </c>
      <c r="D5748" s="220" t="s">
        <v>56</v>
      </c>
      <c r="E5748" s="165">
        <v>134</v>
      </c>
    </row>
    <row r="5749" spans="1:5" x14ac:dyDescent="0.25">
      <c r="A5749" s="216" t="s">
        <v>7597</v>
      </c>
      <c r="B5749" s="218">
        <v>1</v>
      </c>
      <c r="C5749" s="220" t="s">
        <v>505</v>
      </c>
      <c r="D5749" s="220" t="s">
        <v>139</v>
      </c>
      <c r="E5749" s="165">
        <v>134</v>
      </c>
    </row>
    <row r="5750" spans="1:5" x14ac:dyDescent="0.25">
      <c r="A5750" s="216" t="s">
        <v>6963</v>
      </c>
      <c r="B5750" s="218" t="s">
        <v>48</v>
      </c>
      <c r="C5750" s="220" t="s">
        <v>6964</v>
      </c>
      <c r="D5750" s="220" t="s">
        <v>585</v>
      </c>
      <c r="E5750" s="165">
        <v>134</v>
      </c>
    </row>
    <row r="5751" spans="1:5" x14ac:dyDescent="0.25">
      <c r="A5751" s="216" t="s">
        <v>8013</v>
      </c>
      <c r="B5751" s="218">
        <v>1</v>
      </c>
      <c r="C5751" s="220" t="s">
        <v>3035</v>
      </c>
      <c r="D5751" s="220" t="s">
        <v>192</v>
      </c>
      <c r="E5751" s="165">
        <v>134</v>
      </c>
    </row>
    <row r="5752" spans="1:5" x14ac:dyDescent="0.25">
      <c r="A5752" s="216" t="s">
        <v>9605</v>
      </c>
      <c r="B5752" s="218">
        <v>1</v>
      </c>
      <c r="C5752" s="220" t="s">
        <v>1283</v>
      </c>
      <c r="D5752" s="220" t="s">
        <v>72</v>
      </c>
      <c r="E5752" s="165">
        <v>134</v>
      </c>
    </row>
    <row r="5753" spans="1:5" x14ac:dyDescent="0.25">
      <c r="A5753" s="216" t="s">
        <v>7723</v>
      </c>
      <c r="B5753" s="218" t="s">
        <v>48</v>
      </c>
      <c r="C5753" s="220" t="s">
        <v>966</v>
      </c>
      <c r="D5753" s="220" t="s">
        <v>82</v>
      </c>
      <c r="E5753" s="165">
        <v>134</v>
      </c>
    </row>
    <row r="5754" spans="1:5" x14ac:dyDescent="0.25">
      <c r="A5754" s="216" t="s">
        <v>7841</v>
      </c>
      <c r="B5754" s="218">
        <v>1</v>
      </c>
      <c r="C5754" s="220" t="s">
        <v>7842</v>
      </c>
      <c r="D5754" s="220" t="s">
        <v>142</v>
      </c>
      <c r="E5754" s="165">
        <v>134</v>
      </c>
    </row>
    <row r="5755" spans="1:5" x14ac:dyDescent="0.25">
      <c r="A5755" s="216" t="s">
        <v>11469</v>
      </c>
      <c r="B5755" s="218" t="s">
        <v>48</v>
      </c>
      <c r="C5755" s="220" t="s">
        <v>5958</v>
      </c>
      <c r="D5755" s="220" t="s">
        <v>188</v>
      </c>
      <c r="E5755" s="165">
        <v>134</v>
      </c>
    </row>
    <row r="5756" spans="1:5" x14ac:dyDescent="0.25">
      <c r="A5756" s="216" t="s">
        <v>7575</v>
      </c>
      <c r="B5756" s="218">
        <v>1</v>
      </c>
      <c r="C5756" s="220" t="s">
        <v>498</v>
      </c>
      <c r="D5756" s="220" t="s">
        <v>75</v>
      </c>
      <c r="E5756" s="165">
        <v>134</v>
      </c>
    </row>
    <row r="5757" spans="1:5" x14ac:dyDescent="0.25">
      <c r="A5757" s="216" t="s">
        <v>7960</v>
      </c>
      <c r="B5757" s="218">
        <v>1</v>
      </c>
      <c r="C5757" s="220" t="s">
        <v>2854</v>
      </c>
      <c r="D5757" s="220" t="s">
        <v>72</v>
      </c>
      <c r="E5757" s="165">
        <v>134</v>
      </c>
    </row>
    <row r="5758" spans="1:5" x14ac:dyDescent="0.25">
      <c r="A5758" s="216" t="s">
        <v>9593</v>
      </c>
      <c r="B5758" s="218">
        <v>1</v>
      </c>
      <c r="C5758" s="220" t="s">
        <v>115</v>
      </c>
      <c r="D5758" s="220" t="s">
        <v>50</v>
      </c>
      <c r="E5758" s="165">
        <v>134</v>
      </c>
    </row>
    <row r="5759" spans="1:5" x14ac:dyDescent="0.25">
      <c r="A5759" s="216" t="s">
        <v>11470</v>
      </c>
      <c r="B5759" s="218">
        <v>1</v>
      </c>
      <c r="C5759" s="220" t="s">
        <v>283</v>
      </c>
      <c r="D5759" s="220" t="s">
        <v>59</v>
      </c>
      <c r="E5759" s="165">
        <v>133</v>
      </c>
    </row>
    <row r="5760" spans="1:5" x14ac:dyDescent="0.25">
      <c r="A5760" s="216" t="s">
        <v>8295</v>
      </c>
      <c r="B5760" s="218" t="s">
        <v>48</v>
      </c>
      <c r="C5760" s="220" t="s">
        <v>8296</v>
      </c>
      <c r="D5760" s="220" t="s">
        <v>90</v>
      </c>
      <c r="E5760" s="165">
        <v>133</v>
      </c>
    </row>
    <row r="5761" spans="1:5" x14ac:dyDescent="0.25">
      <c r="A5761" s="216" t="s">
        <v>6205</v>
      </c>
      <c r="B5761" s="218">
        <v>1</v>
      </c>
      <c r="C5761" s="220" t="s">
        <v>3357</v>
      </c>
      <c r="D5761" s="220" t="s">
        <v>53</v>
      </c>
      <c r="E5761" s="165">
        <v>133</v>
      </c>
    </row>
    <row r="5762" spans="1:5" x14ac:dyDescent="0.25">
      <c r="A5762" s="216" t="s">
        <v>7848</v>
      </c>
      <c r="B5762" s="218">
        <v>1</v>
      </c>
      <c r="C5762" s="220" t="s">
        <v>6717</v>
      </c>
      <c r="D5762" s="220" t="s">
        <v>774</v>
      </c>
      <c r="E5762" s="165">
        <v>133</v>
      </c>
    </row>
    <row r="5763" spans="1:5" x14ac:dyDescent="0.25">
      <c r="A5763" s="216" t="s">
        <v>4524</v>
      </c>
      <c r="B5763" s="218">
        <v>1</v>
      </c>
      <c r="C5763" s="220" t="s">
        <v>4525</v>
      </c>
      <c r="D5763" s="220" t="s">
        <v>87</v>
      </c>
      <c r="E5763" s="165">
        <v>133</v>
      </c>
    </row>
    <row r="5764" spans="1:5" x14ac:dyDescent="0.25">
      <c r="A5764" s="216" t="s">
        <v>7096</v>
      </c>
      <c r="B5764" s="218" t="s">
        <v>48</v>
      </c>
      <c r="C5764" s="220" t="s">
        <v>4209</v>
      </c>
      <c r="D5764" s="220" t="s">
        <v>90</v>
      </c>
      <c r="E5764" s="165">
        <v>133</v>
      </c>
    </row>
    <row r="5765" spans="1:5" x14ac:dyDescent="0.25">
      <c r="A5765" s="216" t="s">
        <v>7051</v>
      </c>
      <c r="B5765" s="218">
        <v>1</v>
      </c>
      <c r="C5765" s="220" t="s">
        <v>684</v>
      </c>
      <c r="D5765" s="220" t="s">
        <v>201</v>
      </c>
      <c r="E5765" s="165">
        <v>133</v>
      </c>
    </row>
    <row r="5766" spans="1:5" x14ac:dyDescent="0.25">
      <c r="A5766" s="216" t="s">
        <v>6903</v>
      </c>
      <c r="B5766" s="218" t="s">
        <v>48</v>
      </c>
      <c r="C5766" s="220" t="s">
        <v>3681</v>
      </c>
      <c r="D5766" s="220" t="s">
        <v>90</v>
      </c>
      <c r="E5766" s="165">
        <v>133</v>
      </c>
    </row>
    <row r="5767" spans="1:5" x14ac:dyDescent="0.25">
      <c r="A5767" s="216" t="s">
        <v>7540</v>
      </c>
      <c r="B5767" s="218" t="s">
        <v>48</v>
      </c>
      <c r="C5767" s="220" t="s">
        <v>505</v>
      </c>
      <c r="D5767" s="220" t="s">
        <v>139</v>
      </c>
      <c r="E5767" s="165">
        <v>133</v>
      </c>
    </row>
    <row r="5768" spans="1:5" x14ac:dyDescent="0.25">
      <c r="A5768" s="216" t="s">
        <v>8029</v>
      </c>
      <c r="B5768" s="218">
        <v>1</v>
      </c>
      <c r="C5768" s="220" t="s">
        <v>768</v>
      </c>
      <c r="D5768" s="220" t="s">
        <v>264</v>
      </c>
      <c r="E5768" s="165">
        <v>133</v>
      </c>
    </row>
    <row r="5769" spans="1:5" x14ac:dyDescent="0.25">
      <c r="A5769" s="216" t="s">
        <v>11471</v>
      </c>
      <c r="B5769" s="218">
        <v>1</v>
      </c>
      <c r="C5769" s="220" t="s">
        <v>11472</v>
      </c>
      <c r="D5769" s="220" t="s">
        <v>192</v>
      </c>
      <c r="E5769" s="165">
        <v>133</v>
      </c>
    </row>
    <row r="5770" spans="1:5" x14ac:dyDescent="0.25">
      <c r="A5770" s="216" t="s">
        <v>11306</v>
      </c>
      <c r="B5770" s="218">
        <v>1</v>
      </c>
      <c r="C5770" s="220" t="s">
        <v>263</v>
      </c>
      <c r="D5770" s="220" t="s">
        <v>264</v>
      </c>
      <c r="E5770" s="165">
        <v>133</v>
      </c>
    </row>
    <row r="5771" spans="1:5" x14ac:dyDescent="0.25">
      <c r="A5771" s="216" t="s">
        <v>8127</v>
      </c>
      <c r="B5771" s="218">
        <v>1</v>
      </c>
      <c r="C5771" s="220" t="s">
        <v>8128</v>
      </c>
      <c r="D5771" s="220" t="s">
        <v>56</v>
      </c>
      <c r="E5771" s="165">
        <v>133</v>
      </c>
    </row>
    <row r="5772" spans="1:5" x14ac:dyDescent="0.25">
      <c r="A5772" s="216" t="s">
        <v>8011</v>
      </c>
      <c r="B5772" s="218">
        <v>1</v>
      </c>
      <c r="C5772" s="220" t="s">
        <v>8012</v>
      </c>
      <c r="D5772" s="220" t="s">
        <v>66</v>
      </c>
      <c r="E5772" s="165">
        <v>133</v>
      </c>
    </row>
    <row r="5773" spans="1:5" x14ac:dyDescent="0.25">
      <c r="A5773" s="216" t="s">
        <v>11473</v>
      </c>
      <c r="B5773" s="218">
        <v>1</v>
      </c>
      <c r="C5773" s="220" t="s">
        <v>11474</v>
      </c>
      <c r="D5773" s="220" t="s">
        <v>188</v>
      </c>
      <c r="E5773" s="165">
        <v>133</v>
      </c>
    </row>
    <row r="5774" spans="1:5" x14ac:dyDescent="0.25">
      <c r="A5774" s="216" t="s">
        <v>7953</v>
      </c>
      <c r="B5774" s="218">
        <v>1</v>
      </c>
      <c r="C5774" s="220" t="s">
        <v>270</v>
      </c>
      <c r="D5774" s="220" t="s">
        <v>177</v>
      </c>
      <c r="E5774" s="165">
        <v>133</v>
      </c>
    </row>
    <row r="5775" spans="1:5" x14ac:dyDescent="0.25">
      <c r="A5775" s="216" t="s">
        <v>7956</v>
      </c>
      <c r="B5775" s="218">
        <v>1</v>
      </c>
      <c r="C5775" s="220" t="s">
        <v>2587</v>
      </c>
      <c r="D5775" s="220" t="s">
        <v>56</v>
      </c>
      <c r="E5775" s="165">
        <v>133</v>
      </c>
    </row>
    <row r="5776" spans="1:5" x14ac:dyDescent="0.25">
      <c r="A5776" s="216" t="s">
        <v>8130</v>
      </c>
      <c r="B5776" s="218">
        <v>1</v>
      </c>
      <c r="C5776" s="220" t="s">
        <v>4504</v>
      </c>
      <c r="D5776" s="220" t="s">
        <v>56</v>
      </c>
      <c r="E5776" s="165">
        <v>133</v>
      </c>
    </row>
    <row r="5777" spans="1:5" x14ac:dyDescent="0.25">
      <c r="A5777" s="216" t="s">
        <v>11475</v>
      </c>
      <c r="B5777" s="218">
        <v>1</v>
      </c>
      <c r="C5777" s="220" t="s">
        <v>11476</v>
      </c>
      <c r="D5777" s="220" t="s">
        <v>66</v>
      </c>
      <c r="E5777" s="165">
        <v>132</v>
      </c>
    </row>
    <row r="5778" spans="1:5" x14ac:dyDescent="0.25">
      <c r="A5778" s="216" t="s">
        <v>7474</v>
      </c>
      <c r="B5778" s="218">
        <v>1</v>
      </c>
      <c r="C5778" s="220" t="s">
        <v>2056</v>
      </c>
      <c r="D5778" s="220" t="s">
        <v>50</v>
      </c>
      <c r="E5778" s="165">
        <v>132</v>
      </c>
    </row>
    <row r="5779" spans="1:5" x14ac:dyDescent="0.25">
      <c r="A5779" s="216" t="s">
        <v>7050</v>
      </c>
      <c r="B5779" s="218" t="s">
        <v>48</v>
      </c>
      <c r="C5779" s="220" t="s">
        <v>1305</v>
      </c>
      <c r="D5779" s="220" t="s">
        <v>206</v>
      </c>
      <c r="E5779" s="165">
        <v>132</v>
      </c>
    </row>
    <row r="5780" spans="1:5" x14ac:dyDescent="0.25">
      <c r="A5780" s="216" t="s">
        <v>11477</v>
      </c>
      <c r="B5780" s="218">
        <v>1</v>
      </c>
      <c r="C5780" s="220" t="s">
        <v>287</v>
      </c>
      <c r="D5780" s="220" t="s">
        <v>82</v>
      </c>
      <c r="E5780" s="165">
        <v>132</v>
      </c>
    </row>
    <row r="5781" spans="1:5" x14ac:dyDescent="0.25">
      <c r="A5781" s="216" t="s">
        <v>11478</v>
      </c>
      <c r="B5781" s="218">
        <v>1</v>
      </c>
      <c r="C5781" s="220" t="s">
        <v>11479</v>
      </c>
      <c r="D5781" s="220" t="s">
        <v>139</v>
      </c>
      <c r="E5781" s="165">
        <v>132</v>
      </c>
    </row>
    <row r="5782" spans="1:5" x14ac:dyDescent="0.25">
      <c r="A5782" s="216" t="s">
        <v>8595</v>
      </c>
      <c r="B5782" s="218" t="s">
        <v>48</v>
      </c>
      <c r="C5782" s="220" t="s">
        <v>5283</v>
      </c>
      <c r="D5782" s="220" t="s">
        <v>139</v>
      </c>
      <c r="E5782" s="165">
        <v>132</v>
      </c>
    </row>
    <row r="5783" spans="1:5" x14ac:dyDescent="0.25">
      <c r="A5783" s="216" t="s">
        <v>8034</v>
      </c>
      <c r="B5783" s="218">
        <v>1</v>
      </c>
      <c r="C5783" s="220" t="s">
        <v>845</v>
      </c>
      <c r="D5783" s="220" t="s">
        <v>66</v>
      </c>
      <c r="E5783" s="165">
        <v>132</v>
      </c>
    </row>
    <row r="5784" spans="1:5" x14ac:dyDescent="0.25">
      <c r="A5784" s="216" t="s">
        <v>7915</v>
      </c>
      <c r="B5784" s="218">
        <v>1</v>
      </c>
      <c r="C5784" s="220" t="s">
        <v>6763</v>
      </c>
      <c r="D5784" s="220" t="s">
        <v>277</v>
      </c>
      <c r="E5784" s="165">
        <v>132</v>
      </c>
    </row>
    <row r="5785" spans="1:5" x14ac:dyDescent="0.25">
      <c r="A5785" s="216" t="s">
        <v>5152</v>
      </c>
      <c r="B5785" s="218">
        <v>1</v>
      </c>
      <c r="C5785" s="220" t="s">
        <v>877</v>
      </c>
      <c r="D5785" s="220" t="s">
        <v>63</v>
      </c>
      <c r="E5785" s="165">
        <v>132</v>
      </c>
    </row>
    <row r="5786" spans="1:5" x14ac:dyDescent="0.25">
      <c r="A5786" s="216" t="s">
        <v>7121</v>
      </c>
      <c r="B5786" s="218" t="s">
        <v>48</v>
      </c>
      <c r="C5786" s="220" t="s">
        <v>3342</v>
      </c>
      <c r="D5786" s="220" t="s">
        <v>90</v>
      </c>
      <c r="E5786" s="165">
        <v>132</v>
      </c>
    </row>
    <row r="5787" spans="1:5" x14ac:dyDescent="0.25">
      <c r="A5787" s="216" t="s">
        <v>7642</v>
      </c>
      <c r="B5787" s="218">
        <v>1</v>
      </c>
      <c r="C5787" s="220" t="s">
        <v>7643</v>
      </c>
      <c r="D5787" s="220" t="s">
        <v>72</v>
      </c>
      <c r="E5787" s="165">
        <v>132</v>
      </c>
    </row>
    <row r="5788" spans="1:5" x14ac:dyDescent="0.25">
      <c r="A5788" s="216" t="s">
        <v>11480</v>
      </c>
      <c r="B5788" s="218" t="s">
        <v>48</v>
      </c>
      <c r="C5788" s="220" t="s">
        <v>483</v>
      </c>
      <c r="D5788" s="220" t="s">
        <v>56</v>
      </c>
      <c r="E5788" s="165">
        <v>132</v>
      </c>
    </row>
    <row r="5789" spans="1:5" x14ac:dyDescent="0.25">
      <c r="A5789" s="216" t="s">
        <v>6574</v>
      </c>
      <c r="B5789" s="218" t="s">
        <v>48</v>
      </c>
      <c r="C5789" s="220" t="s">
        <v>1293</v>
      </c>
      <c r="D5789" s="220" t="s">
        <v>166</v>
      </c>
      <c r="E5789" s="165">
        <v>131</v>
      </c>
    </row>
    <row r="5790" spans="1:5" x14ac:dyDescent="0.25">
      <c r="A5790" s="216" t="s">
        <v>8185</v>
      </c>
      <c r="B5790" s="218">
        <v>1</v>
      </c>
      <c r="C5790" s="220" t="s">
        <v>8186</v>
      </c>
      <c r="D5790" s="220" t="s">
        <v>188</v>
      </c>
      <c r="E5790" s="165">
        <v>131</v>
      </c>
    </row>
    <row r="5791" spans="1:5" x14ac:dyDescent="0.25">
      <c r="A5791" s="216" t="s">
        <v>11481</v>
      </c>
      <c r="B5791" s="218">
        <v>1</v>
      </c>
      <c r="C5791" s="220" t="s">
        <v>5281</v>
      </c>
      <c r="D5791" s="220" t="s">
        <v>774</v>
      </c>
      <c r="E5791" s="165">
        <v>131</v>
      </c>
    </row>
    <row r="5792" spans="1:5" x14ac:dyDescent="0.25">
      <c r="A5792" s="216" t="s">
        <v>7907</v>
      </c>
      <c r="B5792" s="218">
        <v>1</v>
      </c>
      <c r="C5792" s="220" t="s">
        <v>962</v>
      </c>
      <c r="D5792" s="220" t="s">
        <v>236</v>
      </c>
      <c r="E5792" s="165">
        <v>131</v>
      </c>
    </row>
    <row r="5793" spans="1:5" x14ac:dyDescent="0.25">
      <c r="A5793" s="216" t="s">
        <v>7908</v>
      </c>
      <c r="B5793" s="218">
        <v>1</v>
      </c>
      <c r="C5793" s="220" t="s">
        <v>7909</v>
      </c>
      <c r="D5793" s="220" t="s">
        <v>236</v>
      </c>
      <c r="E5793" s="165">
        <v>131</v>
      </c>
    </row>
    <row r="5794" spans="1:5" x14ac:dyDescent="0.25">
      <c r="A5794" s="216" t="s">
        <v>8818</v>
      </c>
      <c r="B5794" s="218" t="s">
        <v>48</v>
      </c>
      <c r="C5794" s="220" t="s">
        <v>6714</v>
      </c>
      <c r="D5794" s="220" t="s">
        <v>130</v>
      </c>
      <c r="E5794" s="165">
        <v>131</v>
      </c>
    </row>
    <row r="5795" spans="1:5" x14ac:dyDescent="0.25">
      <c r="A5795" s="216" t="s">
        <v>7910</v>
      </c>
      <c r="B5795" s="218" t="s">
        <v>48</v>
      </c>
      <c r="C5795" s="220" t="s">
        <v>58</v>
      </c>
      <c r="D5795" s="220" t="s">
        <v>59</v>
      </c>
      <c r="E5795" s="165">
        <v>131</v>
      </c>
    </row>
    <row r="5796" spans="1:5" x14ac:dyDescent="0.25">
      <c r="A5796" s="216" t="s">
        <v>11482</v>
      </c>
      <c r="B5796" s="218">
        <v>1</v>
      </c>
      <c r="C5796" s="220" t="s">
        <v>11483</v>
      </c>
      <c r="D5796" s="220" t="s">
        <v>113</v>
      </c>
      <c r="E5796" s="165">
        <v>131</v>
      </c>
    </row>
    <row r="5797" spans="1:5" x14ac:dyDescent="0.25">
      <c r="A5797" s="216" t="s">
        <v>11484</v>
      </c>
      <c r="B5797" s="218">
        <v>1</v>
      </c>
      <c r="C5797" s="220" t="s">
        <v>11485</v>
      </c>
      <c r="D5797" s="220" t="s">
        <v>87</v>
      </c>
      <c r="E5797" s="165">
        <v>131</v>
      </c>
    </row>
    <row r="5798" spans="1:5" x14ac:dyDescent="0.25">
      <c r="A5798" s="216" t="s">
        <v>11486</v>
      </c>
      <c r="B5798" s="218">
        <v>1</v>
      </c>
      <c r="C5798" s="220" t="s">
        <v>1266</v>
      </c>
      <c r="D5798" s="220" t="s">
        <v>166</v>
      </c>
      <c r="E5798" s="165">
        <v>131</v>
      </c>
    </row>
    <row r="5799" spans="1:5" x14ac:dyDescent="0.25">
      <c r="A5799" s="216" t="s">
        <v>7701</v>
      </c>
      <c r="B5799" s="218">
        <v>1</v>
      </c>
      <c r="C5799" s="220" t="s">
        <v>7702</v>
      </c>
      <c r="D5799" s="220" t="s">
        <v>139</v>
      </c>
      <c r="E5799" s="165">
        <v>131</v>
      </c>
    </row>
    <row r="5800" spans="1:5" x14ac:dyDescent="0.25">
      <c r="A5800" s="216" t="s">
        <v>8225</v>
      </c>
      <c r="B5800" s="218">
        <v>1</v>
      </c>
      <c r="C5800" s="220" t="s">
        <v>3563</v>
      </c>
      <c r="D5800" s="220" t="s">
        <v>139</v>
      </c>
      <c r="E5800" s="165">
        <v>130</v>
      </c>
    </row>
    <row r="5801" spans="1:5" x14ac:dyDescent="0.25">
      <c r="A5801" s="216" t="s">
        <v>8226</v>
      </c>
      <c r="B5801" s="218">
        <v>1</v>
      </c>
      <c r="C5801" s="220" t="s">
        <v>1300</v>
      </c>
      <c r="D5801" s="220" t="s">
        <v>139</v>
      </c>
      <c r="E5801" s="165">
        <v>130</v>
      </c>
    </row>
    <row r="5802" spans="1:5" x14ac:dyDescent="0.25">
      <c r="A5802" s="216" t="s">
        <v>7465</v>
      </c>
      <c r="B5802" s="218" t="s">
        <v>48</v>
      </c>
      <c r="C5802" s="220" t="s">
        <v>4346</v>
      </c>
      <c r="D5802" s="220" t="s">
        <v>75</v>
      </c>
      <c r="E5802" s="165">
        <v>130</v>
      </c>
    </row>
    <row r="5803" spans="1:5" x14ac:dyDescent="0.25">
      <c r="A5803" s="216" t="s">
        <v>6967</v>
      </c>
      <c r="B5803" s="218" t="s">
        <v>48</v>
      </c>
      <c r="C5803" s="220" t="s">
        <v>1516</v>
      </c>
      <c r="D5803" s="220" t="s">
        <v>177</v>
      </c>
      <c r="E5803" s="165">
        <v>130</v>
      </c>
    </row>
    <row r="5804" spans="1:5" x14ac:dyDescent="0.25">
      <c r="A5804" s="216" t="s">
        <v>8231</v>
      </c>
      <c r="B5804" s="218">
        <v>1</v>
      </c>
      <c r="C5804" s="220" t="s">
        <v>8232</v>
      </c>
      <c r="D5804" s="220" t="s">
        <v>63</v>
      </c>
      <c r="E5804" s="165">
        <v>130</v>
      </c>
    </row>
    <row r="5805" spans="1:5" x14ac:dyDescent="0.25">
      <c r="A5805" s="216" t="s">
        <v>7886</v>
      </c>
      <c r="B5805" s="218">
        <v>1</v>
      </c>
      <c r="C5805" s="220" t="s">
        <v>7887</v>
      </c>
      <c r="D5805" s="220" t="s">
        <v>108</v>
      </c>
      <c r="E5805" s="165">
        <v>130</v>
      </c>
    </row>
    <row r="5806" spans="1:5" x14ac:dyDescent="0.25">
      <c r="A5806" s="216" t="s">
        <v>7994</v>
      </c>
      <c r="B5806" s="218">
        <v>1</v>
      </c>
      <c r="C5806" s="220" t="s">
        <v>7995</v>
      </c>
      <c r="D5806" s="220" t="s">
        <v>98</v>
      </c>
      <c r="E5806" s="165">
        <v>130</v>
      </c>
    </row>
    <row r="5807" spans="1:5" x14ac:dyDescent="0.25">
      <c r="A5807" s="216" t="s">
        <v>8073</v>
      </c>
      <c r="B5807" s="218">
        <v>1</v>
      </c>
      <c r="C5807" s="220" t="s">
        <v>86</v>
      </c>
      <c r="D5807" s="220" t="s">
        <v>98</v>
      </c>
      <c r="E5807" s="165">
        <v>130</v>
      </c>
    </row>
    <row r="5808" spans="1:5" x14ac:dyDescent="0.25">
      <c r="A5808" s="216" t="s">
        <v>6566</v>
      </c>
      <c r="B5808" s="218" t="s">
        <v>48</v>
      </c>
      <c r="C5808" s="220" t="s">
        <v>283</v>
      </c>
      <c r="D5808" s="220" t="s">
        <v>59</v>
      </c>
      <c r="E5808" s="165">
        <v>130</v>
      </c>
    </row>
    <row r="5809" spans="1:5" x14ac:dyDescent="0.25">
      <c r="A5809" s="216" t="s">
        <v>8153</v>
      </c>
      <c r="B5809" s="218">
        <v>1</v>
      </c>
      <c r="C5809" s="220" t="s">
        <v>8154</v>
      </c>
      <c r="D5809" s="220" t="s">
        <v>177</v>
      </c>
      <c r="E5809" s="165">
        <v>130</v>
      </c>
    </row>
    <row r="5810" spans="1:5" x14ac:dyDescent="0.25">
      <c r="A5810" s="216" t="s">
        <v>8097</v>
      </c>
      <c r="B5810" s="218" t="s">
        <v>48</v>
      </c>
      <c r="C5810" s="220" t="s">
        <v>49</v>
      </c>
      <c r="D5810" s="220" t="s">
        <v>50</v>
      </c>
      <c r="E5810" s="165">
        <v>130</v>
      </c>
    </row>
    <row r="5811" spans="1:5" x14ac:dyDescent="0.25">
      <c r="A5811" s="216" t="s">
        <v>8117</v>
      </c>
      <c r="B5811" s="218">
        <v>1</v>
      </c>
      <c r="C5811" s="220" t="s">
        <v>419</v>
      </c>
      <c r="D5811" s="220" t="s">
        <v>63</v>
      </c>
      <c r="E5811" s="165">
        <v>130</v>
      </c>
    </row>
    <row r="5812" spans="1:5" x14ac:dyDescent="0.25">
      <c r="A5812" s="216" t="s">
        <v>10821</v>
      </c>
      <c r="B5812" s="218" t="s">
        <v>48</v>
      </c>
      <c r="C5812" s="220" t="s">
        <v>1469</v>
      </c>
      <c r="D5812" s="220" t="s">
        <v>98</v>
      </c>
      <c r="E5812" s="165">
        <v>130</v>
      </c>
    </row>
    <row r="5813" spans="1:5" x14ac:dyDescent="0.25">
      <c r="A5813" s="216" t="s">
        <v>6222</v>
      </c>
      <c r="B5813" s="218" t="s">
        <v>48</v>
      </c>
      <c r="C5813" s="220" t="s">
        <v>6223</v>
      </c>
      <c r="D5813" s="220" t="s">
        <v>90</v>
      </c>
      <c r="E5813" s="165">
        <v>130</v>
      </c>
    </row>
    <row r="5814" spans="1:5" x14ac:dyDescent="0.25">
      <c r="A5814" s="216" t="s">
        <v>8090</v>
      </c>
      <c r="B5814" s="218">
        <v>1</v>
      </c>
      <c r="C5814" s="220" t="s">
        <v>4172</v>
      </c>
      <c r="D5814" s="220" t="s">
        <v>98</v>
      </c>
      <c r="E5814" s="165">
        <v>130</v>
      </c>
    </row>
    <row r="5815" spans="1:5" x14ac:dyDescent="0.25">
      <c r="A5815" s="216" t="s">
        <v>8091</v>
      </c>
      <c r="B5815" s="218">
        <v>1</v>
      </c>
      <c r="C5815" s="220" t="s">
        <v>1365</v>
      </c>
      <c r="D5815" s="220" t="s">
        <v>192</v>
      </c>
      <c r="E5815" s="165">
        <v>130</v>
      </c>
    </row>
    <row r="5816" spans="1:5" x14ac:dyDescent="0.25">
      <c r="A5816" s="216" t="s">
        <v>7466</v>
      </c>
      <c r="B5816" s="218" t="s">
        <v>48</v>
      </c>
      <c r="C5816" s="220" t="s">
        <v>230</v>
      </c>
      <c r="D5816" s="220" t="s">
        <v>90</v>
      </c>
      <c r="E5816" s="165">
        <v>129</v>
      </c>
    </row>
    <row r="5817" spans="1:5" x14ac:dyDescent="0.25">
      <c r="A5817" s="216" t="s">
        <v>8143</v>
      </c>
      <c r="B5817" s="218">
        <v>1</v>
      </c>
      <c r="C5817" s="220" t="s">
        <v>285</v>
      </c>
      <c r="D5817" s="220" t="s">
        <v>50</v>
      </c>
      <c r="E5817" s="165">
        <v>129</v>
      </c>
    </row>
    <row r="5818" spans="1:5" x14ac:dyDescent="0.25">
      <c r="A5818" s="216" t="s">
        <v>8145</v>
      </c>
      <c r="B5818" s="218">
        <v>1</v>
      </c>
      <c r="C5818" s="220" t="s">
        <v>3697</v>
      </c>
      <c r="D5818" s="220" t="s">
        <v>50</v>
      </c>
      <c r="E5818" s="165">
        <v>129</v>
      </c>
    </row>
    <row r="5819" spans="1:5" x14ac:dyDescent="0.25">
      <c r="A5819" s="216" t="s">
        <v>8041</v>
      </c>
      <c r="B5819" s="218">
        <v>1</v>
      </c>
      <c r="C5819" s="220" t="s">
        <v>1573</v>
      </c>
      <c r="D5819" s="220" t="s">
        <v>56</v>
      </c>
      <c r="E5819" s="165">
        <v>129</v>
      </c>
    </row>
    <row r="5820" spans="1:5" x14ac:dyDescent="0.25">
      <c r="A5820" s="216" t="s">
        <v>7501</v>
      </c>
      <c r="B5820" s="218">
        <v>1</v>
      </c>
      <c r="C5820" s="220" t="s">
        <v>1103</v>
      </c>
      <c r="D5820" s="220" t="s">
        <v>277</v>
      </c>
      <c r="E5820" s="165">
        <v>129</v>
      </c>
    </row>
    <row r="5821" spans="1:5" x14ac:dyDescent="0.25">
      <c r="A5821" s="216" t="s">
        <v>7244</v>
      </c>
      <c r="B5821" s="218">
        <v>1</v>
      </c>
      <c r="C5821" s="220" t="s">
        <v>7245</v>
      </c>
      <c r="D5821" s="220" t="s">
        <v>90</v>
      </c>
      <c r="E5821" s="165">
        <v>129</v>
      </c>
    </row>
    <row r="5822" spans="1:5" x14ac:dyDescent="0.25">
      <c r="A5822" s="216" t="s">
        <v>11487</v>
      </c>
      <c r="B5822" s="218">
        <v>1</v>
      </c>
      <c r="C5822" s="220" t="s">
        <v>11488</v>
      </c>
      <c r="D5822" s="220" t="s">
        <v>394</v>
      </c>
      <c r="E5822" s="165">
        <v>129</v>
      </c>
    </row>
    <row r="5823" spans="1:5" x14ac:dyDescent="0.25">
      <c r="A5823" s="216" t="s">
        <v>7904</v>
      </c>
      <c r="B5823" s="218">
        <v>1</v>
      </c>
      <c r="C5823" s="220" t="s">
        <v>1411</v>
      </c>
      <c r="D5823" s="220" t="s">
        <v>93</v>
      </c>
      <c r="E5823" s="165">
        <v>129</v>
      </c>
    </row>
    <row r="5824" spans="1:5" x14ac:dyDescent="0.25">
      <c r="A5824" s="216" t="s">
        <v>9424</v>
      </c>
      <c r="B5824" s="218" t="s">
        <v>48</v>
      </c>
      <c r="C5824" s="220" t="s">
        <v>9425</v>
      </c>
      <c r="D5824" s="220" t="s">
        <v>108</v>
      </c>
      <c r="E5824" s="165">
        <v>129</v>
      </c>
    </row>
    <row r="5825" spans="1:5" x14ac:dyDescent="0.25">
      <c r="A5825" s="216" t="s">
        <v>6652</v>
      </c>
      <c r="B5825" s="218">
        <v>1</v>
      </c>
      <c r="C5825" s="220" t="s">
        <v>799</v>
      </c>
      <c r="D5825" s="220" t="s">
        <v>113</v>
      </c>
      <c r="E5825" s="165">
        <v>129</v>
      </c>
    </row>
    <row r="5826" spans="1:5" x14ac:dyDescent="0.25">
      <c r="A5826" s="216" t="s">
        <v>8155</v>
      </c>
      <c r="B5826" s="218">
        <v>1</v>
      </c>
      <c r="C5826" s="220" t="s">
        <v>8156</v>
      </c>
      <c r="D5826" s="220" t="s">
        <v>50</v>
      </c>
      <c r="E5826" s="165">
        <v>129</v>
      </c>
    </row>
    <row r="5827" spans="1:5" x14ac:dyDescent="0.25">
      <c r="A5827" s="216" t="s">
        <v>8044</v>
      </c>
      <c r="B5827" s="218">
        <v>1</v>
      </c>
      <c r="C5827" s="220" t="s">
        <v>198</v>
      </c>
      <c r="D5827" s="220" t="s">
        <v>56</v>
      </c>
      <c r="E5827" s="165">
        <v>129</v>
      </c>
    </row>
    <row r="5828" spans="1:5" x14ac:dyDescent="0.25">
      <c r="A5828" s="216" t="s">
        <v>7914</v>
      </c>
      <c r="B5828" s="218">
        <v>1</v>
      </c>
      <c r="C5828" s="220" t="s">
        <v>2916</v>
      </c>
      <c r="D5828" s="220" t="s">
        <v>93</v>
      </c>
      <c r="E5828" s="165">
        <v>129</v>
      </c>
    </row>
    <row r="5829" spans="1:5" x14ac:dyDescent="0.25">
      <c r="A5829" s="216" t="s">
        <v>11489</v>
      </c>
      <c r="B5829" s="218" t="s">
        <v>48</v>
      </c>
      <c r="C5829" s="220" t="s">
        <v>11490</v>
      </c>
      <c r="D5829" s="220" t="s">
        <v>50</v>
      </c>
      <c r="E5829" s="165">
        <v>129</v>
      </c>
    </row>
    <row r="5830" spans="1:5" x14ac:dyDescent="0.25">
      <c r="A5830" s="216" t="s">
        <v>8204</v>
      </c>
      <c r="B5830" s="218" t="s">
        <v>48</v>
      </c>
      <c r="C5830" s="220" t="s">
        <v>8205</v>
      </c>
      <c r="D5830" s="220" t="s">
        <v>166</v>
      </c>
      <c r="E5830" s="165">
        <v>129</v>
      </c>
    </row>
    <row r="5831" spans="1:5" x14ac:dyDescent="0.25">
      <c r="A5831" s="216" t="s">
        <v>7777</v>
      </c>
      <c r="B5831" s="218">
        <v>1</v>
      </c>
      <c r="C5831" s="220" t="s">
        <v>7778</v>
      </c>
      <c r="D5831" s="220" t="s">
        <v>108</v>
      </c>
      <c r="E5831" s="165">
        <v>129</v>
      </c>
    </row>
    <row r="5832" spans="1:5" x14ac:dyDescent="0.25">
      <c r="A5832" s="216" t="s">
        <v>8513</v>
      </c>
      <c r="B5832" s="218" t="s">
        <v>48</v>
      </c>
      <c r="C5832" s="220" t="s">
        <v>8514</v>
      </c>
      <c r="D5832" s="220" t="s">
        <v>166</v>
      </c>
      <c r="E5832" s="165">
        <v>129</v>
      </c>
    </row>
    <row r="5833" spans="1:5" x14ac:dyDescent="0.25">
      <c r="A5833" s="216" t="s">
        <v>7875</v>
      </c>
      <c r="B5833" s="218">
        <v>1</v>
      </c>
      <c r="C5833" s="220" t="s">
        <v>7876</v>
      </c>
      <c r="D5833" s="220" t="s">
        <v>130</v>
      </c>
      <c r="E5833" s="165">
        <v>129</v>
      </c>
    </row>
    <row r="5834" spans="1:5" x14ac:dyDescent="0.25">
      <c r="A5834" s="216" t="s">
        <v>7717</v>
      </c>
      <c r="B5834" s="218">
        <v>1</v>
      </c>
      <c r="C5834" s="220" t="s">
        <v>7718</v>
      </c>
      <c r="D5834" s="220" t="s">
        <v>72</v>
      </c>
      <c r="E5834" s="165">
        <v>129</v>
      </c>
    </row>
    <row r="5835" spans="1:5" x14ac:dyDescent="0.25">
      <c r="A5835" s="216" t="s">
        <v>8207</v>
      </c>
      <c r="B5835" s="218" t="s">
        <v>48</v>
      </c>
      <c r="C5835" s="220" t="s">
        <v>235</v>
      </c>
      <c r="D5835" s="220" t="s">
        <v>394</v>
      </c>
      <c r="E5835" s="165">
        <v>128</v>
      </c>
    </row>
    <row r="5836" spans="1:5" x14ac:dyDescent="0.25">
      <c r="A5836" s="216" t="s">
        <v>9286</v>
      </c>
      <c r="B5836" s="218" t="s">
        <v>48</v>
      </c>
      <c r="C5836" s="220" t="s">
        <v>1849</v>
      </c>
      <c r="D5836" s="220" t="s">
        <v>93</v>
      </c>
      <c r="E5836" s="165">
        <v>128</v>
      </c>
    </row>
    <row r="5837" spans="1:5" x14ac:dyDescent="0.25">
      <c r="A5837" s="216" t="s">
        <v>7973</v>
      </c>
      <c r="B5837" s="218">
        <v>1</v>
      </c>
      <c r="C5837" s="220" t="s">
        <v>7974</v>
      </c>
      <c r="D5837" s="220" t="s">
        <v>50</v>
      </c>
      <c r="E5837" s="165">
        <v>128</v>
      </c>
    </row>
    <row r="5838" spans="1:5" x14ac:dyDescent="0.25">
      <c r="A5838" s="216" t="s">
        <v>8238</v>
      </c>
      <c r="B5838" s="218">
        <v>1</v>
      </c>
      <c r="C5838" s="220" t="s">
        <v>8239</v>
      </c>
      <c r="D5838" s="220" t="s">
        <v>87</v>
      </c>
      <c r="E5838" s="165">
        <v>128</v>
      </c>
    </row>
    <row r="5839" spans="1:5" x14ac:dyDescent="0.25">
      <c r="A5839" s="216" t="s">
        <v>8033</v>
      </c>
      <c r="B5839" s="218">
        <v>1</v>
      </c>
      <c r="C5839" s="220" t="s">
        <v>4590</v>
      </c>
      <c r="D5839" s="220" t="s">
        <v>56</v>
      </c>
      <c r="E5839" s="165">
        <v>128</v>
      </c>
    </row>
    <row r="5840" spans="1:5" x14ac:dyDescent="0.25">
      <c r="A5840" s="216" t="s">
        <v>8035</v>
      </c>
      <c r="B5840" s="218">
        <v>1</v>
      </c>
      <c r="C5840" s="220" t="s">
        <v>8036</v>
      </c>
      <c r="D5840" s="220" t="s">
        <v>56</v>
      </c>
      <c r="E5840" s="165">
        <v>128</v>
      </c>
    </row>
    <row r="5841" spans="1:5" x14ac:dyDescent="0.25">
      <c r="A5841" s="216" t="s">
        <v>11491</v>
      </c>
      <c r="B5841" s="218">
        <v>1</v>
      </c>
      <c r="C5841" s="220" t="s">
        <v>5845</v>
      </c>
      <c r="D5841" s="220" t="s">
        <v>277</v>
      </c>
      <c r="E5841" s="165">
        <v>128</v>
      </c>
    </row>
    <row r="5842" spans="1:5" x14ac:dyDescent="0.25">
      <c r="A5842" s="216" t="s">
        <v>6888</v>
      </c>
      <c r="B5842" s="218">
        <v>1</v>
      </c>
      <c r="C5842" s="220" t="s">
        <v>5196</v>
      </c>
      <c r="D5842" s="220" t="s">
        <v>222</v>
      </c>
      <c r="E5842" s="165">
        <v>127</v>
      </c>
    </row>
    <row r="5843" spans="1:5" x14ac:dyDescent="0.25">
      <c r="A5843" s="216" t="s">
        <v>11492</v>
      </c>
      <c r="B5843" s="218">
        <v>1</v>
      </c>
      <c r="C5843" s="220" t="s">
        <v>6682</v>
      </c>
      <c r="D5843" s="220" t="s">
        <v>50</v>
      </c>
      <c r="E5843" s="165">
        <v>127</v>
      </c>
    </row>
    <row r="5844" spans="1:5" x14ac:dyDescent="0.25">
      <c r="A5844" s="216" t="s">
        <v>8416</v>
      </c>
      <c r="B5844" s="218" t="s">
        <v>48</v>
      </c>
      <c r="C5844" s="220" t="s">
        <v>624</v>
      </c>
      <c r="D5844" s="220" t="s">
        <v>188</v>
      </c>
      <c r="E5844" s="165">
        <v>127</v>
      </c>
    </row>
    <row r="5845" spans="1:5" x14ac:dyDescent="0.25">
      <c r="A5845" s="216" t="s">
        <v>6845</v>
      </c>
      <c r="B5845" s="218">
        <v>1</v>
      </c>
      <c r="C5845" s="220" t="s">
        <v>6846</v>
      </c>
      <c r="D5845" s="220" t="s">
        <v>56</v>
      </c>
      <c r="E5845" s="165">
        <v>127</v>
      </c>
    </row>
    <row r="5846" spans="1:5" x14ac:dyDescent="0.25">
      <c r="A5846" s="216" t="s">
        <v>10047</v>
      </c>
      <c r="B5846" s="218" t="s">
        <v>48</v>
      </c>
      <c r="C5846" s="220" t="s">
        <v>9920</v>
      </c>
      <c r="D5846" s="220" t="s">
        <v>108</v>
      </c>
      <c r="E5846" s="165">
        <v>127</v>
      </c>
    </row>
    <row r="5847" spans="1:5" x14ac:dyDescent="0.25">
      <c r="A5847" s="216" t="s">
        <v>7970</v>
      </c>
      <c r="B5847" s="218" t="s">
        <v>48</v>
      </c>
      <c r="C5847" s="220" t="s">
        <v>935</v>
      </c>
      <c r="D5847" s="220" t="s">
        <v>59</v>
      </c>
      <c r="E5847" s="165">
        <v>127</v>
      </c>
    </row>
    <row r="5848" spans="1:5" x14ac:dyDescent="0.25">
      <c r="A5848" s="216" t="s">
        <v>7786</v>
      </c>
      <c r="B5848" s="218">
        <v>1</v>
      </c>
      <c r="C5848" s="220" t="s">
        <v>1887</v>
      </c>
      <c r="D5848" s="220" t="s">
        <v>87</v>
      </c>
      <c r="E5848" s="165">
        <v>127</v>
      </c>
    </row>
    <row r="5849" spans="1:5" x14ac:dyDescent="0.25">
      <c r="A5849" s="216" t="s">
        <v>7538</v>
      </c>
      <c r="B5849" s="218">
        <v>1</v>
      </c>
      <c r="C5849" s="220" t="s">
        <v>1006</v>
      </c>
      <c r="D5849" s="220" t="s">
        <v>277</v>
      </c>
      <c r="E5849" s="165">
        <v>127</v>
      </c>
    </row>
    <row r="5850" spans="1:5" x14ac:dyDescent="0.25">
      <c r="A5850" s="216" t="s">
        <v>7629</v>
      </c>
      <c r="B5850" s="218">
        <v>1</v>
      </c>
      <c r="C5850" s="220" t="s">
        <v>7444</v>
      </c>
      <c r="D5850" s="220" t="s">
        <v>486</v>
      </c>
      <c r="E5850" s="165">
        <v>127</v>
      </c>
    </row>
    <row r="5851" spans="1:5" x14ac:dyDescent="0.25">
      <c r="A5851" s="216" t="s">
        <v>10646</v>
      </c>
      <c r="B5851" s="218" t="s">
        <v>48</v>
      </c>
      <c r="C5851" s="220" t="s">
        <v>7424</v>
      </c>
      <c r="D5851" s="220" t="s">
        <v>139</v>
      </c>
      <c r="E5851" s="165">
        <v>127</v>
      </c>
    </row>
    <row r="5852" spans="1:5" x14ac:dyDescent="0.25">
      <c r="A5852" s="216" t="s">
        <v>7544</v>
      </c>
      <c r="B5852" s="218">
        <v>1</v>
      </c>
      <c r="C5852" s="220" t="s">
        <v>7545</v>
      </c>
      <c r="D5852" s="220" t="s">
        <v>277</v>
      </c>
      <c r="E5852" s="165">
        <v>127</v>
      </c>
    </row>
    <row r="5853" spans="1:5" x14ac:dyDescent="0.25">
      <c r="A5853" s="216" t="s">
        <v>8368</v>
      </c>
      <c r="B5853" s="218">
        <v>1</v>
      </c>
      <c r="C5853" s="220" t="s">
        <v>3078</v>
      </c>
      <c r="D5853" s="220" t="s">
        <v>575</v>
      </c>
      <c r="E5853" s="165">
        <v>127</v>
      </c>
    </row>
    <row r="5854" spans="1:5" x14ac:dyDescent="0.25">
      <c r="A5854" s="216" t="s">
        <v>11493</v>
      </c>
      <c r="B5854" s="218" t="s">
        <v>48</v>
      </c>
      <c r="C5854" s="220" t="s">
        <v>5122</v>
      </c>
      <c r="D5854" s="220" t="s">
        <v>59</v>
      </c>
      <c r="E5854" s="165">
        <v>127</v>
      </c>
    </row>
    <row r="5855" spans="1:5" x14ac:dyDescent="0.25">
      <c r="A5855" s="216" t="s">
        <v>8116</v>
      </c>
      <c r="B5855" s="218">
        <v>1</v>
      </c>
      <c r="C5855" s="220" t="s">
        <v>221</v>
      </c>
      <c r="D5855" s="220" t="s">
        <v>264</v>
      </c>
      <c r="E5855" s="165">
        <v>127</v>
      </c>
    </row>
    <row r="5856" spans="1:5" x14ac:dyDescent="0.25">
      <c r="A5856" s="216" t="s">
        <v>8937</v>
      </c>
      <c r="B5856" s="218" t="s">
        <v>48</v>
      </c>
      <c r="C5856" s="220" t="s">
        <v>1889</v>
      </c>
      <c r="D5856" s="220" t="s">
        <v>82</v>
      </c>
      <c r="E5856" s="165">
        <v>127</v>
      </c>
    </row>
    <row r="5857" spans="1:5" x14ac:dyDescent="0.25">
      <c r="A5857" s="216" t="s">
        <v>7987</v>
      </c>
      <c r="B5857" s="218" t="s">
        <v>48</v>
      </c>
      <c r="C5857" s="220" t="s">
        <v>6669</v>
      </c>
      <c r="D5857" s="220" t="s">
        <v>59</v>
      </c>
      <c r="E5857" s="165">
        <v>127</v>
      </c>
    </row>
    <row r="5858" spans="1:5" x14ac:dyDescent="0.25">
      <c r="A5858" s="216" t="s">
        <v>8162</v>
      </c>
      <c r="B5858" s="218" t="s">
        <v>48</v>
      </c>
      <c r="C5858" s="220" t="s">
        <v>213</v>
      </c>
      <c r="D5858" s="220" t="s">
        <v>75</v>
      </c>
      <c r="E5858" s="165">
        <v>126</v>
      </c>
    </row>
    <row r="5859" spans="1:5" x14ac:dyDescent="0.25">
      <c r="A5859" s="216" t="s">
        <v>8054</v>
      </c>
      <c r="B5859" s="218" t="s">
        <v>48</v>
      </c>
      <c r="C5859" s="220" t="s">
        <v>8055</v>
      </c>
      <c r="D5859" s="220" t="s">
        <v>166</v>
      </c>
      <c r="E5859" s="165">
        <v>126</v>
      </c>
    </row>
    <row r="5860" spans="1:5" x14ac:dyDescent="0.25">
      <c r="A5860" s="216" t="s">
        <v>8189</v>
      </c>
      <c r="B5860" s="218">
        <v>1</v>
      </c>
      <c r="C5860" s="220" t="s">
        <v>306</v>
      </c>
      <c r="D5860" s="220" t="s">
        <v>63</v>
      </c>
      <c r="E5860" s="165">
        <v>126</v>
      </c>
    </row>
    <row r="5861" spans="1:5" x14ac:dyDescent="0.25">
      <c r="A5861" s="216" t="s">
        <v>8266</v>
      </c>
      <c r="B5861" s="218" t="s">
        <v>48</v>
      </c>
      <c r="C5861" s="220" t="s">
        <v>5224</v>
      </c>
      <c r="D5861" s="220" t="s">
        <v>166</v>
      </c>
      <c r="E5861" s="165">
        <v>126</v>
      </c>
    </row>
    <row r="5862" spans="1:5" x14ac:dyDescent="0.25">
      <c r="A5862" s="216" t="s">
        <v>7580</v>
      </c>
      <c r="B5862" s="218">
        <v>1</v>
      </c>
      <c r="C5862" s="220" t="s">
        <v>6611</v>
      </c>
      <c r="D5862" s="220" t="s">
        <v>277</v>
      </c>
      <c r="E5862" s="165">
        <v>126</v>
      </c>
    </row>
    <row r="5863" spans="1:5" x14ac:dyDescent="0.25">
      <c r="A5863" s="216" t="s">
        <v>8568</v>
      </c>
      <c r="B5863" s="218" t="s">
        <v>48</v>
      </c>
      <c r="C5863" s="220" t="s">
        <v>8569</v>
      </c>
      <c r="D5863" s="220" t="s">
        <v>53</v>
      </c>
      <c r="E5863" s="165">
        <v>126</v>
      </c>
    </row>
    <row r="5864" spans="1:5" x14ac:dyDescent="0.25">
      <c r="A5864" s="216" t="s">
        <v>8049</v>
      </c>
      <c r="B5864" s="218">
        <v>1</v>
      </c>
      <c r="C5864" s="220" t="s">
        <v>864</v>
      </c>
      <c r="D5864" s="220" t="s">
        <v>98</v>
      </c>
      <c r="E5864" s="165">
        <v>126</v>
      </c>
    </row>
    <row r="5865" spans="1:5" x14ac:dyDescent="0.25">
      <c r="A5865" s="216" t="s">
        <v>8627</v>
      </c>
      <c r="B5865" s="218" t="s">
        <v>48</v>
      </c>
      <c r="C5865" s="220" t="s">
        <v>8628</v>
      </c>
      <c r="D5865" s="220" t="s">
        <v>87</v>
      </c>
      <c r="E5865" s="165">
        <v>126</v>
      </c>
    </row>
    <row r="5866" spans="1:5" x14ac:dyDescent="0.25">
      <c r="A5866" s="216" t="s">
        <v>8310</v>
      </c>
      <c r="B5866" s="218" t="s">
        <v>48</v>
      </c>
      <c r="C5866" s="220" t="s">
        <v>8311</v>
      </c>
      <c r="D5866" s="220" t="s">
        <v>50</v>
      </c>
      <c r="E5866" s="165">
        <v>126</v>
      </c>
    </row>
    <row r="5867" spans="1:5" x14ac:dyDescent="0.25">
      <c r="A5867" s="216" t="s">
        <v>7457</v>
      </c>
      <c r="B5867" s="218" t="s">
        <v>48</v>
      </c>
      <c r="C5867" s="220" t="s">
        <v>7458</v>
      </c>
      <c r="D5867" s="220" t="s">
        <v>90</v>
      </c>
      <c r="E5867" s="165">
        <v>126</v>
      </c>
    </row>
    <row r="5868" spans="1:5" x14ac:dyDescent="0.25">
      <c r="A5868" s="216" t="s">
        <v>6355</v>
      </c>
      <c r="B5868" s="218">
        <v>1</v>
      </c>
      <c r="C5868" s="220" t="s">
        <v>968</v>
      </c>
      <c r="D5868" s="220" t="s">
        <v>56</v>
      </c>
      <c r="E5868" s="165">
        <v>126</v>
      </c>
    </row>
    <row r="5869" spans="1:5" x14ac:dyDescent="0.25">
      <c r="A5869" s="216" t="s">
        <v>11494</v>
      </c>
      <c r="B5869" s="218" t="s">
        <v>48</v>
      </c>
      <c r="C5869" s="220" t="s">
        <v>3485</v>
      </c>
      <c r="D5869" s="220" t="s">
        <v>90</v>
      </c>
      <c r="E5869" s="165">
        <v>126</v>
      </c>
    </row>
    <row r="5870" spans="1:5" x14ac:dyDescent="0.25">
      <c r="A5870" s="216" t="s">
        <v>8333</v>
      </c>
      <c r="B5870" s="218" t="s">
        <v>48</v>
      </c>
      <c r="C5870" s="220" t="s">
        <v>8334</v>
      </c>
      <c r="D5870" s="220" t="s">
        <v>75</v>
      </c>
      <c r="E5870" s="165">
        <v>126</v>
      </c>
    </row>
    <row r="5871" spans="1:5" x14ac:dyDescent="0.25">
      <c r="A5871" s="216" t="s">
        <v>8060</v>
      </c>
      <c r="B5871" s="218">
        <v>1</v>
      </c>
      <c r="C5871" s="220" t="s">
        <v>8061</v>
      </c>
      <c r="D5871" s="220" t="s">
        <v>188</v>
      </c>
      <c r="E5871" s="165">
        <v>126</v>
      </c>
    </row>
    <row r="5872" spans="1:5" x14ac:dyDescent="0.25">
      <c r="A5872" s="216" t="s">
        <v>11495</v>
      </c>
      <c r="B5872" s="218">
        <v>1</v>
      </c>
      <c r="C5872" s="220" t="s">
        <v>8730</v>
      </c>
      <c r="D5872" s="220" t="s">
        <v>98</v>
      </c>
      <c r="E5872" s="165">
        <v>126</v>
      </c>
    </row>
    <row r="5873" spans="1:5" x14ac:dyDescent="0.25">
      <c r="A5873" s="216" t="s">
        <v>8249</v>
      </c>
      <c r="B5873" s="218">
        <v>1</v>
      </c>
      <c r="C5873" s="220" t="s">
        <v>8250</v>
      </c>
      <c r="D5873" s="220" t="s">
        <v>69</v>
      </c>
      <c r="E5873" s="165">
        <v>125</v>
      </c>
    </row>
    <row r="5874" spans="1:5" x14ac:dyDescent="0.25">
      <c r="A5874" s="216" t="s">
        <v>7830</v>
      </c>
      <c r="B5874" s="218" t="s">
        <v>48</v>
      </c>
      <c r="C5874" s="220" t="s">
        <v>7083</v>
      </c>
      <c r="D5874" s="220" t="s">
        <v>87</v>
      </c>
      <c r="E5874" s="165">
        <v>125</v>
      </c>
    </row>
    <row r="5875" spans="1:5" x14ac:dyDescent="0.25">
      <c r="A5875" s="216" t="s">
        <v>8180</v>
      </c>
      <c r="B5875" s="218">
        <v>1</v>
      </c>
      <c r="C5875" s="220" t="s">
        <v>8181</v>
      </c>
      <c r="D5875" s="220" t="s">
        <v>774</v>
      </c>
      <c r="E5875" s="165">
        <v>125</v>
      </c>
    </row>
    <row r="5876" spans="1:5" x14ac:dyDescent="0.25">
      <c r="A5876" s="216" t="s">
        <v>7618</v>
      </c>
      <c r="B5876" s="218" t="s">
        <v>48</v>
      </c>
      <c r="C5876" s="220" t="s">
        <v>1730</v>
      </c>
      <c r="D5876" s="220" t="s">
        <v>585</v>
      </c>
      <c r="E5876" s="165">
        <v>125</v>
      </c>
    </row>
    <row r="5877" spans="1:5" x14ac:dyDescent="0.25">
      <c r="A5877" s="216" t="s">
        <v>8028</v>
      </c>
      <c r="B5877" s="218">
        <v>1</v>
      </c>
      <c r="C5877" s="220" t="s">
        <v>86</v>
      </c>
      <c r="D5877" s="220" t="s">
        <v>78</v>
      </c>
      <c r="E5877" s="165">
        <v>125</v>
      </c>
    </row>
    <row r="5878" spans="1:5" x14ac:dyDescent="0.25">
      <c r="A5878" s="216" t="s">
        <v>10651</v>
      </c>
      <c r="B5878" s="218" t="s">
        <v>48</v>
      </c>
      <c r="C5878" s="220" t="s">
        <v>11496</v>
      </c>
      <c r="D5878" s="220" t="s">
        <v>93</v>
      </c>
      <c r="E5878" s="165">
        <v>125</v>
      </c>
    </row>
    <row r="5879" spans="1:5" x14ac:dyDescent="0.25">
      <c r="A5879" s="216" t="s">
        <v>8235</v>
      </c>
      <c r="B5879" s="218" t="s">
        <v>48</v>
      </c>
      <c r="C5879" s="220" t="s">
        <v>283</v>
      </c>
      <c r="D5879" s="220" t="s">
        <v>108</v>
      </c>
      <c r="E5879" s="165">
        <v>125</v>
      </c>
    </row>
    <row r="5880" spans="1:5" x14ac:dyDescent="0.25">
      <c r="A5880" s="216" t="s">
        <v>8095</v>
      </c>
      <c r="B5880" s="218">
        <v>1</v>
      </c>
      <c r="C5880" s="220" t="s">
        <v>120</v>
      </c>
      <c r="D5880" s="220" t="s">
        <v>78</v>
      </c>
      <c r="E5880" s="165">
        <v>125</v>
      </c>
    </row>
    <row r="5881" spans="1:5" x14ac:dyDescent="0.25">
      <c r="A5881" s="216" t="s">
        <v>8270</v>
      </c>
      <c r="B5881" s="218" t="s">
        <v>48</v>
      </c>
      <c r="C5881" s="220" t="s">
        <v>8271</v>
      </c>
      <c r="D5881" s="220" t="s">
        <v>90</v>
      </c>
      <c r="E5881" s="165">
        <v>125</v>
      </c>
    </row>
    <row r="5882" spans="1:5" x14ac:dyDescent="0.25">
      <c r="A5882" s="216" t="s">
        <v>10740</v>
      </c>
      <c r="B5882" s="218" t="s">
        <v>48</v>
      </c>
      <c r="C5882" s="220" t="s">
        <v>628</v>
      </c>
      <c r="D5882" s="220" t="s">
        <v>93</v>
      </c>
      <c r="E5882" s="165">
        <v>125</v>
      </c>
    </row>
    <row r="5883" spans="1:5" x14ac:dyDescent="0.25">
      <c r="A5883" s="216" t="s">
        <v>8350</v>
      </c>
      <c r="B5883" s="218" t="s">
        <v>48</v>
      </c>
      <c r="C5883" s="220" t="s">
        <v>3709</v>
      </c>
      <c r="D5883" s="220" t="s">
        <v>82</v>
      </c>
      <c r="E5883" s="165">
        <v>125</v>
      </c>
    </row>
    <row r="5884" spans="1:5" x14ac:dyDescent="0.25">
      <c r="A5884" s="216" t="s">
        <v>11497</v>
      </c>
      <c r="B5884" s="218" t="s">
        <v>48</v>
      </c>
      <c r="C5884" s="220" t="s">
        <v>622</v>
      </c>
      <c r="D5884" s="220" t="s">
        <v>53</v>
      </c>
      <c r="E5884" s="165">
        <v>125</v>
      </c>
    </row>
    <row r="5885" spans="1:5" x14ac:dyDescent="0.25">
      <c r="A5885" s="216" t="s">
        <v>8118</v>
      </c>
      <c r="B5885" s="218">
        <v>1</v>
      </c>
      <c r="C5885" s="220" t="s">
        <v>3375</v>
      </c>
      <c r="D5885" s="220" t="s">
        <v>66</v>
      </c>
      <c r="E5885" s="165">
        <v>125</v>
      </c>
    </row>
    <row r="5886" spans="1:5" x14ac:dyDescent="0.25">
      <c r="A5886" s="216" t="s">
        <v>8119</v>
      </c>
      <c r="B5886" s="218">
        <v>1</v>
      </c>
      <c r="C5886" s="220" t="s">
        <v>1365</v>
      </c>
      <c r="D5886" s="220" t="s">
        <v>66</v>
      </c>
      <c r="E5886" s="165">
        <v>125</v>
      </c>
    </row>
    <row r="5887" spans="1:5" x14ac:dyDescent="0.25">
      <c r="A5887" s="216" t="s">
        <v>3599</v>
      </c>
      <c r="B5887" s="218" t="s">
        <v>48</v>
      </c>
      <c r="C5887" s="220" t="s">
        <v>538</v>
      </c>
      <c r="D5887" s="220" t="s">
        <v>90</v>
      </c>
      <c r="E5887" s="165">
        <v>125</v>
      </c>
    </row>
    <row r="5888" spans="1:5" x14ac:dyDescent="0.25">
      <c r="A5888" s="216" t="s">
        <v>7997</v>
      </c>
      <c r="B5888" s="218">
        <v>1</v>
      </c>
      <c r="C5888" s="220" t="s">
        <v>2128</v>
      </c>
      <c r="D5888" s="220" t="s">
        <v>201</v>
      </c>
      <c r="E5888" s="165">
        <v>124</v>
      </c>
    </row>
    <row r="5889" spans="1:5" x14ac:dyDescent="0.25">
      <c r="A5889" s="216" t="s">
        <v>11498</v>
      </c>
      <c r="B5889" s="218">
        <v>1</v>
      </c>
      <c r="C5889" s="220" t="s">
        <v>3662</v>
      </c>
      <c r="D5889" s="220" t="s">
        <v>66</v>
      </c>
      <c r="E5889" s="165">
        <v>124</v>
      </c>
    </row>
    <row r="5890" spans="1:5" x14ac:dyDescent="0.25">
      <c r="A5890" s="216" t="s">
        <v>8102</v>
      </c>
      <c r="B5890" s="218">
        <v>1</v>
      </c>
      <c r="C5890" s="220" t="s">
        <v>77</v>
      </c>
      <c r="D5890" s="220" t="s">
        <v>78</v>
      </c>
      <c r="E5890" s="165">
        <v>124</v>
      </c>
    </row>
    <row r="5891" spans="1:5" x14ac:dyDescent="0.25">
      <c r="A5891" s="216" t="s">
        <v>8252</v>
      </c>
      <c r="B5891" s="218">
        <v>1</v>
      </c>
      <c r="C5891" s="220" t="s">
        <v>7133</v>
      </c>
      <c r="D5891" s="220" t="s">
        <v>50</v>
      </c>
      <c r="E5891" s="165">
        <v>124</v>
      </c>
    </row>
    <row r="5892" spans="1:5" x14ac:dyDescent="0.25">
      <c r="A5892" s="216" t="s">
        <v>8254</v>
      </c>
      <c r="B5892" s="218">
        <v>1</v>
      </c>
      <c r="C5892" s="220" t="s">
        <v>259</v>
      </c>
      <c r="D5892" s="220" t="s">
        <v>50</v>
      </c>
      <c r="E5892" s="165">
        <v>124</v>
      </c>
    </row>
    <row r="5893" spans="1:5" x14ac:dyDescent="0.25">
      <c r="A5893" s="216" t="s">
        <v>6044</v>
      </c>
      <c r="B5893" s="218">
        <v>1</v>
      </c>
      <c r="C5893" s="220" t="s">
        <v>501</v>
      </c>
      <c r="D5893" s="220" t="s">
        <v>264</v>
      </c>
      <c r="E5893" s="165">
        <v>124</v>
      </c>
    </row>
    <row r="5894" spans="1:5" x14ac:dyDescent="0.25">
      <c r="A5894" s="216" t="s">
        <v>7860</v>
      </c>
      <c r="B5894" s="218">
        <v>1</v>
      </c>
      <c r="C5894" s="220" t="s">
        <v>3563</v>
      </c>
      <c r="D5894" s="220" t="s">
        <v>348</v>
      </c>
      <c r="E5894" s="165">
        <v>124</v>
      </c>
    </row>
    <row r="5895" spans="1:5" x14ac:dyDescent="0.25">
      <c r="A5895" s="216" t="s">
        <v>8197</v>
      </c>
      <c r="B5895" s="218">
        <v>1</v>
      </c>
      <c r="C5895" s="220" t="s">
        <v>8198</v>
      </c>
      <c r="D5895" s="220" t="s">
        <v>222</v>
      </c>
      <c r="E5895" s="165">
        <v>124</v>
      </c>
    </row>
    <row r="5896" spans="1:5" x14ac:dyDescent="0.25">
      <c r="A5896" s="216" t="s">
        <v>11499</v>
      </c>
      <c r="B5896" s="218">
        <v>1</v>
      </c>
      <c r="C5896" s="220" t="s">
        <v>1408</v>
      </c>
      <c r="D5896" s="220" t="s">
        <v>166</v>
      </c>
      <c r="E5896" s="165">
        <v>124</v>
      </c>
    </row>
    <row r="5897" spans="1:5" x14ac:dyDescent="0.25">
      <c r="A5897" s="216" t="s">
        <v>9733</v>
      </c>
      <c r="B5897" s="218" t="s">
        <v>48</v>
      </c>
      <c r="C5897" s="220" t="s">
        <v>9734</v>
      </c>
      <c r="D5897" s="220" t="s">
        <v>93</v>
      </c>
      <c r="E5897" s="165">
        <v>124</v>
      </c>
    </row>
    <row r="5898" spans="1:5" x14ac:dyDescent="0.25">
      <c r="A5898" s="216" t="s">
        <v>7868</v>
      </c>
      <c r="B5898" s="218">
        <v>1</v>
      </c>
      <c r="C5898" s="220" t="s">
        <v>2464</v>
      </c>
      <c r="D5898" s="220" t="s">
        <v>87</v>
      </c>
      <c r="E5898" s="165">
        <v>124</v>
      </c>
    </row>
    <row r="5899" spans="1:5" x14ac:dyDescent="0.25">
      <c r="A5899" s="216" t="s">
        <v>8114</v>
      </c>
      <c r="B5899" s="218">
        <v>1</v>
      </c>
      <c r="C5899" s="220" t="s">
        <v>536</v>
      </c>
      <c r="D5899" s="220" t="s">
        <v>56</v>
      </c>
      <c r="E5899" s="165">
        <v>124</v>
      </c>
    </row>
    <row r="5900" spans="1:5" x14ac:dyDescent="0.25">
      <c r="A5900" s="216" t="s">
        <v>8115</v>
      </c>
      <c r="B5900" s="218">
        <v>1</v>
      </c>
      <c r="C5900" s="220" t="s">
        <v>77</v>
      </c>
      <c r="D5900" s="220" t="s">
        <v>78</v>
      </c>
      <c r="E5900" s="165">
        <v>124</v>
      </c>
    </row>
    <row r="5901" spans="1:5" x14ac:dyDescent="0.25">
      <c r="A5901" s="216" t="s">
        <v>9579</v>
      </c>
      <c r="B5901" s="218" t="s">
        <v>48</v>
      </c>
      <c r="C5901" s="220" t="s">
        <v>138</v>
      </c>
      <c r="D5901" s="220" t="s">
        <v>139</v>
      </c>
      <c r="E5901" s="165">
        <v>124</v>
      </c>
    </row>
    <row r="5902" spans="1:5" x14ac:dyDescent="0.25">
      <c r="A5902" s="216" t="s">
        <v>11500</v>
      </c>
      <c r="B5902" s="218" t="s">
        <v>48</v>
      </c>
      <c r="C5902" s="220" t="s">
        <v>11501</v>
      </c>
      <c r="D5902" s="220" t="s">
        <v>50</v>
      </c>
      <c r="E5902" s="165">
        <v>124</v>
      </c>
    </row>
    <row r="5903" spans="1:5" x14ac:dyDescent="0.25">
      <c r="A5903" s="216" t="s">
        <v>8439</v>
      </c>
      <c r="B5903" s="218">
        <v>1</v>
      </c>
      <c r="C5903" s="220" t="s">
        <v>8440</v>
      </c>
      <c r="D5903" s="220" t="s">
        <v>118</v>
      </c>
      <c r="E5903" s="165">
        <v>124</v>
      </c>
    </row>
    <row r="5904" spans="1:5" x14ac:dyDescent="0.25">
      <c r="A5904" s="216" t="s">
        <v>11502</v>
      </c>
      <c r="B5904" s="218" t="s">
        <v>48</v>
      </c>
      <c r="C5904" s="220" t="s">
        <v>4396</v>
      </c>
      <c r="D5904" s="220" t="s">
        <v>53</v>
      </c>
      <c r="E5904" s="165">
        <v>124</v>
      </c>
    </row>
    <row r="5905" spans="1:5" x14ac:dyDescent="0.25">
      <c r="A5905" s="216" t="s">
        <v>8293</v>
      </c>
      <c r="B5905" s="218" t="s">
        <v>48</v>
      </c>
      <c r="C5905" s="220" t="s">
        <v>4243</v>
      </c>
      <c r="D5905" s="220" t="s">
        <v>378</v>
      </c>
      <c r="E5905" s="165">
        <v>124</v>
      </c>
    </row>
    <row r="5906" spans="1:5" x14ac:dyDescent="0.25">
      <c r="A5906" s="216" t="s">
        <v>9625</v>
      </c>
      <c r="B5906" s="218">
        <v>1</v>
      </c>
      <c r="C5906" s="220" t="s">
        <v>801</v>
      </c>
      <c r="D5906" s="220" t="s">
        <v>802</v>
      </c>
      <c r="E5906" s="165">
        <v>124</v>
      </c>
    </row>
    <row r="5907" spans="1:5" x14ac:dyDescent="0.25">
      <c r="A5907" s="216" t="s">
        <v>7656</v>
      </c>
      <c r="B5907" s="218" t="s">
        <v>48</v>
      </c>
      <c r="C5907" s="220" t="s">
        <v>7657</v>
      </c>
      <c r="D5907" s="220" t="s">
        <v>59</v>
      </c>
      <c r="E5907" s="165">
        <v>123</v>
      </c>
    </row>
    <row r="5908" spans="1:5" x14ac:dyDescent="0.25">
      <c r="A5908" s="216" t="s">
        <v>11503</v>
      </c>
      <c r="B5908" s="218">
        <v>1</v>
      </c>
      <c r="C5908" s="220" t="s">
        <v>11504</v>
      </c>
      <c r="D5908" s="220" t="s">
        <v>63</v>
      </c>
      <c r="E5908" s="165">
        <v>123</v>
      </c>
    </row>
    <row r="5909" spans="1:5" x14ac:dyDescent="0.25">
      <c r="A5909" s="216" t="s">
        <v>5819</v>
      </c>
      <c r="B5909" s="218">
        <v>1</v>
      </c>
      <c r="C5909" s="220" t="s">
        <v>5820</v>
      </c>
      <c r="D5909" s="220" t="s">
        <v>348</v>
      </c>
      <c r="E5909" s="165">
        <v>123</v>
      </c>
    </row>
    <row r="5910" spans="1:5" x14ac:dyDescent="0.25">
      <c r="A5910" s="216" t="s">
        <v>8545</v>
      </c>
      <c r="B5910" s="218">
        <v>1</v>
      </c>
      <c r="C5910" s="220" t="s">
        <v>8546</v>
      </c>
      <c r="D5910" s="220" t="s">
        <v>63</v>
      </c>
      <c r="E5910" s="165">
        <v>123</v>
      </c>
    </row>
    <row r="5911" spans="1:5" x14ac:dyDescent="0.25">
      <c r="A5911" s="216" t="s">
        <v>8434</v>
      </c>
      <c r="B5911" s="218" t="s">
        <v>48</v>
      </c>
      <c r="C5911" s="220" t="s">
        <v>6279</v>
      </c>
      <c r="D5911" s="220" t="s">
        <v>63</v>
      </c>
      <c r="E5911" s="165">
        <v>123</v>
      </c>
    </row>
    <row r="5912" spans="1:5" x14ac:dyDescent="0.25">
      <c r="A5912" s="216" t="s">
        <v>8168</v>
      </c>
      <c r="B5912" s="218" t="s">
        <v>48</v>
      </c>
      <c r="C5912" s="220" t="s">
        <v>8169</v>
      </c>
      <c r="D5912" s="220" t="s">
        <v>72</v>
      </c>
      <c r="E5912" s="165">
        <v>123</v>
      </c>
    </row>
    <row r="5913" spans="1:5" x14ac:dyDescent="0.25">
      <c r="A5913" s="216" t="s">
        <v>7838</v>
      </c>
      <c r="B5913" s="218">
        <v>1</v>
      </c>
      <c r="C5913" s="220" t="s">
        <v>78</v>
      </c>
      <c r="D5913" s="220" t="s">
        <v>139</v>
      </c>
      <c r="E5913" s="165">
        <v>123</v>
      </c>
    </row>
    <row r="5914" spans="1:5" x14ac:dyDescent="0.25">
      <c r="A5914" s="216" t="s">
        <v>7912</v>
      </c>
      <c r="B5914" s="218" t="s">
        <v>48</v>
      </c>
      <c r="C5914" s="220" t="s">
        <v>7913</v>
      </c>
      <c r="D5914" s="220" t="s">
        <v>166</v>
      </c>
      <c r="E5914" s="165">
        <v>123</v>
      </c>
    </row>
    <row r="5915" spans="1:5" x14ac:dyDescent="0.25">
      <c r="A5915" s="216" t="s">
        <v>2692</v>
      </c>
      <c r="B5915" s="218" t="s">
        <v>48</v>
      </c>
      <c r="C5915" s="220" t="s">
        <v>1730</v>
      </c>
      <c r="D5915" s="220" t="s">
        <v>585</v>
      </c>
      <c r="E5915" s="165">
        <v>123</v>
      </c>
    </row>
    <row r="5916" spans="1:5" x14ac:dyDescent="0.25">
      <c r="A5916" s="216" t="s">
        <v>7958</v>
      </c>
      <c r="B5916" s="218" t="s">
        <v>48</v>
      </c>
      <c r="C5916" s="220" t="s">
        <v>7959</v>
      </c>
      <c r="D5916" s="220" t="s">
        <v>166</v>
      </c>
      <c r="E5916" s="165">
        <v>123</v>
      </c>
    </row>
    <row r="5917" spans="1:5" x14ac:dyDescent="0.25">
      <c r="A5917" s="216" t="s">
        <v>7003</v>
      </c>
      <c r="B5917" s="218">
        <v>1</v>
      </c>
      <c r="C5917" s="220" t="s">
        <v>261</v>
      </c>
      <c r="D5917" s="220" t="s">
        <v>56</v>
      </c>
      <c r="E5917" s="165">
        <v>123</v>
      </c>
    </row>
    <row r="5918" spans="1:5" x14ac:dyDescent="0.25">
      <c r="A5918" s="216" t="s">
        <v>7949</v>
      </c>
      <c r="B5918" s="218">
        <v>1</v>
      </c>
      <c r="C5918" s="220" t="s">
        <v>615</v>
      </c>
      <c r="D5918" s="220" t="s">
        <v>272</v>
      </c>
      <c r="E5918" s="165">
        <v>122</v>
      </c>
    </row>
    <row r="5919" spans="1:5" x14ac:dyDescent="0.25">
      <c r="A5919" s="216" t="s">
        <v>7749</v>
      </c>
      <c r="B5919" s="218" t="s">
        <v>48</v>
      </c>
      <c r="C5919" s="220" t="s">
        <v>2802</v>
      </c>
      <c r="D5919" s="220" t="s">
        <v>59</v>
      </c>
      <c r="E5919" s="165">
        <v>122</v>
      </c>
    </row>
    <row r="5920" spans="1:5" x14ac:dyDescent="0.25">
      <c r="A5920" s="216" t="s">
        <v>7683</v>
      </c>
      <c r="B5920" s="218" t="s">
        <v>48</v>
      </c>
      <c r="C5920" s="220" t="s">
        <v>7684</v>
      </c>
      <c r="D5920" s="220" t="s">
        <v>166</v>
      </c>
      <c r="E5920" s="165">
        <v>122</v>
      </c>
    </row>
    <row r="5921" spans="1:5" x14ac:dyDescent="0.25">
      <c r="A5921" s="216" t="s">
        <v>9761</v>
      </c>
      <c r="B5921" s="218" t="s">
        <v>48</v>
      </c>
      <c r="C5921" s="220" t="s">
        <v>9762</v>
      </c>
      <c r="D5921" s="220" t="s">
        <v>108</v>
      </c>
      <c r="E5921" s="165">
        <v>122</v>
      </c>
    </row>
    <row r="5922" spans="1:5" x14ac:dyDescent="0.25">
      <c r="A5922" s="216" t="s">
        <v>8268</v>
      </c>
      <c r="B5922" s="218">
        <v>1</v>
      </c>
      <c r="C5922" s="220" t="s">
        <v>306</v>
      </c>
      <c r="D5922" s="220" t="s">
        <v>63</v>
      </c>
      <c r="E5922" s="165">
        <v>122</v>
      </c>
    </row>
    <row r="5923" spans="1:5" x14ac:dyDescent="0.25">
      <c r="A5923" s="216" t="s">
        <v>8125</v>
      </c>
      <c r="B5923" s="218">
        <v>1</v>
      </c>
      <c r="C5923" s="220" t="s">
        <v>8126</v>
      </c>
      <c r="D5923" s="220" t="s">
        <v>98</v>
      </c>
      <c r="E5923" s="165">
        <v>122</v>
      </c>
    </row>
    <row r="5924" spans="1:5" x14ac:dyDescent="0.25">
      <c r="A5924" s="216" t="s">
        <v>8636</v>
      </c>
      <c r="B5924" s="218" t="s">
        <v>48</v>
      </c>
      <c r="C5924" s="220" t="s">
        <v>8637</v>
      </c>
      <c r="D5924" s="220" t="s">
        <v>98</v>
      </c>
      <c r="E5924" s="165">
        <v>122</v>
      </c>
    </row>
    <row r="5925" spans="1:5" x14ac:dyDescent="0.25">
      <c r="A5925" s="216" t="s">
        <v>7982</v>
      </c>
      <c r="B5925" s="218">
        <v>1</v>
      </c>
      <c r="C5925" s="220" t="s">
        <v>1887</v>
      </c>
      <c r="D5925" s="220" t="s">
        <v>87</v>
      </c>
      <c r="E5925" s="165">
        <v>122</v>
      </c>
    </row>
    <row r="5926" spans="1:5" x14ac:dyDescent="0.25">
      <c r="A5926" s="216" t="s">
        <v>7480</v>
      </c>
      <c r="B5926" s="218" t="s">
        <v>48</v>
      </c>
      <c r="C5926" s="220" t="s">
        <v>2054</v>
      </c>
      <c r="D5926" s="220" t="s">
        <v>378</v>
      </c>
      <c r="E5926" s="165">
        <v>122</v>
      </c>
    </row>
    <row r="5927" spans="1:5" x14ac:dyDescent="0.25">
      <c r="A5927" s="216" t="s">
        <v>7983</v>
      </c>
      <c r="B5927" s="218">
        <v>1</v>
      </c>
      <c r="C5927" s="220" t="s">
        <v>7984</v>
      </c>
      <c r="D5927" s="220" t="s">
        <v>87</v>
      </c>
      <c r="E5927" s="165">
        <v>122</v>
      </c>
    </row>
    <row r="5928" spans="1:5" x14ac:dyDescent="0.25">
      <c r="A5928" s="216" t="s">
        <v>10751</v>
      </c>
      <c r="B5928" s="218" t="s">
        <v>48</v>
      </c>
      <c r="C5928" s="220" t="s">
        <v>5873</v>
      </c>
      <c r="D5928" s="220" t="s">
        <v>63</v>
      </c>
      <c r="E5928" s="165">
        <v>122</v>
      </c>
    </row>
    <row r="5929" spans="1:5" x14ac:dyDescent="0.25">
      <c r="A5929" s="216" t="s">
        <v>4519</v>
      </c>
      <c r="B5929" s="218" t="s">
        <v>48</v>
      </c>
      <c r="C5929" s="220" t="s">
        <v>4520</v>
      </c>
      <c r="D5929" s="220" t="s">
        <v>90</v>
      </c>
      <c r="E5929" s="165">
        <v>122</v>
      </c>
    </row>
    <row r="5930" spans="1:5" x14ac:dyDescent="0.25">
      <c r="A5930" s="216" t="s">
        <v>8352</v>
      </c>
      <c r="B5930" s="218">
        <v>1</v>
      </c>
      <c r="C5930" s="220" t="s">
        <v>8353</v>
      </c>
      <c r="D5930" s="220" t="s">
        <v>188</v>
      </c>
      <c r="E5930" s="165">
        <v>122</v>
      </c>
    </row>
    <row r="5931" spans="1:5" x14ac:dyDescent="0.25">
      <c r="A5931" s="216" t="s">
        <v>3018</v>
      </c>
      <c r="B5931" s="218" t="s">
        <v>48</v>
      </c>
      <c r="C5931" s="220" t="s">
        <v>2681</v>
      </c>
      <c r="D5931" s="220" t="s">
        <v>166</v>
      </c>
      <c r="E5931" s="165">
        <v>122</v>
      </c>
    </row>
    <row r="5932" spans="1:5" x14ac:dyDescent="0.25">
      <c r="A5932" s="216" t="s">
        <v>11505</v>
      </c>
      <c r="B5932" s="218">
        <v>1</v>
      </c>
      <c r="C5932" s="220" t="s">
        <v>3267</v>
      </c>
      <c r="D5932" s="220" t="s">
        <v>201</v>
      </c>
      <c r="E5932" s="165">
        <v>122</v>
      </c>
    </row>
    <row r="5933" spans="1:5" x14ac:dyDescent="0.25">
      <c r="A5933" s="216" t="s">
        <v>5201</v>
      </c>
      <c r="B5933" s="218">
        <v>1</v>
      </c>
      <c r="C5933" s="220" t="s">
        <v>5202</v>
      </c>
      <c r="D5933" s="220" t="s">
        <v>348</v>
      </c>
      <c r="E5933" s="165">
        <v>122</v>
      </c>
    </row>
    <row r="5934" spans="1:5" x14ac:dyDescent="0.25">
      <c r="A5934" s="216" t="s">
        <v>8120</v>
      </c>
      <c r="B5934" s="218" t="s">
        <v>48</v>
      </c>
      <c r="C5934" s="220" t="s">
        <v>213</v>
      </c>
      <c r="D5934" s="220" t="s">
        <v>75</v>
      </c>
      <c r="E5934" s="165">
        <v>122</v>
      </c>
    </row>
    <row r="5935" spans="1:5" x14ac:dyDescent="0.25">
      <c r="A5935" s="216" t="s">
        <v>8340</v>
      </c>
      <c r="B5935" s="218">
        <v>1</v>
      </c>
      <c r="C5935" s="220" t="s">
        <v>597</v>
      </c>
      <c r="D5935" s="220" t="s">
        <v>56</v>
      </c>
      <c r="E5935" s="165">
        <v>122</v>
      </c>
    </row>
    <row r="5936" spans="1:5" x14ac:dyDescent="0.25">
      <c r="A5936" s="216" t="s">
        <v>11506</v>
      </c>
      <c r="B5936" s="218" t="s">
        <v>48</v>
      </c>
      <c r="C5936" s="220" t="s">
        <v>11507</v>
      </c>
      <c r="D5936" s="220" t="s">
        <v>82</v>
      </c>
      <c r="E5936" s="165">
        <v>121</v>
      </c>
    </row>
    <row r="5937" spans="1:5" x14ac:dyDescent="0.25">
      <c r="A5937" s="216" t="s">
        <v>8417</v>
      </c>
      <c r="B5937" s="218" t="s">
        <v>48</v>
      </c>
      <c r="C5937" s="220" t="s">
        <v>3880</v>
      </c>
      <c r="D5937" s="220" t="s">
        <v>75</v>
      </c>
      <c r="E5937" s="165">
        <v>121</v>
      </c>
    </row>
    <row r="5938" spans="1:5" x14ac:dyDescent="0.25">
      <c r="A5938" s="216" t="s">
        <v>8001</v>
      </c>
      <c r="B5938" s="218">
        <v>1</v>
      </c>
      <c r="C5938" s="220" t="s">
        <v>8002</v>
      </c>
      <c r="D5938" s="220" t="s">
        <v>130</v>
      </c>
      <c r="E5938" s="165">
        <v>121</v>
      </c>
    </row>
    <row r="5939" spans="1:5" x14ac:dyDescent="0.25">
      <c r="A5939" s="216" t="s">
        <v>8451</v>
      </c>
      <c r="B5939" s="218" t="s">
        <v>48</v>
      </c>
      <c r="C5939" s="220" t="s">
        <v>3192</v>
      </c>
      <c r="D5939" s="220" t="s">
        <v>78</v>
      </c>
      <c r="E5939" s="165">
        <v>121</v>
      </c>
    </row>
    <row r="5940" spans="1:5" x14ac:dyDescent="0.25">
      <c r="A5940" s="216" t="s">
        <v>8072</v>
      </c>
      <c r="B5940" s="218">
        <v>1</v>
      </c>
      <c r="C5940" s="220" t="s">
        <v>3313</v>
      </c>
      <c r="D5940" s="220" t="s">
        <v>166</v>
      </c>
      <c r="E5940" s="165">
        <v>121</v>
      </c>
    </row>
    <row r="5941" spans="1:5" x14ac:dyDescent="0.25">
      <c r="A5941" s="216" t="s">
        <v>8364</v>
      </c>
      <c r="B5941" s="218">
        <v>1</v>
      </c>
      <c r="C5941" s="220" t="s">
        <v>396</v>
      </c>
      <c r="D5941" s="220" t="s">
        <v>188</v>
      </c>
      <c r="E5941" s="165">
        <v>121</v>
      </c>
    </row>
    <row r="5942" spans="1:5" x14ac:dyDescent="0.25">
      <c r="A5942" s="216" t="s">
        <v>8056</v>
      </c>
      <c r="B5942" s="218">
        <v>1</v>
      </c>
      <c r="C5942" s="220" t="s">
        <v>8057</v>
      </c>
      <c r="D5942" s="220" t="s">
        <v>142</v>
      </c>
      <c r="E5942" s="165">
        <v>121</v>
      </c>
    </row>
    <row r="5943" spans="1:5" x14ac:dyDescent="0.25">
      <c r="A5943" s="216" t="s">
        <v>6657</v>
      </c>
      <c r="B5943" s="218">
        <v>1</v>
      </c>
      <c r="C5943" s="220" t="s">
        <v>5416</v>
      </c>
      <c r="D5943" s="220" t="s">
        <v>523</v>
      </c>
      <c r="E5943" s="165">
        <v>121</v>
      </c>
    </row>
    <row r="5944" spans="1:5" x14ac:dyDescent="0.25">
      <c r="A5944" s="216" t="s">
        <v>8291</v>
      </c>
      <c r="B5944" s="218">
        <v>1</v>
      </c>
      <c r="C5944" s="220" t="s">
        <v>501</v>
      </c>
      <c r="D5944" s="220" t="s">
        <v>59</v>
      </c>
      <c r="E5944" s="165">
        <v>121</v>
      </c>
    </row>
    <row r="5945" spans="1:5" x14ac:dyDescent="0.25">
      <c r="A5945" s="216" t="s">
        <v>8217</v>
      </c>
      <c r="B5945" s="218">
        <v>1</v>
      </c>
      <c r="C5945" s="220" t="s">
        <v>8218</v>
      </c>
      <c r="D5945" s="220" t="s">
        <v>66</v>
      </c>
      <c r="E5945" s="165">
        <v>121</v>
      </c>
    </row>
    <row r="5946" spans="1:5" x14ac:dyDescent="0.25">
      <c r="A5946" s="216" t="s">
        <v>8199</v>
      </c>
      <c r="B5946" s="218">
        <v>1</v>
      </c>
      <c r="C5946" s="220" t="s">
        <v>8200</v>
      </c>
      <c r="D5946" s="220" t="s">
        <v>66</v>
      </c>
      <c r="E5946" s="165">
        <v>121</v>
      </c>
    </row>
    <row r="5947" spans="1:5" x14ac:dyDescent="0.25">
      <c r="A5947" s="216" t="s">
        <v>8157</v>
      </c>
      <c r="B5947" s="218">
        <v>1</v>
      </c>
      <c r="C5947" s="220" t="s">
        <v>665</v>
      </c>
      <c r="D5947" s="220" t="s">
        <v>188</v>
      </c>
      <c r="E5947" s="165">
        <v>121</v>
      </c>
    </row>
    <row r="5948" spans="1:5" x14ac:dyDescent="0.25">
      <c r="A5948" s="216" t="s">
        <v>8247</v>
      </c>
      <c r="B5948" s="218">
        <v>1</v>
      </c>
      <c r="C5948" s="220" t="s">
        <v>8248</v>
      </c>
      <c r="D5948" s="220" t="s">
        <v>192</v>
      </c>
      <c r="E5948" s="165">
        <v>121</v>
      </c>
    </row>
    <row r="5949" spans="1:5" x14ac:dyDescent="0.25">
      <c r="A5949" s="216" t="s">
        <v>8139</v>
      </c>
      <c r="B5949" s="218">
        <v>1</v>
      </c>
      <c r="C5949" s="220" t="s">
        <v>169</v>
      </c>
      <c r="D5949" s="220" t="s">
        <v>56</v>
      </c>
      <c r="E5949" s="165">
        <v>120</v>
      </c>
    </row>
    <row r="5950" spans="1:5" x14ac:dyDescent="0.25">
      <c r="A5950" s="216" t="s">
        <v>9256</v>
      </c>
      <c r="B5950" s="218" t="s">
        <v>48</v>
      </c>
      <c r="C5950" s="220" t="s">
        <v>4867</v>
      </c>
      <c r="D5950" s="220" t="s">
        <v>82</v>
      </c>
      <c r="E5950" s="165">
        <v>120</v>
      </c>
    </row>
    <row r="5951" spans="1:5" x14ac:dyDescent="0.25">
      <c r="A5951" s="216" t="s">
        <v>8426</v>
      </c>
      <c r="B5951" s="218" t="s">
        <v>48</v>
      </c>
      <c r="C5951" s="220" t="s">
        <v>8427</v>
      </c>
      <c r="D5951" s="220" t="s">
        <v>575</v>
      </c>
      <c r="E5951" s="165">
        <v>120</v>
      </c>
    </row>
    <row r="5952" spans="1:5" x14ac:dyDescent="0.25">
      <c r="A5952" s="216" t="s">
        <v>9071</v>
      </c>
      <c r="B5952" s="218" t="s">
        <v>48</v>
      </c>
      <c r="C5952" s="220" t="s">
        <v>404</v>
      </c>
      <c r="D5952" s="220" t="s">
        <v>59</v>
      </c>
      <c r="E5952" s="165">
        <v>120</v>
      </c>
    </row>
    <row r="5953" spans="1:5" x14ac:dyDescent="0.25">
      <c r="A5953" s="216" t="s">
        <v>9241</v>
      </c>
      <c r="B5953" s="218" t="s">
        <v>48</v>
      </c>
      <c r="C5953" s="220" t="s">
        <v>733</v>
      </c>
      <c r="D5953" s="220" t="s">
        <v>272</v>
      </c>
      <c r="E5953" s="165">
        <v>120</v>
      </c>
    </row>
    <row r="5954" spans="1:5" x14ac:dyDescent="0.25">
      <c r="A5954" s="216" t="s">
        <v>8106</v>
      </c>
      <c r="B5954" s="218">
        <v>1</v>
      </c>
      <c r="C5954" s="220" t="s">
        <v>4396</v>
      </c>
      <c r="D5954" s="220" t="s">
        <v>50</v>
      </c>
      <c r="E5954" s="165">
        <v>120</v>
      </c>
    </row>
    <row r="5955" spans="1:5" x14ac:dyDescent="0.25">
      <c r="A5955" s="216" t="s">
        <v>8107</v>
      </c>
      <c r="B5955" s="218">
        <v>1</v>
      </c>
      <c r="C5955" s="220" t="s">
        <v>962</v>
      </c>
      <c r="D5955" s="220" t="s">
        <v>50</v>
      </c>
      <c r="E5955" s="165">
        <v>120</v>
      </c>
    </row>
    <row r="5956" spans="1:5" x14ac:dyDescent="0.25">
      <c r="A5956" s="216" t="s">
        <v>8076</v>
      </c>
      <c r="B5956" s="218">
        <v>1</v>
      </c>
      <c r="C5956" s="220" t="s">
        <v>5941</v>
      </c>
      <c r="D5956" s="220" t="s">
        <v>348</v>
      </c>
      <c r="E5956" s="165">
        <v>120</v>
      </c>
    </row>
    <row r="5957" spans="1:5" x14ac:dyDescent="0.25">
      <c r="A5957" s="216" t="s">
        <v>9101</v>
      </c>
      <c r="B5957" s="218" t="s">
        <v>48</v>
      </c>
      <c r="C5957" s="220" t="s">
        <v>400</v>
      </c>
      <c r="D5957" s="220" t="s">
        <v>124</v>
      </c>
      <c r="E5957" s="165">
        <v>120</v>
      </c>
    </row>
    <row r="5958" spans="1:5" x14ac:dyDescent="0.25">
      <c r="A5958" s="216" t="s">
        <v>11508</v>
      </c>
      <c r="B5958" s="218" t="s">
        <v>48</v>
      </c>
      <c r="C5958" s="220" t="s">
        <v>9426</v>
      </c>
      <c r="D5958" s="220" t="s">
        <v>72</v>
      </c>
      <c r="E5958" s="165">
        <v>120</v>
      </c>
    </row>
    <row r="5959" spans="1:5" x14ac:dyDescent="0.25">
      <c r="A5959" s="216" t="s">
        <v>8129</v>
      </c>
      <c r="B5959" s="218" t="s">
        <v>48</v>
      </c>
      <c r="C5959" s="220" t="s">
        <v>2509</v>
      </c>
      <c r="D5959" s="220" t="s">
        <v>108</v>
      </c>
      <c r="E5959" s="165">
        <v>120</v>
      </c>
    </row>
    <row r="5960" spans="1:5" x14ac:dyDescent="0.25">
      <c r="A5960" s="216" t="s">
        <v>8371</v>
      </c>
      <c r="B5960" s="218" t="s">
        <v>48</v>
      </c>
      <c r="C5960" s="220" t="s">
        <v>864</v>
      </c>
      <c r="D5960" s="220" t="s">
        <v>710</v>
      </c>
      <c r="E5960" s="165">
        <v>120</v>
      </c>
    </row>
    <row r="5961" spans="1:5" x14ac:dyDescent="0.25">
      <c r="A5961" s="216" t="s">
        <v>10786</v>
      </c>
      <c r="B5961" s="218" t="s">
        <v>48</v>
      </c>
      <c r="C5961" s="220" t="s">
        <v>2453</v>
      </c>
      <c r="D5961" s="220" t="s">
        <v>63</v>
      </c>
      <c r="E5961" s="165">
        <v>120</v>
      </c>
    </row>
    <row r="5962" spans="1:5" x14ac:dyDescent="0.25">
      <c r="A5962" s="216" t="s">
        <v>8202</v>
      </c>
      <c r="B5962" s="218">
        <v>1</v>
      </c>
      <c r="C5962" s="220" t="s">
        <v>8203</v>
      </c>
      <c r="D5962" s="220" t="s">
        <v>78</v>
      </c>
      <c r="E5962" s="165">
        <v>120</v>
      </c>
    </row>
    <row r="5963" spans="1:5" x14ac:dyDescent="0.25">
      <c r="A5963" s="216" t="s">
        <v>8778</v>
      </c>
      <c r="B5963" s="218">
        <v>1</v>
      </c>
      <c r="C5963" s="220" t="s">
        <v>8779</v>
      </c>
      <c r="D5963" s="220" t="s">
        <v>130</v>
      </c>
      <c r="E5963" s="165">
        <v>120</v>
      </c>
    </row>
    <row r="5964" spans="1:5" x14ac:dyDescent="0.25">
      <c r="A5964" s="216" t="s">
        <v>11509</v>
      </c>
      <c r="B5964" s="218">
        <v>1</v>
      </c>
      <c r="C5964" s="220" t="s">
        <v>11510</v>
      </c>
      <c r="D5964" s="220" t="s">
        <v>166</v>
      </c>
      <c r="E5964" s="165">
        <v>120</v>
      </c>
    </row>
    <row r="5965" spans="1:5" x14ac:dyDescent="0.25">
      <c r="A5965" s="216" t="s">
        <v>8743</v>
      </c>
      <c r="B5965" s="218" t="s">
        <v>48</v>
      </c>
      <c r="C5965" s="220" t="s">
        <v>640</v>
      </c>
      <c r="D5965" s="220" t="s">
        <v>69</v>
      </c>
      <c r="E5965" s="165">
        <v>120</v>
      </c>
    </row>
    <row r="5966" spans="1:5" x14ac:dyDescent="0.25">
      <c r="A5966" s="216" t="s">
        <v>11511</v>
      </c>
      <c r="B5966" s="218">
        <v>1</v>
      </c>
      <c r="C5966" s="220" t="s">
        <v>7439</v>
      </c>
      <c r="D5966" s="220" t="s">
        <v>166</v>
      </c>
      <c r="E5966" s="165">
        <v>120</v>
      </c>
    </row>
    <row r="5967" spans="1:5" x14ac:dyDescent="0.25">
      <c r="A5967" s="216" t="s">
        <v>8909</v>
      </c>
      <c r="B5967" s="218" t="s">
        <v>48</v>
      </c>
      <c r="C5967" s="220" t="s">
        <v>8255</v>
      </c>
      <c r="D5967" s="220" t="s">
        <v>59</v>
      </c>
      <c r="E5967" s="165">
        <v>119</v>
      </c>
    </row>
    <row r="5968" spans="1:5" x14ac:dyDescent="0.25">
      <c r="A5968" s="216" t="s">
        <v>8132</v>
      </c>
      <c r="B5968" s="218" t="s">
        <v>48</v>
      </c>
      <c r="C5968" s="220" t="s">
        <v>962</v>
      </c>
      <c r="D5968" s="220" t="s">
        <v>272</v>
      </c>
      <c r="E5968" s="165">
        <v>119</v>
      </c>
    </row>
    <row r="5969" spans="1:5" x14ac:dyDescent="0.25">
      <c r="A5969" s="216" t="s">
        <v>4832</v>
      </c>
      <c r="B5969" s="218">
        <v>1</v>
      </c>
      <c r="C5969" s="220" t="s">
        <v>4833</v>
      </c>
      <c r="D5969" s="220" t="s">
        <v>87</v>
      </c>
      <c r="E5969" s="165">
        <v>119</v>
      </c>
    </row>
    <row r="5970" spans="1:5" x14ac:dyDescent="0.25">
      <c r="A5970" s="216" t="s">
        <v>8299</v>
      </c>
      <c r="B5970" s="218">
        <v>1</v>
      </c>
      <c r="C5970" s="220" t="s">
        <v>8300</v>
      </c>
      <c r="D5970" s="220" t="s">
        <v>63</v>
      </c>
      <c r="E5970" s="165">
        <v>119</v>
      </c>
    </row>
    <row r="5971" spans="1:5" x14ac:dyDescent="0.25">
      <c r="A5971" s="216" t="s">
        <v>8406</v>
      </c>
      <c r="B5971" s="218">
        <v>1</v>
      </c>
      <c r="C5971" s="220" t="s">
        <v>8186</v>
      </c>
      <c r="D5971" s="220" t="s">
        <v>188</v>
      </c>
      <c r="E5971" s="165">
        <v>119</v>
      </c>
    </row>
    <row r="5972" spans="1:5" x14ac:dyDescent="0.25">
      <c r="A5972" s="216" t="s">
        <v>8195</v>
      </c>
      <c r="B5972" s="218">
        <v>1</v>
      </c>
      <c r="C5972" s="220" t="s">
        <v>8196</v>
      </c>
      <c r="D5972" s="220" t="s">
        <v>53</v>
      </c>
      <c r="E5972" s="165">
        <v>119</v>
      </c>
    </row>
    <row r="5973" spans="1:5" x14ac:dyDescent="0.25">
      <c r="A5973" s="216" t="s">
        <v>8301</v>
      </c>
      <c r="B5973" s="218">
        <v>1</v>
      </c>
      <c r="C5973" s="220" t="s">
        <v>8302</v>
      </c>
      <c r="D5973" s="220" t="s">
        <v>63</v>
      </c>
      <c r="E5973" s="165">
        <v>119</v>
      </c>
    </row>
    <row r="5974" spans="1:5" x14ac:dyDescent="0.25">
      <c r="A5974" s="216" t="s">
        <v>11512</v>
      </c>
      <c r="B5974" s="218" t="s">
        <v>48</v>
      </c>
      <c r="C5974" s="220" t="s">
        <v>11513</v>
      </c>
      <c r="D5974" s="220" t="s">
        <v>69</v>
      </c>
      <c r="E5974" s="165">
        <v>119</v>
      </c>
    </row>
    <row r="5975" spans="1:5" x14ac:dyDescent="0.25">
      <c r="A5975" s="216" t="s">
        <v>8305</v>
      </c>
      <c r="B5975" s="218">
        <v>1</v>
      </c>
      <c r="C5975" s="220" t="s">
        <v>8306</v>
      </c>
      <c r="D5975" s="220" t="s">
        <v>63</v>
      </c>
      <c r="E5975" s="165">
        <v>119</v>
      </c>
    </row>
    <row r="5976" spans="1:5" x14ac:dyDescent="0.25">
      <c r="A5976" s="216" t="s">
        <v>8292</v>
      </c>
      <c r="B5976" s="218" t="s">
        <v>48</v>
      </c>
      <c r="C5976" s="220" t="s">
        <v>473</v>
      </c>
      <c r="D5976" s="220" t="s">
        <v>82</v>
      </c>
      <c r="E5976" s="165">
        <v>119</v>
      </c>
    </row>
    <row r="5977" spans="1:5" x14ac:dyDescent="0.25">
      <c r="A5977" s="216" t="s">
        <v>8307</v>
      </c>
      <c r="B5977" s="218">
        <v>1</v>
      </c>
      <c r="C5977" s="220" t="s">
        <v>2237</v>
      </c>
      <c r="D5977" s="220" t="s">
        <v>63</v>
      </c>
      <c r="E5977" s="165">
        <v>119</v>
      </c>
    </row>
    <row r="5978" spans="1:5" x14ac:dyDescent="0.25">
      <c r="A5978" s="216" t="s">
        <v>8175</v>
      </c>
      <c r="B5978" s="218">
        <v>1</v>
      </c>
      <c r="C5978" s="220" t="s">
        <v>8176</v>
      </c>
      <c r="D5978" s="220" t="s">
        <v>98</v>
      </c>
      <c r="E5978" s="165">
        <v>119</v>
      </c>
    </row>
    <row r="5979" spans="1:5" x14ac:dyDescent="0.25">
      <c r="A5979" s="216" t="s">
        <v>8533</v>
      </c>
      <c r="B5979" s="218">
        <v>1</v>
      </c>
      <c r="C5979" s="220" t="s">
        <v>5528</v>
      </c>
      <c r="D5979" s="220" t="s">
        <v>118</v>
      </c>
      <c r="E5979" s="165">
        <v>119</v>
      </c>
    </row>
    <row r="5980" spans="1:5" x14ac:dyDescent="0.25">
      <c r="A5980" s="216" t="s">
        <v>8206</v>
      </c>
      <c r="B5980" s="218">
        <v>1</v>
      </c>
      <c r="C5980" s="220" t="s">
        <v>3123</v>
      </c>
      <c r="D5980" s="220" t="s">
        <v>56</v>
      </c>
      <c r="E5980" s="165">
        <v>119</v>
      </c>
    </row>
    <row r="5981" spans="1:5" x14ac:dyDescent="0.25">
      <c r="A5981" s="216" t="s">
        <v>8258</v>
      </c>
      <c r="B5981" s="218">
        <v>1</v>
      </c>
      <c r="C5981" s="220" t="s">
        <v>8234</v>
      </c>
      <c r="D5981" s="220" t="s">
        <v>264</v>
      </c>
      <c r="E5981" s="165">
        <v>118</v>
      </c>
    </row>
    <row r="5982" spans="1:5" x14ac:dyDescent="0.25">
      <c r="A5982" s="216" t="s">
        <v>8146</v>
      </c>
      <c r="B5982" s="218">
        <v>1</v>
      </c>
      <c r="C5982" s="220" t="s">
        <v>1164</v>
      </c>
      <c r="D5982" s="220" t="s">
        <v>277</v>
      </c>
      <c r="E5982" s="165">
        <v>118</v>
      </c>
    </row>
    <row r="5983" spans="1:5" x14ac:dyDescent="0.25">
      <c r="A5983" s="216" t="s">
        <v>11514</v>
      </c>
      <c r="B5983" s="218">
        <v>1</v>
      </c>
      <c r="C5983" s="220" t="s">
        <v>323</v>
      </c>
      <c r="D5983" s="220" t="s">
        <v>277</v>
      </c>
      <c r="E5983" s="165">
        <v>118</v>
      </c>
    </row>
    <row r="5984" spans="1:5" x14ac:dyDescent="0.25">
      <c r="A5984" s="216" t="s">
        <v>7923</v>
      </c>
      <c r="B5984" s="218">
        <v>1</v>
      </c>
      <c r="C5984" s="220" t="s">
        <v>3038</v>
      </c>
      <c r="D5984" s="220" t="s">
        <v>59</v>
      </c>
      <c r="E5984" s="165">
        <v>118</v>
      </c>
    </row>
    <row r="5985" spans="1:5" x14ac:dyDescent="0.25">
      <c r="A5985" s="216" t="s">
        <v>9116</v>
      </c>
      <c r="B5985" s="218" t="s">
        <v>48</v>
      </c>
      <c r="C5985" s="220" t="s">
        <v>3299</v>
      </c>
      <c r="D5985" s="220" t="s">
        <v>82</v>
      </c>
      <c r="E5985" s="165">
        <v>118</v>
      </c>
    </row>
    <row r="5986" spans="1:5" x14ac:dyDescent="0.25">
      <c r="A5986" s="216" t="s">
        <v>8103</v>
      </c>
      <c r="B5986" s="218">
        <v>1</v>
      </c>
      <c r="C5986" s="220" t="s">
        <v>3551</v>
      </c>
      <c r="D5986" s="220" t="s">
        <v>272</v>
      </c>
      <c r="E5986" s="165">
        <v>118</v>
      </c>
    </row>
    <row r="5987" spans="1:5" x14ac:dyDescent="0.25">
      <c r="A5987" s="216" t="s">
        <v>7976</v>
      </c>
      <c r="B5987" s="218">
        <v>1</v>
      </c>
      <c r="C5987" s="220" t="s">
        <v>2274</v>
      </c>
      <c r="D5987" s="220" t="s">
        <v>93</v>
      </c>
      <c r="E5987" s="165">
        <v>118</v>
      </c>
    </row>
    <row r="5988" spans="1:5" x14ac:dyDescent="0.25">
      <c r="A5988" s="216" t="s">
        <v>8459</v>
      </c>
      <c r="B5988" s="218">
        <v>1</v>
      </c>
      <c r="C5988" s="220" t="s">
        <v>8460</v>
      </c>
      <c r="D5988" s="220" t="s">
        <v>63</v>
      </c>
      <c r="E5988" s="165">
        <v>118</v>
      </c>
    </row>
    <row r="5989" spans="1:5" x14ac:dyDescent="0.25">
      <c r="A5989" s="216" t="s">
        <v>3012</v>
      </c>
      <c r="B5989" s="218">
        <v>1</v>
      </c>
      <c r="C5989" s="220" t="s">
        <v>597</v>
      </c>
      <c r="D5989" s="220" t="s">
        <v>56</v>
      </c>
      <c r="E5989" s="165">
        <v>118</v>
      </c>
    </row>
    <row r="5990" spans="1:5" x14ac:dyDescent="0.25">
      <c r="A5990" s="216" t="s">
        <v>8112</v>
      </c>
      <c r="B5990" s="218">
        <v>1</v>
      </c>
      <c r="C5990" s="220" t="s">
        <v>8113</v>
      </c>
      <c r="D5990" s="220" t="s">
        <v>575</v>
      </c>
      <c r="E5990" s="165">
        <v>118</v>
      </c>
    </row>
    <row r="5991" spans="1:5" x14ac:dyDescent="0.25">
      <c r="A5991" s="216" t="s">
        <v>8375</v>
      </c>
      <c r="B5991" s="218" t="s">
        <v>48</v>
      </c>
      <c r="C5991" s="220" t="s">
        <v>1747</v>
      </c>
      <c r="D5991" s="220" t="s">
        <v>394</v>
      </c>
      <c r="E5991" s="165">
        <v>118</v>
      </c>
    </row>
    <row r="5992" spans="1:5" x14ac:dyDescent="0.25">
      <c r="A5992" s="216" t="s">
        <v>8335</v>
      </c>
      <c r="B5992" s="218" t="s">
        <v>48</v>
      </c>
      <c r="C5992" s="220" t="s">
        <v>213</v>
      </c>
      <c r="D5992" s="220" t="s">
        <v>75</v>
      </c>
      <c r="E5992" s="165">
        <v>118</v>
      </c>
    </row>
    <row r="5993" spans="1:5" x14ac:dyDescent="0.25">
      <c r="A5993" s="216" t="s">
        <v>10487</v>
      </c>
      <c r="B5993" s="218">
        <v>1</v>
      </c>
      <c r="C5993" s="220" t="s">
        <v>6638</v>
      </c>
      <c r="D5993" s="220" t="s">
        <v>192</v>
      </c>
      <c r="E5993" s="165">
        <v>117</v>
      </c>
    </row>
    <row r="5994" spans="1:5" x14ac:dyDescent="0.25">
      <c r="A5994" s="216" t="s">
        <v>4877</v>
      </c>
      <c r="B5994" s="218" t="s">
        <v>48</v>
      </c>
      <c r="C5994" s="220" t="s">
        <v>4878</v>
      </c>
      <c r="D5994" s="220" t="s">
        <v>585</v>
      </c>
      <c r="E5994" s="165">
        <v>117</v>
      </c>
    </row>
    <row r="5995" spans="1:5" x14ac:dyDescent="0.25">
      <c r="A5995" s="216" t="s">
        <v>8264</v>
      </c>
      <c r="B5995" s="218">
        <v>1</v>
      </c>
      <c r="C5995" s="220" t="s">
        <v>318</v>
      </c>
      <c r="D5995" s="220" t="s">
        <v>172</v>
      </c>
      <c r="E5995" s="165">
        <v>117</v>
      </c>
    </row>
    <row r="5996" spans="1:5" x14ac:dyDescent="0.25">
      <c r="A5996" s="216" t="s">
        <v>7637</v>
      </c>
      <c r="B5996" s="218">
        <v>1</v>
      </c>
      <c r="C5996" s="220" t="s">
        <v>7638</v>
      </c>
      <c r="D5996" s="220" t="s">
        <v>277</v>
      </c>
      <c r="E5996" s="165">
        <v>117</v>
      </c>
    </row>
    <row r="5997" spans="1:5" x14ac:dyDescent="0.25">
      <c r="A5997" s="216" t="s">
        <v>8078</v>
      </c>
      <c r="B5997" s="218">
        <v>1</v>
      </c>
      <c r="C5997" s="220" t="s">
        <v>3293</v>
      </c>
      <c r="D5997" s="220" t="s">
        <v>130</v>
      </c>
      <c r="E5997" s="165">
        <v>117</v>
      </c>
    </row>
    <row r="5998" spans="1:5" x14ac:dyDescent="0.25">
      <c r="A5998" s="216" t="s">
        <v>8272</v>
      </c>
      <c r="B5998" s="218">
        <v>1</v>
      </c>
      <c r="C5998" s="220" t="s">
        <v>845</v>
      </c>
      <c r="D5998" s="220" t="s">
        <v>66</v>
      </c>
      <c r="E5998" s="165">
        <v>117</v>
      </c>
    </row>
    <row r="5999" spans="1:5" x14ac:dyDescent="0.25">
      <c r="A5999" s="216" t="s">
        <v>8273</v>
      </c>
      <c r="B5999" s="218">
        <v>1</v>
      </c>
      <c r="C5999" s="220" t="s">
        <v>7693</v>
      </c>
      <c r="D5999" s="220" t="s">
        <v>66</v>
      </c>
      <c r="E5999" s="165">
        <v>117</v>
      </c>
    </row>
    <row r="6000" spans="1:5" x14ac:dyDescent="0.25">
      <c r="A6000" s="216" t="s">
        <v>8955</v>
      </c>
      <c r="B6000" s="218" t="s">
        <v>48</v>
      </c>
      <c r="C6000" s="220" t="s">
        <v>5224</v>
      </c>
      <c r="D6000" s="220" t="s">
        <v>166</v>
      </c>
      <c r="E6000" s="165">
        <v>117</v>
      </c>
    </row>
    <row r="6001" spans="1:5" x14ac:dyDescent="0.25">
      <c r="A6001" s="216" t="s">
        <v>6742</v>
      </c>
      <c r="B6001" s="218" t="s">
        <v>48</v>
      </c>
      <c r="C6001" s="220" t="s">
        <v>6743</v>
      </c>
      <c r="D6001" s="220" t="s">
        <v>166</v>
      </c>
      <c r="E6001" s="165">
        <v>117</v>
      </c>
    </row>
    <row r="6002" spans="1:5" x14ac:dyDescent="0.25">
      <c r="A6002" s="216" t="s">
        <v>11515</v>
      </c>
      <c r="B6002" s="218" t="s">
        <v>48</v>
      </c>
      <c r="C6002" s="220" t="s">
        <v>11516</v>
      </c>
      <c r="D6002" s="220" t="s">
        <v>59</v>
      </c>
      <c r="E6002" s="165">
        <v>117</v>
      </c>
    </row>
    <row r="6003" spans="1:5" x14ac:dyDescent="0.25">
      <c r="A6003" s="216" t="s">
        <v>8086</v>
      </c>
      <c r="B6003" s="218">
        <v>1</v>
      </c>
      <c r="C6003" s="220" t="s">
        <v>8087</v>
      </c>
      <c r="D6003" s="220" t="s">
        <v>130</v>
      </c>
      <c r="E6003" s="165">
        <v>117</v>
      </c>
    </row>
    <row r="6004" spans="1:5" x14ac:dyDescent="0.25">
      <c r="A6004" s="216" t="s">
        <v>8338</v>
      </c>
      <c r="B6004" s="218">
        <v>1</v>
      </c>
      <c r="C6004" s="220" t="s">
        <v>4863</v>
      </c>
      <c r="D6004" s="220" t="s">
        <v>98</v>
      </c>
      <c r="E6004" s="165">
        <v>117</v>
      </c>
    </row>
    <row r="6005" spans="1:5" x14ac:dyDescent="0.25">
      <c r="A6005" s="216" t="s">
        <v>5354</v>
      </c>
      <c r="B6005" s="218">
        <v>1</v>
      </c>
      <c r="C6005" s="220" t="s">
        <v>464</v>
      </c>
      <c r="D6005" s="220" t="s">
        <v>56</v>
      </c>
      <c r="E6005" s="165">
        <v>117</v>
      </c>
    </row>
    <row r="6006" spans="1:5" x14ac:dyDescent="0.25">
      <c r="A6006" s="216" t="s">
        <v>7535</v>
      </c>
      <c r="B6006" s="218" t="s">
        <v>48</v>
      </c>
      <c r="C6006" s="220" t="s">
        <v>7536</v>
      </c>
      <c r="D6006" s="220" t="s">
        <v>108</v>
      </c>
      <c r="E6006" s="165">
        <v>117</v>
      </c>
    </row>
    <row r="6007" spans="1:5" x14ac:dyDescent="0.25">
      <c r="A6007" s="216" t="s">
        <v>8183</v>
      </c>
      <c r="B6007" s="218">
        <v>1</v>
      </c>
      <c r="C6007" s="220" t="s">
        <v>8184</v>
      </c>
      <c r="D6007" s="220" t="s">
        <v>50</v>
      </c>
      <c r="E6007" s="165">
        <v>116</v>
      </c>
    </row>
    <row r="6008" spans="1:5" x14ac:dyDescent="0.25">
      <c r="A6008" s="216" t="s">
        <v>8190</v>
      </c>
      <c r="B6008" s="218">
        <v>1</v>
      </c>
      <c r="C6008" s="220" t="s">
        <v>2623</v>
      </c>
      <c r="D6008" s="220" t="s">
        <v>50</v>
      </c>
      <c r="E6008" s="165">
        <v>116</v>
      </c>
    </row>
    <row r="6009" spans="1:5" x14ac:dyDescent="0.25">
      <c r="A6009" s="216" t="s">
        <v>8482</v>
      </c>
      <c r="B6009" s="218">
        <v>1</v>
      </c>
      <c r="C6009" s="220" t="s">
        <v>4101</v>
      </c>
      <c r="D6009" s="220" t="s">
        <v>139</v>
      </c>
      <c r="E6009" s="165">
        <v>116</v>
      </c>
    </row>
    <row r="6010" spans="1:5" x14ac:dyDescent="0.25">
      <c r="A6010" s="216" t="s">
        <v>8718</v>
      </c>
      <c r="B6010" s="218">
        <v>1</v>
      </c>
      <c r="C6010" s="220" t="s">
        <v>1540</v>
      </c>
      <c r="D6010" s="220" t="s">
        <v>105</v>
      </c>
      <c r="E6010" s="165">
        <v>116</v>
      </c>
    </row>
    <row r="6011" spans="1:5" x14ac:dyDescent="0.25">
      <c r="A6011" s="216" t="s">
        <v>8193</v>
      </c>
      <c r="B6011" s="218">
        <v>1</v>
      </c>
      <c r="C6011" s="220" t="s">
        <v>8194</v>
      </c>
      <c r="D6011" s="220" t="s">
        <v>277</v>
      </c>
      <c r="E6011" s="165">
        <v>116</v>
      </c>
    </row>
    <row r="6012" spans="1:5" x14ac:dyDescent="0.25">
      <c r="A6012" s="216" t="s">
        <v>11517</v>
      </c>
      <c r="B6012" s="218">
        <v>1</v>
      </c>
      <c r="C6012" s="220" t="s">
        <v>2655</v>
      </c>
      <c r="D6012" s="220" t="s">
        <v>394</v>
      </c>
      <c r="E6012" s="165">
        <v>116</v>
      </c>
    </row>
    <row r="6013" spans="1:5" x14ac:dyDescent="0.25">
      <c r="A6013" s="216" t="s">
        <v>8274</v>
      </c>
      <c r="B6013" s="218">
        <v>1</v>
      </c>
      <c r="C6013" s="220" t="s">
        <v>2740</v>
      </c>
      <c r="D6013" s="220" t="s">
        <v>78</v>
      </c>
      <c r="E6013" s="165">
        <v>116</v>
      </c>
    </row>
    <row r="6014" spans="1:5" x14ac:dyDescent="0.25">
      <c r="A6014" s="216" t="s">
        <v>11518</v>
      </c>
      <c r="B6014" s="218">
        <v>1</v>
      </c>
      <c r="C6014" s="220" t="s">
        <v>11519</v>
      </c>
      <c r="D6014" s="220" t="s">
        <v>53</v>
      </c>
      <c r="E6014" s="165">
        <v>116</v>
      </c>
    </row>
    <row r="6015" spans="1:5" x14ac:dyDescent="0.25">
      <c r="A6015" s="216" t="s">
        <v>8691</v>
      </c>
      <c r="B6015" s="218" t="s">
        <v>48</v>
      </c>
      <c r="C6015" s="220" t="s">
        <v>8692</v>
      </c>
      <c r="D6015" s="220" t="s">
        <v>75</v>
      </c>
      <c r="E6015" s="165">
        <v>116</v>
      </c>
    </row>
    <row r="6016" spans="1:5" x14ac:dyDescent="0.25">
      <c r="A6016" s="216" t="s">
        <v>8446</v>
      </c>
      <c r="B6016" s="218" t="s">
        <v>48</v>
      </c>
      <c r="C6016" s="220" t="s">
        <v>289</v>
      </c>
      <c r="D6016" s="220" t="s">
        <v>69</v>
      </c>
      <c r="E6016" s="165">
        <v>115</v>
      </c>
    </row>
    <row r="6017" spans="1:5" x14ac:dyDescent="0.25">
      <c r="A6017" s="216" t="s">
        <v>8285</v>
      </c>
      <c r="B6017" s="218">
        <v>1</v>
      </c>
      <c r="C6017" s="220" t="s">
        <v>6812</v>
      </c>
      <c r="D6017" s="220" t="s">
        <v>56</v>
      </c>
      <c r="E6017" s="165">
        <v>115</v>
      </c>
    </row>
    <row r="6018" spans="1:5" x14ac:dyDescent="0.25">
      <c r="A6018" s="216" t="s">
        <v>7503</v>
      </c>
      <c r="B6018" s="218">
        <v>1</v>
      </c>
      <c r="C6018" s="220" t="s">
        <v>990</v>
      </c>
      <c r="D6018" s="220" t="s">
        <v>63</v>
      </c>
      <c r="E6018" s="165">
        <v>115</v>
      </c>
    </row>
    <row r="6019" spans="1:5" x14ac:dyDescent="0.25">
      <c r="A6019" s="216" t="s">
        <v>7191</v>
      </c>
      <c r="B6019" s="218" t="s">
        <v>48</v>
      </c>
      <c r="C6019" s="220" t="s">
        <v>350</v>
      </c>
      <c r="D6019" s="220" t="s">
        <v>139</v>
      </c>
      <c r="E6019" s="165">
        <v>115</v>
      </c>
    </row>
    <row r="6020" spans="1:5" x14ac:dyDescent="0.25">
      <c r="A6020" s="216" t="s">
        <v>8483</v>
      </c>
      <c r="B6020" s="218">
        <v>1</v>
      </c>
      <c r="C6020" s="220" t="s">
        <v>11520</v>
      </c>
      <c r="D6020" s="220" t="s">
        <v>63</v>
      </c>
      <c r="E6020" s="165">
        <v>115</v>
      </c>
    </row>
    <row r="6021" spans="1:5" x14ac:dyDescent="0.25">
      <c r="A6021" s="216" t="s">
        <v>7226</v>
      </c>
      <c r="B6021" s="218">
        <v>1</v>
      </c>
      <c r="C6021" s="220" t="s">
        <v>235</v>
      </c>
      <c r="D6021" s="220" t="s">
        <v>236</v>
      </c>
      <c r="E6021" s="165">
        <v>115</v>
      </c>
    </row>
    <row r="6022" spans="1:5" x14ac:dyDescent="0.25">
      <c r="A6022" s="216" t="s">
        <v>4493</v>
      </c>
      <c r="B6022" s="218" t="s">
        <v>48</v>
      </c>
      <c r="C6022" s="220" t="s">
        <v>2782</v>
      </c>
      <c r="D6022" s="220" t="s">
        <v>166</v>
      </c>
      <c r="E6022" s="165">
        <v>115</v>
      </c>
    </row>
    <row r="6023" spans="1:5" x14ac:dyDescent="0.25">
      <c r="A6023" s="216" t="s">
        <v>8137</v>
      </c>
      <c r="B6023" s="218">
        <v>1</v>
      </c>
      <c r="C6023" s="220" t="s">
        <v>8138</v>
      </c>
      <c r="D6023" s="220" t="s">
        <v>172</v>
      </c>
      <c r="E6023" s="165">
        <v>115</v>
      </c>
    </row>
    <row r="6024" spans="1:5" x14ac:dyDescent="0.25">
      <c r="A6024" s="216" t="s">
        <v>10799</v>
      </c>
      <c r="B6024" s="218">
        <v>1</v>
      </c>
      <c r="C6024" s="220" t="s">
        <v>11521</v>
      </c>
      <c r="D6024" s="220" t="s">
        <v>63</v>
      </c>
      <c r="E6024" s="165">
        <v>115</v>
      </c>
    </row>
    <row r="6025" spans="1:5" x14ac:dyDescent="0.25">
      <c r="A6025" s="216" t="s">
        <v>8738</v>
      </c>
      <c r="B6025" s="218">
        <v>1</v>
      </c>
      <c r="C6025" s="220" t="s">
        <v>8739</v>
      </c>
      <c r="D6025" s="220" t="s">
        <v>264</v>
      </c>
      <c r="E6025" s="165">
        <v>115</v>
      </c>
    </row>
    <row r="6026" spans="1:5" x14ac:dyDescent="0.25">
      <c r="A6026" s="216" t="s">
        <v>8317</v>
      </c>
      <c r="B6026" s="218" t="s">
        <v>48</v>
      </c>
      <c r="C6026" s="220" t="s">
        <v>161</v>
      </c>
      <c r="D6026" s="220" t="s">
        <v>75</v>
      </c>
      <c r="E6026" s="165">
        <v>115</v>
      </c>
    </row>
    <row r="6027" spans="1:5" x14ac:dyDescent="0.25">
      <c r="A6027" s="216" t="s">
        <v>8809</v>
      </c>
      <c r="B6027" s="218" t="s">
        <v>48</v>
      </c>
      <c r="C6027" s="220" t="s">
        <v>5557</v>
      </c>
      <c r="D6027" s="220" t="s">
        <v>82</v>
      </c>
      <c r="E6027" s="165">
        <v>115</v>
      </c>
    </row>
    <row r="6028" spans="1:5" x14ac:dyDescent="0.25">
      <c r="A6028" s="216" t="s">
        <v>7678</v>
      </c>
      <c r="B6028" s="218" t="s">
        <v>48</v>
      </c>
      <c r="C6028" s="220" t="s">
        <v>213</v>
      </c>
      <c r="D6028" s="220" t="s">
        <v>75</v>
      </c>
      <c r="E6028" s="165">
        <v>114</v>
      </c>
    </row>
    <row r="6029" spans="1:5" x14ac:dyDescent="0.25">
      <c r="A6029" s="216" t="s">
        <v>8399</v>
      </c>
      <c r="B6029" s="218">
        <v>1</v>
      </c>
      <c r="C6029" s="220" t="s">
        <v>8400</v>
      </c>
      <c r="D6029" s="220" t="s">
        <v>63</v>
      </c>
      <c r="E6029" s="165">
        <v>114</v>
      </c>
    </row>
    <row r="6030" spans="1:5" x14ac:dyDescent="0.25">
      <c r="A6030" s="216" t="s">
        <v>9759</v>
      </c>
      <c r="B6030" s="218" t="s">
        <v>48</v>
      </c>
      <c r="C6030" s="220" t="s">
        <v>9760</v>
      </c>
      <c r="D6030" s="220" t="s">
        <v>75</v>
      </c>
      <c r="E6030" s="165">
        <v>114</v>
      </c>
    </row>
    <row r="6031" spans="1:5" x14ac:dyDescent="0.25">
      <c r="A6031" s="216" t="s">
        <v>8187</v>
      </c>
      <c r="B6031" s="218">
        <v>1</v>
      </c>
      <c r="C6031" s="220" t="s">
        <v>3827</v>
      </c>
      <c r="D6031" s="220" t="s">
        <v>93</v>
      </c>
      <c r="E6031" s="165">
        <v>114</v>
      </c>
    </row>
    <row r="6032" spans="1:5" x14ac:dyDescent="0.25">
      <c r="A6032" s="216" t="s">
        <v>7889</v>
      </c>
      <c r="B6032" s="218">
        <v>1</v>
      </c>
      <c r="C6032" s="220" t="s">
        <v>7890</v>
      </c>
      <c r="D6032" s="220" t="s">
        <v>124</v>
      </c>
      <c r="E6032" s="165">
        <v>114</v>
      </c>
    </row>
    <row r="6033" spans="1:5" x14ac:dyDescent="0.25">
      <c r="A6033" s="216" t="s">
        <v>7542</v>
      </c>
      <c r="B6033" s="218" t="s">
        <v>48</v>
      </c>
      <c r="C6033" s="220" t="s">
        <v>7543</v>
      </c>
      <c r="D6033" s="220" t="s">
        <v>90</v>
      </c>
      <c r="E6033" s="165">
        <v>114</v>
      </c>
    </row>
    <row r="6034" spans="1:5" x14ac:dyDescent="0.25">
      <c r="A6034" s="216" t="s">
        <v>9801</v>
      </c>
      <c r="B6034" s="218" t="s">
        <v>48</v>
      </c>
      <c r="C6034" s="220" t="s">
        <v>9802</v>
      </c>
      <c r="D6034" s="220" t="s">
        <v>166</v>
      </c>
      <c r="E6034" s="165">
        <v>114</v>
      </c>
    </row>
    <row r="6035" spans="1:5" x14ac:dyDescent="0.25">
      <c r="A6035" s="216" t="s">
        <v>8290</v>
      </c>
      <c r="B6035" s="218">
        <v>1</v>
      </c>
      <c r="C6035" s="220" t="s">
        <v>429</v>
      </c>
      <c r="D6035" s="220" t="s">
        <v>98</v>
      </c>
      <c r="E6035" s="165">
        <v>114</v>
      </c>
    </row>
    <row r="6036" spans="1:5" x14ac:dyDescent="0.25">
      <c r="A6036" s="216" t="s">
        <v>8508</v>
      </c>
      <c r="B6036" s="218" t="s">
        <v>48</v>
      </c>
      <c r="C6036" s="220" t="s">
        <v>473</v>
      </c>
      <c r="D6036" s="220" t="s">
        <v>82</v>
      </c>
      <c r="E6036" s="165">
        <v>114</v>
      </c>
    </row>
    <row r="6037" spans="1:5" x14ac:dyDescent="0.25">
      <c r="A6037" s="216" t="s">
        <v>7312</v>
      </c>
      <c r="B6037" s="218" t="s">
        <v>48</v>
      </c>
      <c r="C6037" s="220" t="s">
        <v>2225</v>
      </c>
      <c r="D6037" s="220" t="s">
        <v>90</v>
      </c>
      <c r="E6037" s="165">
        <v>113</v>
      </c>
    </row>
    <row r="6038" spans="1:5" x14ac:dyDescent="0.25">
      <c r="A6038" s="216" t="s">
        <v>8516</v>
      </c>
      <c r="B6038" s="218">
        <v>1</v>
      </c>
      <c r="C6038" s="220" t="s">
        <v>8517</v>
      </c>
      <c r="D6038" s="220" t="s">
        <v>87</v>
      </c>
      <c r="E6038" s="165">
        <v>113</v>
      </c>
    </row>
    <row r="6039" spans="1:5" x14ac:dyDescent="0.25">
      <c r="A6039" s="216" t="s">
        <v>8208</v>
      </c>
      <c r="B6039" s="218">
        <v>1</v>
      </c>
      <c r="C6039" s="220" t="s">
        <v>8209</v>
      </c>
      <c r="D6039" s="220" t="s">
        <v>142</v>
      </c>
      <c r="E6039" s="165">
        <v>113</v>
      </c>
    </row>
    <row r="6040" spans="1:5" x14ac:dyDescent="0.25">
      <c r="A6040" s="216" t="s">
        <v>8161</v>
      </c>
      <c r="B6040" s="218">
        <v>1</v>
      </c>
      <c r="C6040" s="220" t="s">
        <v>1521</v>
      </c>
      <c r="D6040" s="220" t="s">
        <v>517</v>
      </c>
      <c r="E6040" s="165">
        <v>113</v>
      </c>
    </row>
    <row r="6041" spans="1:5" x14ac:dyDescent="0.25">
      <c r="A6041" s="216" t="s">
        <v>8847</v>
      </c>
      <c r="B6041" s="218" t="s">
        <v>48</v>
      </c>
      <c r="C6041" s="220" t="s">
        <v>8848</v>
      </c>
      <c r="D6041" s="220" t="s">
        <v>166</v>
      </c>
      <c r="E6041" s="165">
        <v>113</v>
      </c>
    </row>
    <row r="6042" spans="1:5" x14ac:dyDescent="0.25">
      <c r="A6042" s="216" t="s">
        <v>8288</v>
      </c>
      <c r="B6042" s="218" t="s">
        <v>48</v>
      </c>
      <c r="C6042" s="220" t="s">
        <v>8289</v>
      </c>
      <c r="D6042" s="220" t="s">
        <v>59</v>
      </c>
      <c r="E6042" s="165">
        <v>113</v>
      </c>
    </row>
    <row r="6043" spans="1:5" x14ac:dyDescent="0.25">
      <c r="A6043" s="216" t="s">
        <v>3010</v>
      </c>
      <c r="B6043" s="218" t="s">
        <v>48</v>
      </c>
      <c r="C6043" s="220" t="s">
        <v>681</v>
      </c>
      <c r="D6043" s="220" t="s">
        <v>90</v>
      </c>
      <c r="E6043" s="165">
        <v>113</v>
      </c>
    </row>
    <row r="6044" spans="1:5" x14ac:dyDescent="0.25">
      <c r="A6044" s="216" t="s">
        <v>8411</v>
      </c>
      <c r="B6044" s="218">
        <v>1</v>
      </c>
      <c r="C6044" s="220" t="s">
        <v>8203</v>
      </c>
      <c r="D6044" s="220" t="s">
        <v>78</v>
      </c>
      <c r="E6044" s="165">
        <v>113</v>
      </c>
    </row>
    <row r="6045" spans="1:5" x14ac:dyDescent="0.25">
      <c r="A6045" s="216" t="s">
        <v>8437</v>
      </c>
      <c r="B6045" s="218">
        <v>1</v>
      </c>
      <c r="C6045" s="220" t="s">
        <v>8438</v>
      </c>
      <c r="D6045" s="220" t="s">
        <v>63</v>
      </c>
      <c r="E6045" s="165">
        <v>113</v>
      </c>
    </row>
    <row r="6046" spans="1:5" x14ac:dyDescent="0.25">
      <c r="A6046" s="216" t="s">
        <v>7490</v>
      </c>
      <c r="B6046" s="218" t="s">
        <v>48</v>
      </c>
      <c r="C6046" s="220" t="s">
        <v>1130</v>
      </c>
      <c r="D6046" s="220" t="s">
        <v>93</v>
      </c>
      <c r="E6046" s="165">
        <v>113</v>
      </c>
    </row>
    <row r="6047" spans="1:5" x14ac:dyDescent="0.25">
      <c r="A6047" s="216" t="s">
        <v>8220</v>
      </c>
      <c r="B6047" s="218">
        <v>1</v>
      </c>
      <c r="C6047" s="220" t="s">
        <v>1331</v>
      </c>
      <c r="D6047" s="220" t="s">
        <v>348</v>
      </c>
      <c r="E6047" s="165">
        <v>113</v>
      </c>
    </row>
    <row r="6048" spans="1:5" x14ac:dyDescent="0.25">
      <c r="A6048" s="216" t="s">
        <v>11522</v>
      </c>
      <c r="B6048" s="218">
        <v>1</v>
      </c>
      <c r="C6048" s="220" t="s">
        <v>289</v>
      </c>
      <c r="D6048" s="220" t="s">
        <v>69</v>
      </c>
      <c r="E6048" s="165">
        <v>113</v>
      </c>
    </row>
    <row r="6049" spans="1:5" x14ac:dyDescent="0.25">
      <c r="A6049" s="216" t="s">
        <v>8423</v>
      </c>
      <c r="B6049" s="218">
        <v>1</v>
      </c>
      <c r="C6049" s="220" t="s">
        <v>8424</v>
      </c>
      <c r="D6049" s="220" t="s">
        <v>63</v>
      </c>
      <c r="E6049" s="165">
        <v>113</v>
      </c>
    </row>
    <row r="6050" spans="1:5" x14ac:dyDescent="0.25">
      <c r="A6050" s="216" t="s">
        <v>6503</v>
      </c>
      <c r="B6050" s="218" t="s">
        <v>48</v>
      </c>
      <c r="C6050" s="220" t="s">
        <v>6504</v>
      </c>
      <c r="D6050" s="220" t="s">
        <v>90</v>
      </c>
      <c r="E6050" s="165">
        <v>113</v>
      </c>
    </row>
    <row r="6051" spans="1:5" x14ac:dyDescent="0.25">
      <c r="A6051" s="216" t="s">
        <v>8064</v>
      </c>
      <c r="B6051" s="218">
        <v>1</v>
      </c>
      <c r="C6051" s="220" t="s">
        <v>8065</v>
      </c>
      <c r="D6051" s="220" t="s">
        <v>93</v>
      </c>
      <c r="E6051" s="165">
        <v>112</v>
      </c>
    </row>
    <row r="6052" spans="1:5" x14ac:dyDescent="0.25">
      <c r="A6052" s="216" t="s">
        <v>8259</v>
      </c>
      <c r="B6052" s="218">
        <v>1</v>
      </c>
      <c r="C6052" s="220" t="s">
        <v>8260</v>
      </c>
      <c r="D6052" s="220" t="s">
        <v>50</v>
      </c>
      <c r="E6052" s="165">
        <v>112</v>
      </c>
    </row>
    <row r="6053" spans="1:5" x14ac:dyDescent="0.25">
      <c r="A6053" s="216" t="s">
        <v>9033</v>
      </c>
      <c r="B6053" s="218" t="s">
        <v>48</v>
      </c>
      <c r="C6053" s="220" t="s">
        <v>9034</v>
      </c>
      <c r="D6053" s="220" t="s">
        <v>108</v>
      </c>
      <c r="E6053" s="165">
        <v>112</v>
      </c>
    </row>
    <row r="6054" spans="1:5" x14ac:dyDescent="0.25">
      <c r="A6054" s="216" t="s">
        <v>7964</v>
      </c>
      <c r="B6054" s="218">
        <v>1</v>
      </c>
      <c r="C6054" s="220" t="s">
        <v>7965</v>
      </c>
      <c r="D6054" s="220" t="s">
        <v>63</v>
      </c>
      <c r="E6054" s="165">
        <v>112</v>
      </c>
    </row>
    <row r="6055" spans="1:5" x14ac:dyDescent="0.25">
      <c r="A6055" s="216" t="s">
        <v>8866</v>
      </c>
      <c r="B6055" s="218" t="s">
        <v>48</v>
      </c>
      <c r="C6055" s="220" t="s">
        <v>8867</v>
      </c>
      <c r="D6055" s="220" t="s">
        <v>348</v>
      </c>
      <c r="E6055" s="165">
        <v>112</v>
      </c>
    </row>
    <row r="6056" spans="1:5" x14ac:dyDescent="0.25">
      <c r="A6056" s="216" t="s">
        <v>8229</v>
      </c>
      <c r="B6056" s="218">
        <v>1</v>
      </c>
      <c r="C6056" s="220" t="s">
        <v>8230</v>
      </c>
      <c r="D6056" s="220" t="s">
        <v>201</v>
      </c>
      <c r="E6056" s="165">
        <v>112</v>
      </c>
    </row>
    <row r="6057" spans="1:5" x14ac:dyDescent="0.25">
      <c r="A6057" s="216" t="s">
        <v>8476</v>
      </c>
      <c r="B6057" s="218">
        <v>1</v>
      </c>
      <c r="C6057" s="220" t="s">
        <v>709</v>
      </c>
      <c r="D6057" s="220" t="s">
        <v>177</v>
      </c>
      <c r="E6057" s="165">
        <v>112</v>
      </c>
    </row>
    <row r="6058" spans="1:5" x14ac:dyDescent="0.25">
      <c r="A6058" s="216" t="s">
        <v>8537</v>
      </c>
      <c r="B6058" s="218">
        <v>1</v>
      </c>
      <c r="C6058" s="220" t="s">
        <v>8538</v>
      </c>
      <c r="D6058" s="220" t="s">
        <v>63</v>
      </c>
      <c r="E6058" s="165">
        <v>112</v>
      </c>
    </row>
    <row r="6059" spans="1:5" x14ac:dyDescent="0.25">
      <c r="A6059" s="216" t="s">
        <v>8262</v>
      </c>
      <c r="B6059" s="218">
        <v>1</v>
      </c>
      <c r="C6059" s="220" t="s">
        <v>6407</v>
      </c>
      <c r="D6059" s="220" t="s">
        <v>50</v>
      </c>
      <c r="E6059" s="165">
        <v>112</v>
      </c>
    </row>
    <row r="6060" spans="1:5" x14ac:dyDescent="0.25">
      <c r="A6060" s="216" t="s">
        <v>8263</v>
      </c>
      <c r="B6060" s="218">
        <v>1</v>
      </c>
      <c r="C6060" s="220" t="s">
        <v>7675</v>
      </c>
      <c r="D6060" s="220" t="s">
        <v>50</v>
      </c>
      <c r="E6060" s="165">
        <v>112</v>
      </c>
    </row>
    <row r="6061" spans="1:5" x14ac:dyDescent="0.25">
      <c r="A6061" s="216" t="s">
        <v>6939</v>
      </c>
      <c r="B6061" s="218">
        <v>1</v>
      </c>
      <c r="C6061" s="220" t="s">
        <v>5138</v>
      </c>
      <c r="D6061" s="220" t="s">
        <v>69</v>
      </c>
      <c r="E6061" s="165">
        <v>112</v>
      </c>
    </row>
    <row r="6062" spans="1:5" x14ac:dyDescent="0.25">
      <c r="A6062" s="216" t="s">
        <v>8428</v>
      </c>
      <c r="B6062" s="218">
        <v>1</v>
      </c>
      <c r="C6062" s="220" t="s">
        <v>8429</v>
      </c>
      <c r="D6062" s="220" t="s">
        <v>774</v>
      </c>
      <c r="E6062" s="165">
        <v>112</v>
      </c>
    </row>
    <row r="6063" spans="1:5" x14ac:dyDescent="0.25">
      <c r="A6063" s="216" t="s">
        <v>8846</v>
      </c>
      <c r="B6063" s="218" t="s">
        <v>48</v>
      </c>
      <c r="C6063" s="220" t="s">
        <v>1669</v>
      </c>
      <c r="D6063" s="220" t="s">
        <v>378</v>
      </c>
      <c r="E6063" s="165">
        <v>112</v>
      </c>
    </row>
    <row r="6064" spans="1:5" x14ac:dyDescent="0.25">
      <c r="A6064" s="216" t="s">
        <v>8027</v>
      </c>
      <c r="B6064" s="218" t="s">
        <v>48</v>
      </c>
      <c r="C6064" s="220" t="s">
        <v>2195</v>
      </c>
      <c r="D6064" s="220" t="s">
        <v>166</v>
      </c>
      <c r="E6064" s="165">
        <v>112</v>
      </c>
    </row>
    <row r="6065" spans="1:5" x14ac:dyDescent="0.25">
      <c r="A6065" s="216" t="s">
        <v>6416</v>
      </c>
      <c r="B6065" s="218">
        <v>1</v>
      </c>
      <c r="C6065" s="220" t="s">
        <v>219</v>
      </c>
      <c r="D6065" s="220" t="s">
        <v>56</v>
      </c>
      <c r="E6065" s="165">
        <v>112</v>
      </c>
    </row>
    <row r="6066" spans="1:5" x14ac:dyDescent="0.25">
      <c r="A6066" s="216" t="s">
        <v>10338</v>
      </c>
      <c r="B6066" s="218" t="s">
        <v>48</v>
      </c>
      <c r="C6066" s="220" t="s">
        <v>7254</v>
      </c>
      <c r="D6066" s="220" t="s">
        <v>108</v>
      </c>
      <c r="E6066" s="165">
        <v>112</v>
      </c>
    </row>
    <row r="6067" spans="1:5" x14ac:dyDescent="0.25">
      <c r="A6067" s="216" t="s">
        <v>8269</v>
      </c>
      <c r="B6067" s="218">
        <v>1</v>
      </c>
      <c r="C6067" s="220" t="s">
        <v>1149</v>
      </c>
      <c r="D6067" s="220" t="s">
        <v>50</v>
      </c>
      <c r="E6067" s="165">
        <v>112</v>
      </c>
    </row>
    <row r="6068" spans="1:5" x14ac:dyDescent="0.25">
      <c r="A6068" s="216" t="s">
        <v>8407</v>
      </c>
      <c r="B6068" s="218">
        <v>1</v>
      </c>
      <c r="C6068" s="220" t="s">
        <v>8408</v>
      </c>
      <c r="D6068" s="220" t="s">
        <v>66</v>
      </c>
      <c r="E6068" s="165">
        <v>112</v>
      </c>
    </row>
    <row r="6069" spans="1:5" x14ac:dyDescent="0.25">
      <c r="A6069" s="216" t="s">
        <v>11523</v>
      </c>
      <c r="B6069" s="218" t="s">
        <v>48</v>
      </c>
      <c r="C6069" s="220" t="s">
        <v>2189</v>
      </c>
      <c r="D6069" s="220" t="s">
        <v>90</v>
      </c>
      <c r="E6069" s="165">
        <v>112</v>
      </c>
    </row>
    <row r="6070" spans="1:5" x14ac:dyDescent="0.25">
      <c r="A6070" s="216" t="s">
        <v>10737</v>
      </c>
      <c r="B6070" s="218">
        <v>1</v>
      </c>
      <c r="C6070" s="220" t="s">
        <v>1162</v>
      </c>
      <c r="D6070" s="220" t="s">
        <v>188</v>
      </c>
      <c r="E6070" s="165">
        <v>112</v>
      </c>
    </row>
    <row r="6071" spans="1:5" x14ac:dyDescent="0.25">
      <c r="A6071" s="216" t="s">
        <v>9121</v>
      </c>
      <c r="B6071" s="218" t="s">
        <v>48</v>
      </c>
      <c r="C6071" s="220" t="s">
        <v>773</v>
      </c>
      <c r="D6071" s="220" t="s">
        <v>378</v>
      </c>
      <c r="E6071" s="165">
        <v>112</v>
      </c>
    </row>
    <row r="6072" spans="1:5" x14ac:dyDescent="0.25">
      <c r="A6072" s="216" t="s">
        <v>8551</v>
      </c>
      <c r="B6072" s="218" t="s">
        <v>48</v>
      </c>
      <c r="C6072" s="220" t="s">
        <v>6956</v>
      </c>
      <c r="D6072" s="220" t="s">
        <v>142</v>
      </c>
      <c r="E6072" s="165">
        <v>112</v>
      </c>
    </row>
    <row r="6073" spans="1:5" x14ac:dyDescent="0.25">
      <c r="A6073" s="216" t="s">
        <v>3307</v>
      </c>
      <c r="B6073" s="218">
        <v>1</v>
      </c>
      <c r="C6073" s="220" t="s">
        <v>877</v>
      </c>
      <c r="D6073" s="220" t="s">
        <v>78</v>
      </c>
      <c r="E6073" s="165">
        <v>112</v>
      </c>
    </row>
    <row r="6074" spans="1:5" x14ac:dyDescent="0.25">
      <c r="A6074" s="216" t="s">
        <v>8277</v>
      </c>
      <c r="B6074" s="218">
        <v>1</v>
      </c>
      <c r="C6074" s="220" t="s">
        <v>1953</v>
      </c>
      <c r="D6074" s="220" t="s">
        <v>50</v>
      </c>
      <c r="E6074" s="165">
        <v>112</v>
      </c>
    </row>
    <row r="6075" spans="1:5" x14ac:dyDescent="0.25">
      <c r="A6075" s="216" t="s">
        <v>8221</v>
      </c>
      <c r="B6075" s="218" t="s">
        <v>48</v>
      </c>
      <c r="C6075" s="220" t="s">
        <v>8222</v>
      </c>
      <c r="D6075" s="220" t="s">
        <v>90</v>
      </c>
      <c r="E6075" s="165">
        <v>112</v>
      </c>
    </row>
    <row r="6076" spans="1:5" x14ac:dyDescent="0.25">
      <c r="A6076" s="216" t="s">
        <v>8511</v>
      </c>
      <c r="B6076" s="218">
        <v>1</v>
      </c>
      <c r="C6076" s="220" t="s">
        <v>8512</v>
      </c>
      <c r="D6076" s="220" t="s">
        <v>56</v>
      </c>
      <c r="E6076" s="165">
        <v>112</v>
      </c>
    </row>
    <row r="6077" spans="1:5" x14ac:dyDescent="0.25">
      <c r="A6077" s="216" t="s">
        <v>8279</v>
      </c>
      <c r="B6077" s="218">
        <v>1</v>
      </c>
      <c r="C6077" s="220" t="s">
        <v>8280</v>
      </c>
      <c r="D6077" s="220" t="s">
        <v>50</v>
      </c>
      <c r="E6077" s="165">
        <v>112</v>
      </c>
    </row>
    <row r="6078" spans="1:5" x14ac:dyDescent="0.25">
      <c r="A6078" s="216" t="s">
        <v>8088</v>
      </c>
      <c r="B6078" s="218">
        <v>1</v>
      </c>
      <c r="C6078" s="220" t="s">
        <v>8089</v>
      </c>
      <c r="D6078" s="220" t="s">
        <v>93</v>
      </c>
      <c r="E6078" s="165">
        <v>112</v>
      </c>
    </row>
    <row r="6079" spans="1:5" x14ac:dyDescent="0.25">
      <c r="A6079" s="216" t="s">
        <v>8282</v>
      </c>
      <c r="B6079" s="218">
        <v>1</v>
      </c>
      <c r="C6079" s="220" t="s">
        <v>8283</v>
      </c>
      <c r="D6079" s="220" t="s">
        <v>50</v>
      </c>
      <c r="E6079" s="165">
        <v>112</v>
      </c>
    </row>
    <row r="6080" spans="1:5" x14ac:dyDescent="0.25">
      <c r="A6080" s="216" t="s">
        <v>8940</v>
      </c>
      <c r="B6080" s="218">
        <v>1</v>
      </c>
      <c r="C6080" s="220" t="s">
        <v>756</v>
      </c>
      <c r="D6080" s="220" t="s">
        <v>72</v>
      </c>
      <c r="E6080" s="165">
        <v>112</v>
      </c>
    </row>
    <row r="6081" spans="1:5" x14ac:dyDescent="0.25">
      <c r="A6081" s="216" t="s">
        <v>9349</v>
      </c>
      <c r="B6081" s="218">
        <v>1</v>
      </c>
      <c r="C6081" s="220" t="s">
        <v>9350</v>
      </c>
      <c r="D6081" s="220" t="s">
        <v>98</v>
      </c>
      <c r="E6081" s="165">
        <v>111</v>
      </c>
    </row>
    <row r="6082" spans="1:5" x14ac:dyDescent="0.25">
      <c r="A6082" s="216" t="s">
        <v>8583</v>
      </c>
      <c r="B6082" s="218" t="s">
        <v>48</v>
      </c>
      <c r="C6082" s="220" t="s">
        <v>3192</v>
      </c>
      <c r="D6082" s="220" t="s">
        <v>78</v>
      </c>
      <c r="E6082" s="165">
        <v>111</v>
      </c>
    </row>
    <row r="6083" spans="1:5" x14ac:dyDescent="0.25">
      <c r="A6083" s="216" t="s">
        <v>6871</v>
      </c>
      <c r="B6083" s="218">
        <v>1</v>
      </c>
      <c r="C6083" s="220" t="s">
        <v>6872</v>
      </c>
      <c r="D6083" s="220" t="s">
        <v>188</v>
      </c>
      <c r="E6083" s="165">
        <v>111</v>
      </c>
    </row>
    <row r="6084" spans="1:5" x14ac:dyDescent="0.25">
      <c r="A6084" s="216" t="s">
        <v>8261</v>
      </c>
      <c r="B6084" s="218">
        <v>1</v>
      </c>
      <c r="C6084" s="220" t="s">
        <v>4355</v>
      </c>
      <c r="D6084" s="220" t="s">
        <v>236</v>
      </c>
      <c r="E6084" s="165">
        <v>111</v>
      </c>
    </row>
    <row r="6085" spans="1:5" x14ac:dyDescent="0.25">
      <c r="A6085" s="216" t="s">
        <v>8761</v>
      </c>
      <c r="B6085" s="218">
        <v>1</v>
      </c>
      <c r="C6085" s="220" t="s">
        <v>8762</v>
      </c>
      <c r="D6085" s="220" t="s">
        <v>50</v>
      </c>
      <c r="E6085" s="165">
        <v>111</v>
      </c>
    </row>
    <row r="6086" spans="1:5" x14ac:dyDescent="0.25">
      <c r="A6086" s="216" t="s">
        <v>9205</v>
      </c>
      <c r="B6086" s="218">
        <v>1</v>
      </c>
      <c r="C6086" s="220" t="s">
        <v>9206</v>
      </c>
      <c r="D6086" s="220" t="s">
        <v>59</v>
      </c>
      <c r="E6086" s="165">
        <v>111</v>
      </c>
    </row>
    <row r="6087" spans="1:5" x14ac:dyDescent="0.25">
      <c r="A6087" s="216" t="s">
        <v>8448</v>
      </c>
      <c r="B6087" s="218" t="s">
        <v>48</v>
      </c>
      <c r="C6087" s="220" t="s">
        <v>8449</v>
      </c>
      <c r="D6087" s="220" t="s">
        <v>59</v>
      </c>
      <c r="E6087" s="165">
        <v>111</v>
      </c>
    </row>
    <row r="6088" spans="1:5" x14ac:dyDescent="0.25">
      <c r="A6088" s="216" t="s">
        <v>10159</v>
      </c>
      <c r="B6088" s="218">
        <v>1</v>
      </c>
      <c r="C6088" s="220" t="s">
        <v>6636</v>
      </c>
      <c r="D6088" s="220" t="s">
        <v>69</v>
      </c>
      <c r="E6088" s="165">
        <v>111</v>
      </c>
    </row>
    <row r="6089" spans="1:5" x14ac:dyDescent="0.25">
      <c r="A6089" s="216" t="s">
        <v>8363</v>
      </c>
      <c r="B6089" s="218">
        <v>1</v>
      </c>
      <c r="C6089" s="220" t="s">
        <v>1472</v>
      </c>
      <c r="D6089" s="220" t="s">
        <v>188</v>
      </c>
      <c r="E6089" s="165">
        <v>111</v>
      </c>
    </row>
    <row r="6090" spans="1:5" x14ac:dyDescent="0.25">
      <c r="A6090" s="216" t="s">
        <v>8704</v>
      </c>
      <c r="B6090" s="218">
        <v>1</v>
      </c>
      <c r="C6090" s="220" t="s">
        <v>2572</v>
      </c>
      <c r="D6090" s="220" t="s">
        <v>63</v>
      </c>
      <c r="E6090" s="165">
        <v>111</v>
      </c>
    </row>
    <row r="6091" spans="1:5" x14ac:dyDescent="0.25">
      <c r="A6091" s="216" t="s">
        <v>9127</v>
      </c>
      <c r="B6091" s="218" t="s">
        <v>48</v>
      </c>
      <c r="C6091" s="220" t="s">
        <v>9128</v>
      </c>
      <c r="D6091" s="220" t="s">
        <v>378</v>
      </c>
      <c r="E6091" s="165">
        <v>111</v>
      </c>
    </row>
    <row r="6092" spans="1:5" x14ac:dyDescent="0.25">
      <c r="A6092" s="216" t="s">
        <v>11524</v>
      </c>
      <c r="B6092" s="218">
        <v>1</v>
      </c>
      <c r="C6092" s="220" t="s">
        <v>2829</v>
      </c>
      <c r="D6092" s="220" t="s">
        <v>50</v>
      </c>
      <c r="E6092" s="165">
        <v>111</v>
      </c>
    </row>
    <row r="6093" spans="1:5" x14ac:dyDescent="0.25">
      <c r="A6093" s="216" t="s">
        <v>8074</v>
      </c>
      <c r="B6093" s="218">
        <v>1</v>
      </c>
      <c r="C6093" s="220" t="s">
        <v>8075</v>
      </c>
      <c r="D6093" s="220" t="s">
        <v>139</v>
      </c>
      <c r="E6093" s="165">
        <v>111</v>
      </c>
    </row>
    <row r="6094" spans="1:5" x14ac:dyDescent="0.25">
      <c r="A6094" s="216" t="s">
        <v>8725</v>
      </c>
      <c r="B6094" s="218">
        <v>1</v>
      </c>
      <c r="C6094" s="220" t="s">
        <v>8726</v>
      </c>
      <c r="D6094" s="220" t="s">
        <v>236</v>
      </c>
      <c r="E6094" s="165">
        <v>111</v>
      </c>
    </row>
    <row r="6095" spans="1:5" x14ac:dyDescent="0.25">
      <c r="A6095" s="216" t="s">
        <v>6610</v>
      </c>
      <c r="B6095" s="218">
        <v>1</v>
      </c>
      <c r="C6095" s="220" t="s">
        <v>6611</v>
      </c>
      <c r="D6095" s="220" t="s">
        <v>66</v>
      </c>
      <c r="E6095" s="165">
        <v>111</v>
      </c>
    </row>
    <row r="6096" spans="1:5" x14ac:dyDescent="0.25">
      <c r="A6096" s="216" t="s">
        <v>8612</v>
      </c>
      <c r="B6096" s="218" t="s">
        <v>48</v>
      </c>
      <c r="C6096" s="220" t="s">
        <v>8613</v>
      </c>
      <c r="D6096" s="220" t="s">
        <v>108</v>
      </c>
      <c r="E6096" s="165">
        <v>111</v>
      </c>
    </row>
    <row r="6097" spans="1:5" x14ac:dyDescent="0.25">
      <c r="A6097" s="216" t="s">
        <v>9313</v>
      </c>
      <c r="B6097" s="218">
        <v>1</v>
      </c>
      <c r="C6097" s="220" t="s">
        <v>8540</v>
      </c>
      <c r="D6097" s="220" t="s">
        <v>56</v>
      </c>
      <c r="E6097" s="165">
        <v>111</v>
      </c>
    </row>
    <row r="6098" spans="1:5" x14ac:dyDescent="0.25">
      <c r="A6098" s="216" t="s">
        <v>8803</v>
      </c>
      <c r="B6098" s="218">
        <v>1</v>
      </c>
      <c r="C6098" s="220" t="s">
        <v>2365</v>
      </c>
      <c r="D6098" s="220" t="s">
        <v>93</v>
      </c>
      <c r="E6098" s="165">
        <v>111</v>
      </c>
    </row>
    <row r="6099" spans="1:5" x14ac:dyDescent="0.25">
      <c r="A6099" s="216" t="s">
        <v>10018</v>
      </c>
      <c r="B6099" s="218">
        <v>1</v>
      </c>
      <c r="C6099" s="220" t="s">
        <v>10019</v>
      </c>
      <c r="D6099" s="220" t="s">
        <v>142</v>
      </c>
      <c r="E6099" s="165">
        <v>111</v>
      </c>
    </row>
    <row r="6100" spans="1:5" x14ac:dyDescent="0.25">
      <c r="A6100" s="216" t="s">
        <v>8737</v>
      </c>
      <c r="B6100" s="218">
        <v>1</v>
      </c>
      <c r="C6100" s="220" t="s">
        <v>2136</v>
      </c>
      <c r="D6100" s="220" t="s">
        <v>236</v>
      </c>
      <c r="E6100" s="165">
        <v>111</v>
      </c>
    </row>
    <row r="6101" spans="1:5" x14ac:dyDescent="0.25">
      <c r="A6101" s="216" t="s">
        <v>10174</v>
      </c>
      <c r="B6101" s="218">
        <v>1</v>
      </c>
      <c r="C6101" s="220" t="s">
        <v>8496</v>
      </c>
      <c r="D6101" s="220" t="s">
        <v>98</v>
      </c>
      <c r="E6101" s="165">
        <v>111</v>
      </c>
    </row>
    <row r="6102" spans="1:5" x14ac:dyDescent="0.25">
      <c r="A6102" s="216" t="s">
        <v>5241</v>
      </c>
      <c r="B6102" s="218" t="s">
        <v>48</v>
      </c>
      <c r="C6102" s="220" t="s">
        <v>313</v>
      </c>
      <c r="D6102" s="220" t="s">
        <v>90</v>
      </c>
      <c r="E6102" s="165">
        <v>111</v>
      </c>
    </row>
    <row r="6103" spans="1:5" x14ac:dyDescent="0.25">
      <c r="A6103" s="216" t="s">
        <v>8315</v>
      </c>
      <c r="B6103" s="218">
        <v>1</v>
      </c>
      <c r="C6103" s="220" t="s">
        <v>8316</v>
      </c>
      <c r="D6103" s="220" t="s">
        <v>272</v>
      </c>
      <c r="E6103" s="165">
        <v>111</v>
      </c>
    </row>
    <row r="6104" spans="1:5" x14ac:dyDescent="0.25">
      <c r="A6104" s="216" t="s">
        <v>11525</v>
      </c>
      <c r="B6104" s="218">
        <v>1</v>
      </c>
      <c r="C6104" s="220" t="s">
        <v>5204</v>
      </c>
      <c r="D6104" s="220" t="s">
        <v>188</v>
      </c>
      <c r="E6104" s="165">
        <v>111</v>
      </c>
    </row>
    <row r="6105" spans="1:5" x14ac:dyDescent="0.25">
      <c r="A6105" s="216" t="s">
        <v>8245</v>
      </c>
      <c r="B6105" s="218" t="s">
        <v>48</v>
      </c>
      <c r="C6105" s="220" t="s">
        <v>8246</v>
      </c>
      <c r="D6105" s="220" t="s">
        <v>75</v>
      </c>
      <c r="E6105" s="165">
        <v>111</v>
      </c>
    </row>
    <row r="6106" spans="1:5" x14ac:dyDescent="0.25">
      <c r="A6106" s="216" t="s">
        <v>8342</v>
      </c>
      <c r="B6106" s="218" t="s">
        <v>48</v>
      </c>
      <c r="C6106" s="220" t="s">
        <v>8343</v>
      </c>
      <c r="D6106" s="220" t="s">
        <v>50</v>
      </c>
      <c r="E6106" s="165">
        <v>110</v>
      </c>
    </row>
    <row r="6107" spans="1:5" x14ac:dyDescent="0.25">
      <c r="A6107" s="216" t="s">
        <v>8474</v>
      </c>
      <c r="B6107" s="218" t="s">
        <v>48</v>
      </c>
      <c r="C6107" s="220" t="s">
        <v>8475</v>
      </c>
      <c r="D6107" s="220" t="s">
        <v>66</v>
      </c>
      <c r="E6107" s="165">
        <v>110</v>
      </c>
    </row>
    <row r="6108" spans="1:5" x14ac:dyDescent="0.25">
      <c r="A6108" s="216" t="s">
        <v>7879</v>
      </c>
      <c r="B6108" s="218">
        <v>1</v>
      </c>
      <c r="C6108" s="220" t="s">
        <v>1719</v>
      </c>
      <c r="D6108" s="220" t="s">
        <v>90</v>
      </c>
      <c r="E6108" s="165">
        <v>110</v>
      </c>
    </row>
    <row r="6109" spans="1:5" x14ac:dyDescent="0.25">
      <c r="A6109" s="216" t="s">
        <v>8321</v>
      </c>
      <c r="B6109" s="218" t="s">
        <v>48</v>
      </c>
      <c r="C6109" s="220" t="s">
        <v>92</v>
      </c>
      <c r="D6109" s="220" t="s">
        <v>93</v>
      </c>
      <c r="E6109" s="165">
        <v>110</v>
      </c>
    </row>
    <row r="6110" spans="1:5" x14ac:dyDescent="0.25">
      <c r="A6110" s="216" t="s">
        <v>11526</v>
      </c>
      <c r="B6110" s="218">
        <v>1</v>
      </c>
      <c r="C6110" s="220" t="s">
        <v>4144</v>
      </c>
      <c r="D6110" s="220" t="s">
        <v>78</v>
      </c>
      <c r="E6110" s="165">
        <v>110</v>
      </c>
    </row>
    <row r="6111" spans="1:5" x14ac:dyDescent="0.25">
      <c r="A6111" s="216" t="s">
        <v>8662</v>
      </c>
      <c r="B6111" s="218" t="s">
        <v>48</v>
      </c>
      <c r="C6111" s="220" t="s">
        <v>877</v>
      </c>
      <c r="D6111" s="220" t="s">
        <v>53</v>
      </c>
      <c r="E6111" s="165">
        <v>110</v>
      </c>
    </row>
    <row r="6112" spans="1:5" x14ac:dyDescent="0.25">
      <c r="A6112" s="216" t="s">
        <v>8384</v>
      </c>
      <c r="B6112" s="218">
        <v>1</v>
      </c>
      <c r="C6112" s="220" t="s">
        <v>8385</v>
      </c>
      <c r="D6112" s="220" t="s">
        <v>56</v>
      </c>
      <c r="E6112" s="165">
        <v>110</v>
      </c>
    </row>
    <row r="6113" spans="1:5" x14ac:dyDescent="0.25">
      <c r="A6113" s="216" t="s">
        <v>8672</v>
      </c>
      <c r="B6113" s="218">
        <v>1</v>
      </c>
      <c r="C6113" s="220" t="s">
        <v>4506</v>
      </c>
      <c r="D6113" s="220" t="s">
        <v>118</v>
      </c>
      <c r="E6113" s="165">
        <v>110</v>
      </c>
    </row>
    <row r="6114" spans="1:5" x14ac:dyDescent="0.25">
      <c r="A6114" s="216" t="s">
        <v>8389</v>
      </c>
      <c r="B6114" s="218">
        <v>1</v>
      </c>
      <c r="C6114" s="220" t="s">
        <v>3594</v>
      </c>
      <c r="D6114" s="220" t="s">
        <v>56</v>
      </c>
      <c r="E6114" s="165">
        <v>110</v>
      </c>
    </row>
    <row r="6115" spans="1:5" x14ac:dyDescent="0.25">
      <c r="A6115" s="216" t="s">
        <v>7256</v>
      </c>
      <c r="B6115" s="218" t="s">
        <v>48</v>
      </c>
      <c r="C6115" s="220" t="s">
        <v>89</v>
      </c>
      <c r="D6115" s="220" t="s">
        <v>90</v>
      </c>
      <c r="E6115" s="165">
        <v>110</v>
      </c>
    </row>
    <row r="6116" spans="1:5" x14ac:dyDescent="0.25">
      <c r="A6116" s="216" t="s">
        <v>8077</v>
      </c>
      <c r="B6116" s="218">
        <v>1</v>
      </c>
      <c r="C6116" s="220" t="s">
        <v>843</v>
      </c>
      <c r="D6116" s="220" t="s">
        <v>172</v>
      </c>
      <c r="E6116" s="165">
        <v>110</v>
      </c>
    </row>
    <row r="6117" spans="1:5" x14ac:dyDescent="0.25">
      <c r="A6117" s="216" t="s">
        <v>9006</v>
      </c>
      <c r="B6117" s="218" t="s">
        <v>48</v>
      </c>
      <c r="C6117" s="220" t="s">
        <v>11527</v>
      </c>
      <c r="D6117" s="220" t="s">
        <v>78</v>
      </c>
      <c r="E6117" s="165">
        <v>110</v>
      </c>
    </row>
    <row r="6118" spans="1:5" x14ac:dyDescent="0.25">
      <c r="A6118" s="216" t="s">
        <v>8372</v>
      </c>
      <c r="B6118" s="218" t="s">
        <v>48</v>
      </c>
      <c r="C6118" s="220" t="s">
        <v>8373</v>
      </c>
      <c r="D6118" s="220" t="s">
        <v>59</v>
      </c>
      <c r="E6118" s="165">
        <v>110</v>
      </c>
    </row>
    <row r="6119" spans="1:5" x14ac:dyDescent="0.25">
      <c r="A6119" s="216" t="s">
        <v>10316</v>
      </c>
      <c r="B6119" s="218" t="s">
        <v>48</v>
      </c>
      <c r="C6119" s="220" t="s">
        <v>6275</v>
      </c>
      <c r="D6119" s="220" t="s">
        <v>90</v>
      </c>
      <c r="E6119" s="165">
        <v>110</v>
      </c>
    </row>
    <row r="6120" spans="1:5" x14ac:dyDescent="0.25">
      <c r="A6120" s="216" t="s">
        <v>6799</v>
      </c>
      <c r="B6120" s="218" t="s">
        <v>48</v>
      </c>
      <c r="C6120" s="220" t="s">
        <v>2017</v>
      </c>
      <c r="D6120" s="220" t="s">
        <v>166</v>
      </c>
      <c r="E6120" s="165">
        <v>110</v>
      </c>
    </row>
    <row r="6121" spans="1:5" x14ac:dyDescent="0.25">
      <c r="A6121" s="216" t="s">
        <v>11528</v>
      </c>
      <c r="B6121" s="218">
        <v>1</v>
      </c>
      <c r="C6121" s="220" t="s">
        <v>11529</v>
      </c>
      <c r="D6121" s="220" t="s">
        <v>277</v>
      </c>
      <c r="E6121" s="165">
        <v>110</v>
      </c>
    </row>
    <row r="6122" spans="1:5" x14ac:dyDescent="0.25">
      <c r="A6122" s="216" t="s">
        <v>8520</v>
      </c>
      <c r="B6122" s="218">
        <v>1</v>
      </c>
      <c r="C6122" s="220" t="s">
        <v>8521</v>
      </c>
      <c r="D6122" s="220" t="s">
        <v>63</v>
      </c>
      <c r="E6122" s="165">
        <v>109</v>
      </c>
    </row>
    <row r="6123" spans="1:5" x14ac:dyDescent="0.25">
      <c r="A6123" s="216" t="s">
        <v>8477</v>
      </c>
      <c r="B6123" s="218">
        <v>1</v>
      </c>
      <c r="C6123" s="220" t="s">
        <v>1094</v>
      </c>
      <c r="D6123" s="220" t="s">
        <v>63</v>
      </c>
      <c r="E6123" s="165">
        <v>109</v>
      </c>
    </row>
    <row r="6124" spans="1:5" x14ac:dyDescent="0.25">
      <c r="A6124" s="216" t="s">
        <v>7999</v>
      </c>
      <c r="B6124" s="218">
        <v>1</v>
      </c>
      <c r="C6124" s="220" t="s">
        <v>8000</v>
      </c>
      <c r="D6124" s="220" t="s">
        <v>486</v>
      </c>
      <c r="E6124" s="165">
        <v>109</v>
      </c>
    </row>
    <row r="6125" spans="1:5" x14ac:dyDescent="0.25">
      <c r="A6125" s="216" t="s">
        <v>8522</v>
      </c>
      <c r="B6125" s="218">
        <v>1</v>
      </c>
      <c r="C6125" s="220" t="s">
        <v>8523</v>
      </c>
      <c r="D6125" s="220" t="s">
        <v>63</v>
      </c>
      <c r="E6125" s="165">
        <v>109</v>
      </c>
    </row>
    <row r="6126" spans="1:5" x14ac:dyDescent="0.25">
      <c r="A6126" s="216" t="s">
        <v>11530</v>
      </c>
      <c r="B6126" s="218">
        <v>1</v>
      </c>
      <c r="C6126" s="220" t="s">
        <v>11531</v>
      </c>
      <c r="D6126" s="220" t="s">
        <v>75</v>
      </c>
      <c r="E6126" s="165">
        <v>109</v>
      </c>
    </row>
    <row r="6127" spans="1:5" x14ac:dyDescent="0.25">
      <c r="A6127" s="216" t="s">
        <v>8768</v>
      </c>
      <c r="B6127" s="218">
        <v>1</v>
      </c>
      <c r="C6127" s="220" t="s">
        <v>8769</v>
      </c>
      <c r="D6127" s="220" t="s">
        <v>63</v>
      </c>
      <c r="E6127" s="165">
        <v>109</v>
      </c>
    </row>
    <row r="6128" spans="1:5" x14ac:dyDescent="0.25">
      <c r="A6128" s="216" t="s">
        <v>8772</v>
      </c>
      <c r="B6128" s="218">
        <v>1</v>
      </c>
      <c r="C6128" s="220" t="s">
        <v>68</v>
      </c>
      <c r="D6128" s="220" t="s">
        <v>63</v>
      </c>
      <c r="E6128" s="165">
        <v>109</v>
      </c>
    </row>
    <row r="6129" spans="1:5" x14ac:dyDescent="0.25">
      <c r="A6129" s="216" t="s">
        <v>11532</v>
      </c>
      <c r="B6129" s="218">
        <v>1</v>
      </c>
      <c r="C6129" s="220" t="s">
        <v>756</v>
      </c>
      <c r="D6129" s="220" t="s">
        <v>66</v>
      </c>
      <c r="E6129" s="165">
        <v>109</v>
      </c>
    </row>
    <row r="6130" spans="1:5" x14ac:dyDescent="0.25">
      <c r="A6130" s="216" t="s">
        <v>8930</v>
      </c>
      <c r="B6130" s="218">
        <v>1</v>
      </c>
      <c r="C6130" s="220" t="s">
        <v>426</v>
      </c>
      <c r="D6130" s="220" t="s">
        <v>130</v>
      </c>
      <c r="E6130" s="165">
        <v>109</v>
      </c>
    </row>
    <row r="6131" spans="1:5" x14ac:dyDescent="0.25">
      <c r="A6131" s="216" t="s">
        <v>8775</v>
      </c>
      <c r="B6131" s="218">
        <v>1</v>
      </c>
      <c r="C6131" s="220" t="s">
        <v>530</v>
      </c>
      <c r="D6131" s="220" t="s">
        <v>105</v>
      </c>
      <c r="E6131" s="165">
        <v>109</v>
      </c>
    </row>
    <row r="6132" spans="1:5" x14ac:dyDescent="0.25">
      <c r="A6132" s="216" t="s">
        <v>8776</v>
      </c>
      <c r="B6132" s="218">
        <v>1</v>
      </c>
      <c r="C6132" s="220" t="s">
        <v>1516</v>
      </c>
      <c r="D6132" s="220" t="s">
        <v>56</v>
      </c>
      <c r="E6132" s="165">
        <v>109</v>
      </c>
    </row>
    <row r="6133" spans="1:5" x14ac:dyDescent="0.25">
      <c r="A6133" s="216" t="s">
        <v>8485</v>
      </c>
      <c r="B6133" s="218">
        <v>1</v>
      </c>
      <c r="C6133" s="220" t="s">
        <v>8486</v>
      </c>
      <c r="D6133" s="220" t="s">
        <v>63</v>
      </c>
      <c r="E6133" s="165">
        <v>109</v>
      </c>
    </row>
    <row r="6134" spans="1:5" x14ac:dyDescent="0.25">
      <c r="A6134" s="216" t="s">
        <v>6445</v>
      </c>
      <c r="B6134" s="218">
        <v>1</v>
      </c>
      <c r="C6134" s="220" t="s">
        <v>6446</v>
      </c>
      <c r="D6134" s="220" t="s">
        <v>139</v>
      </c>
      <c r="E6134" s="165">
        <v>109</v>
      </c>
    </row>
    <row r="6135" spans="1:5" x14ac:dyDescent="0.25">
      <c r="A6135" s="216" t="s">
        <v>8525</v>
      </c>
      <c r="B6135" s="218">
        <v>1</v>
      </c>
      <c r="C6135" s="220" t="s">
        <v>884</v>
      </c>
      <c r="D6135" s="220" t="s">
        <v>63</v>
      </c>
      <c r="E6135" s="165">
        <v>109</v>
      </c>
    </row>
    <row r="6136" spans="1:5" x14ac:dyDescent="0.25">
      <c r="A6136" s="216" t="s">
        <v>8619</v>
      </c>
      <c r="B6136" s="218">
        <v>1</v>
      </c>
      <c r="C6136" s="220" t="s">
        <v>2177</v>
      </c>
      <c r="D6136" s="220" t="s">
        <v>188</v>
      </c>
      <c r="E6136" s="165">
        <v>109</v>
      </c>
    </row>
    <row r="6137" spans="1:5" x14ac:dyDescent="0.25">
      <c r="A6137" s="216" t="s">
        <v>11533</v>
      </c>
      <c r="B6137" s="218">
        <v>1</v>
      </c>
      <c r="C6137" s="220" t="s">
        <v>11534</v>
      </c>
      <c r="D6137" s="220" t="s">
        <v>192</v>
      </c>
      <c r="E6137" s="165">
        <v>109</v>
      </c>
    </row>
    <row r="6138" spans="1:5" x14ac:dyDescent="0.25">
      <c r="A6138" s="216" t="s">
        <v>11535</v>
      </c>
      <c r="B6138" s="218">
        <v>1</v>
      </c>
      <c r="C6138" s="220" t="s">
        <v>657</v>
      </c>
      <c r="D6138" s="220" t="s">
        <v>264</v>
      </c>
      <c r="E6138" s="165">
        <v>109</v>
      </c>
    </row>
    <row r="6139" spans="1:5" x14ac:dyDescent="0.25">
      <c r="A6139" s="216" t="s">
        <v>8695</v>
      </c>
      <c r="B6139" s="218" t="s">
        <v>48</v>
      </c>
      <c r="C6139" s="220" t="s">
        <v>8696</v>
      </c>
      <c r="D6139" s="220" t="s">
        <v>75</v>
      </c>
      <c r="E6139" s="165">
        <v>108</v>
      </c>
    </row>
    <row r="6140" spans="1:5" x14ac:dyDescent="0.25">
      <c r="A6140" s="216" t="s">
        <v>10559</v>
      </c>
      <c r="B6140" s="218" t="s">
        <v>48</v>
      </c>
      <c r="C6140" s="220" t="s">
        <v>3192</v>
      </c>
      <c r="D6140" s="220" t="s">
        <v>82</v>
      </c>
      <c r="E6140" s="165">
        <v>108</v>
      </c>
    </row>
    <row r="6141" spans="1:5" x14ac:dyDescent="0.25">
      <c r="A6141" s="216" t="s">
        <v>8480</v>
      </c>
      <c r="B6141" s="218">
        <v>1</v>
      </c>
      <c r="C6141" s="220" t="s">
        <v>3063</v>
      </c>
      <c r="D6141" s="220" t="s">
        <v>192</v>
      </c>
      <c r="E6141" s="165">
        <v>108</v>
      </c>
    </row>
    <row r="6142" spans="1:5" x14ac:dyDescent="0.25">
      <c r="A6142" s="216" t="s">
        <v>8450</v>
      </c>
      <c r="B6142" s="218">
        <v>1</v>
      </c>
      <c r="C6142" s="220" t="s">
        <v>5973</v>
      </c>
      <c r="D6142" s="220" t="s">
        <v>69</v>
      </c>
      <c r="E6142" s="165">
        <v>108</v>
      </c>
    </row>
    <row r="6143" spans="1:5" x14ac:dyDescent="0.25">
      <c r="A6143" s="216" t="s">
        <v>8681</v>
      </c>
      <c r="B6143" s="218" t="s">
        <v>48</v>
      </c>
      <c r="C6143" s="220" t="s">
        <v>3864</v>
      </c>
      <c r="D6143" s="220" t="s">
        <v>75</v>
      </c>
      <c r="E6143" s="165">
        <v>108</v>
      </c>
    </row>
    <row r="6144" spans="1:5" x14ac:dyDescent="0.25">
      <c r="A6144" s="216" t="s">
        <v>7990</v>
      </c>
      <c r="B6144" s="218">
        <v>1</v>
      </c>
      <c r="C6144" s="220" t="s">
        <v>7991</v>
      </c>
      <c r="D6144" s="220" t="s">
        <v>277</v>
      </c>
      <c r="E6144" s="165">
        <v>108</v>
      </c>
    </row>
    <row r="6145" spans="1:5" x14ac:dyDescent="0.25">
      <c r="A6145" s="216" t="s">
        <v>8625</v>
      </c>
      <c r="B6145" s="218">
        <v>1</v>
      </c>
      <c r="C6145" s="220" t="s">
        <v>1571</v>
      </c>
      <c r="D6145" s="220" t="s">
        <v>63</v>
      </c>
      <c r="E6145" s="165">
        <v>108</v>
      </c>
    </row>
    <row r="6146" spans="1:5" x14ac:dyDescent="0.25">
      <c r="A6146" s="216" t="s">
        <v>8325</v>
      </c>
      <c r="B6146" s="218">
        <v>1</v>
      </c>
      <c r="C6146" s="220" t="s">
        <v>8326</v>
      </c>
      <c r="D6146" s="220" t="s">
        <v>348</v>
      </c>
      <c r="E6146" s="165">
        <v>108</v>
      </c>
    </row>
    <row r="6147" spans="1:5" x14ac:dyDescent="0.25">
      <c r="A6147" s="216" t="s">
        <v>8431</v>
      </c>
      <c r="B6147" s="218">
        <v>1</v>
      </c>
      <c r="C6147" s="220" t="s">
        <v>8432</v>
      </c>
      <c r="D6147" s="220" t="s">
        <v>78</v>
      </c>
      <c r="E6147" s="165">
        <v>108</v>
      </c>
    </row>
    <row r="6148" spans="1:5" x14ac:dyDescent="0.25">
      <c r="A6148" s="216" t="s">
        <v>8783</v>
      </c>
      <c r="B6148" s="218">
        <v>1</v>
      </c>
      <c r="C6148" s="220" t="s">
        <v>8784</v>
      </c>
      <c r="D6148" s="220" t="s">
        <v>82</v>
      </c>
      <c r="E6148" s="165">
        <v>108</v>
      </c>
    </row>
    <row r="6149" spans="1:5" x14ac:dyDescent="0.25">
      <c r="A6149" s="216" t="s">
        <v>7455</v>
      </c>
      <c r="B6149" s="218" t="s">
        <v>48</v>
      </c>
      <c r="C6149" s="220" t="s">
        <v>6042</v>
      </c>
      <c r="D6149" s="220" t="s">
        <v>108</v>
      </c>
      <c r="E6149" s="165">
        <v>108</v>
      </c>
    </row>
    <row r="6150" spans="1:5" x14ac:dyDescent="0.25">
      <c r="A6150" s="216" t="s">
        <v>7612</v>
      </c>
      <c r="B6150" s="218" t="s">
        <v>48</v>
      </c>
      <c r="C6150" s="220" t="s">
        <v>3711</v>
      </c>
      <c r="D6150" s="220" t="s">
        <v>90</v>
      </c>
      <c r="E6150" s="165">
        <v>108</v>
      </c>
    </row>
    <row r="6151" spans="1:5" x14ac:dyDescent="0.25">
      <c r="A6151" s="216" t="s">
        <v>7996</v>
      </c>
      <c r="B6151" s="218">
        <v>1</v>
      </c>
      <c r="C6151" s="220" t="s">
        <v>406</v>
      </c>
      <c r="D6151" s="220" t="s">
        <v>277</v>
      </c>
      <c r="E6151" s="165">
        <v>108</v>
      </c>
    </row>
    <row r="6152" spans="1:5" x14ac:dyDescent="0.25">
      <c r="A6152" s="216" t="s">
        <v>7917</v>
      </c>
      <c r="B6152" s="218" t="s">
        <v>48</v>
      </c>
      <c r="C6152" s="220" t="s">
        <v>2274</v>
      </c>
      <c r="D6152" s="220" t="s">
        <v>90</v>
      </c>
      <c r="E6152" s="165">
        <v>108</v>
      </c>
    </row>
    <row r="6153" spans="1:5" x14ac:dyDescent="0.25">
      <c r="A6153" s="216" t="s">
        <v>5806</v>
      </c>
      <c r="B6153" s="218" t="s">
        <v>48</v>
      </c>
      <c r="C6153" s="220" t="s">
        <v>2370</v>
      </c>
      <c r="D6153" s="220" t="s">
        <v>166</v>
      </c>
      <c r="E6153" s="165">
        <v>108</v>
      </c>
    </row>
    <row r="6154" spans="1:5" x14ac:dyDescent="0.25">
      <c r="A6154" s="216" t="s">
        <v>8447</v>
      </c>
      <c r="B6154" s="218" t="s">
        <v>48</v>
      </c>
      <c r="C6154" s="220" t="s">
        <v>7663</v>
      </c>
      <c r="D6154" s="220" t="s">
        <v>201</v>
      </c>
      <c r="E6154" s="165">
        <v>107</v>
      </c>
    </row>
    <row r="6155" spans="1:5" x14ac:dyDescent="0.25">
      <c r="A6155" s="216" t="s">
        <v>7617</v>
      </c>
      <c r="B6155" s="218" t="s">
        <v>48</v>
      </c>
      <c r="C6155" s="220" t="s">
        <v>1125</v>
      </c>
      <c r="D6155" s="220" t="s">
        <v>82</v>
      </c>
      <c r="E6155" s="165">
        <v>107</v>
      </c>
    </row>
    <row r="6156" spans="1:5" x14ac:dyDescent="0.25">
      <c r="A6156" s="216" t="s">
        <v>8481</v>
      </c>
      <c r="B6156" s="218">
        <v>1</v>
      </c>
      <c r="C6156" s="220" t="s">
        <v>845</v>
      </c>
      <c r="D6156" s="220" t="s">
        <v>66</v>
      </c>
      <c r="E6156" s="165">
        <v>107</v>
      </c>
    </row>
    <row r="6157" spans="1:5" x14ac:dyDescent="0.25">
      <c r="A6157" s="216" t="s">
        <v>11536</v>
      </c>
      <c r="B6157" s="218">
        <v>1</v>
      </c>
      <c r="C6157" s="220" t="s">
        <v>238</v>
      </c>
      <c r="D6157" s="220" t="s">
        <v>93</v>
      </c>
      <c r="E6157" s="165">
        <v>107</v>
      </c>
    </row>
    <row r="6158" spans="1:5" x14ac:dyDescent="0.25">
      <c r="A6158" s="216" t="s">
        <v>11537</v>
      </c>
      <c r="B6158" s="218" t="s">
        <v>48</v>
      </c>
      <c r="C6158" s="220" t="s">
        <v>1113</v>
      </c>
      <c r="D6158" s="220" t="s">
        <v>50</v>
      </c>
      <c r="E6158" s="165">
        <v>107</v>
      </c>
    </row>
    <row r="6159" spans="1:5" x14ac:dyDescent="0.25">
      <c r="A6159" s="216" t="s">
        <v>11538</v>
      </c>
      <c r="B6159" s="218">
        <v>1</v>
      </c>
      <c r="C6159" s="220" t="s">
        <v>4339</v>
      </c>
      <c r="D6159" s="220" t="s">
        <v>56</v>
      </c>
      <c r="E6159" s="165">
        <v>107</v>
      </c>
    </row>
    <row r="6160" spans="1:5" x14ac:dyDescent="0.25">
      <c r="A6160" s="216" t="s">
        <v>11539</v>
      </c>
      <c r="B6160" s="218" t="s">
        <v>48</v>
      </c>
      <c r="C6160" s="220" t="s">
        <v>466</v>
      </c>
      <c r="D6160" s="220" t="s">
        <v>206</v>
      </c>
      <c r="E6160" s="165">
        <v>107</v>
      </c>
    </row>
    <row r="6161" spans="1:5" x14ac:dyDescent="0.25">
      <c r="A6161" s="216" t="s">
        <v>8396</v>
      </c>
      <c r="B6161" s="218">
        <v>1</v>
      </c>
      <c r="C6161" s="220" t="s">
        <v>805</v>
      </c>
      <c r="D6161" s="220" t="s">
        <v>272</v>
      </c>
      <c r="E6161" s="165">
        <v>107</v>
      </c>
    </row>
    <row r="6162" spans="1:5" x14ac:dyDescent="0.25">
      <c r="A6162" s="216" t="s">
        <v>8648</v>
      </c>
      <c r="B6162" s="218">
        <v>1</v>
      </c>
      <c r="C6162" s="220" t="s">
        <v>2091</v>
      </c>
      <c r="D6162" s="220" t="s">
        <v>188</v>
      </c>
      <c r="E6162" s="165">
        <v>107</v>
      </c>
    </row>
    <row r="6163" spans="1:5" x14ac:dyDescent="0.25">
      <c r="A6163" s="216" t="s">
        <v>8341</v>
      </c>
      <c r="B6163" s="218" t="s">
        <v>48</v>
      </c>
      <c r="C6163" s="220" t="s">
        <v>3880</v>
      </c>
      <c r="D6163" s="220" t="s">
        <v>75</v>
      </c>
      <c r="E6163" s="165">
        <v>107</v>
      </c>
    </row>
    <row r="6164" spans="1:5" x14ac:dyDescent="0.25">
      <c r="A6164" s="216" t="s">
        <v>8465</v>
      </c>
      <c r="B6164" s="218">
        <v>1</v>
      </c>
      <c r="C6164" s="220" t="s">
        <v>121</v>
      </c>
      <c r="D6164" s="220" t="s">
        <v>56</v>
      </c>
      <c r="E6164" s="165">
        <v>106</v>
      </c>
    </row>
    <row r="6165" spans="1:5" x14ac:dyDescent="0.25">
      <c r="A6165" s="216" t="s">
        <v>7562</v>
      </c>
      <c r="B6165" s="218">
        <v>1</v>
      </c>
      <c r="C6165" s="220" t="s">
        <v>1164</v>
      </c>
      <c r="D6165" s="220" t="s">
        <v>277</v>
      </c>
      <c r="E6165" s="165">
        <v>106</v>
      </c>
    </row>
    <row r="6166" spans="1:5" x14ac:dyDescent="0.25">
      <c r="A6166" s="216" t="s">
        <v>10011</v>
      </c>
      <c r="B6166" s="218" t="s">
        <v>48</v>
      </c>
      <c r="C6166" s="220" t="s">
        <v>10012</v>
      </c>
      <c r="D6166" s="220" t="s">
        <v>523</v>
      </c>
      <c r="E6166" s="165">
        <v>106</v>
      </c>
    </row>
    <row r="6167" spans="1:5" x14ac:dyDescent="0.25">
      <c r="A6167" s="216" t="s">
        <v>7783</v>
      </c>
      <c r="B6167" s="218" t="s">
        <v>48</v>
      </c>
      <c r="C6167" s="220" t="s">
        <v>7784</v>
      </c>
      <c r="D6167" s="220" t="s">
        <v>166</v>
      </c>
      <c r="E6167" s="165">
        <v>106</v>
      </c>
    </row>
    <row r="6168" spans="1:5" x14ac:dyDescent="0.25">
      <c r="A6168" s="216" t="s">
        <v>6892</v>
      </c>
      <c r="B6168" s="218" t="s">
        <v>48</v>
      </c>
      <c r="C6168" s="220" t="s">
        <v>6893</v>
      </c>
      <c r="D6168" s="220" t="s">
        <v>90</v>
      </c>
      <c r="E6168" s="165">
        <v>106</v>
      </c>
    </row>
    <row r="6169" spans="1:5" x14ac:dyDescent="0.25">
      <c r="A6169" s="216" t="s">
        <v>9941</v>
      </c>
      <c r="B6169" s="218" t="s">
        <v>48</v>
      </c>
      <c r="C6169" s="220" t="s">
        <v>102</v>
      </c>
      <c r="D6169" s="220" t="s">
        <v>93</v>
      </c>
      <c r="E6169" s="165">
        <v>106</v>
      </c>
    </row>
    <row r="6170" spans="1:5" x14ac:dyDescent="0.25">
      <c r="A6170" s="216" t="s">
        <v>8365</v>
      </c>
      <c r="B6170" s="218" t="s">
        <v>48</v>
      </c>
      <c r="C6170" s="220" t="s">
        <v>3788</v>
      </c>
      <c r="D6170" s="220" t="s">
        <v>166</v>
      </c>
      <c r="E6170" s="165">
        <v>106</v>
      </c>
    </row>
    <row r="6171" spans="1:5" x14ac:dyDescent="0.25">
      <c r="A6171" s="216" t="s">
        <v>8526</v>
      </c>
      <c r="B6171" s="218">
        <v>1</v>
      </c>
      <c r="C6171" s="220" t="s">
        <v>8527</v>
      </c>
      <c r="D6171" s="220" t="s">
        <v>78</v>
      </c>
      <c r="E6171" s="165">
        <v>106</v>
      </c>
    </row>
    <row r="6172" spans="1:5" x14ac:dyDescent="0.25">
      <c r="A6172" s="216" t="s">
        <v>7866</v>
      </c>
      <c r="B6172" s="218" t="s">
        <v>48</v>
      </c>
      <c r="C6172" s="220" t="s">
        <v>7867</v>
      </c>
      <c r="D6172" s="220" t="s">
        <v>93</v>
      </c>
      <c r="E6172" s="165">
        <v>106</v>
      </c>
    </row>
    <row r="6173" spans="1:5" x14ac:dyDescent="0.25">
      <c r="A6173" s="216" t="s">
        <v>9398</v>
      </c>
      <c r="B6173" s="218" t="s">
        <v>48</v>
      </c>
      <c r="C6173" s="220" t="s">
        <v>9399</v>
      </c>
      <c r="D6173" s="220" t="s">
        <v>59</v>
      </c>
      <c r="E6173" s="165">
        <v>106</v>
      </c>
    </row>
    <row r="6174" spans="1:5" x14ac:dyDescent="0.25">
      <c r="A6174" s="216" t="s">
        <v>6593</v>
      </c>
      <c r="B6174" s="218">
        <v>1</v>
      </c>
      <c r="C6174" s="220" t="s">
        <v>6594</v>
      </c>
      <c r="D6174" s="220" t="s">
        <v>118</v>
      </c>
      <c r="E6174" s="165">
        <v>106</v>
      </c>
    </row>
    <row r="6175" spans="1:5" x14ac:dyDescent="0.25">
      <c r="A6175" s="216" t="s">
        <v>8735</v>
      </c>
      <c r="B6175" s="218" t="s">
        <v>48</v>
      </c>
      <c r="C6175" s="220" t="s">
        <v>404</v>
      </c>
      <c r="D6175" s="220" t="s">
        <v>277</v>
      </c>
      <c r="E6175" s="165">
        <v>106</v>
      </c>
    </row>
    <row r="6176" spans="1:5" x14ac:dyDescent="0.25">
      <c r="A6176" s="216" t="s">
        <v>8158</v>
      </c>
      <c r="B6176" s="218">
        <v>1</v>
      </c>
      <c r="C6176" s="220" t="s">
        <v>5089</v>
      </c>
      <c r="D6176" s="220" t="s">
        <v>575</v>
      </c>
      <c r="E6176" s="165">
        <v>106</v>
      </c>
    </row>
    <row r="6177" spans="1:5" x14ac:dyDescent="0.25">
      <c r="A6177" s="216" t="s">
        <v>6563</v>
      </c>
      <c r="B6177" s="218" t="s">
        <v>48</v>
      </c>
      <c r="C6177" s="220" t="s">
        <v>1669</v>
      </c>
      <c r="D6177" s="220" t="s">
        <v>378</v>
      </c>
      <c r="E6177" s="165">
        <v>106</v>
      </c>
    </row>
    <row r="6178" spans="1:5" x14ac:dyDescent="0.25">
      <c r="A6178" s="216" t="s">
        <v>8228</v>
      </c>
      <c r="B6178" s="218">
        <v>1</v>
      </c>
      <c r="C6178" s="220" t="s">
        <v>7277</v>
      </c>
      <c r="D6178" s="220" t="s">
        <v>50</v>
      </c>
      <c r="E6178" s="165">
        <v>105</v>
      </c>
    </row>
    <row r="6179" spans="1:5" x14ac:dyDescent="0.25">
      <c r="A6179" s="216" t="s">
        <v>5623</v>
      </c>
      <c r="B6179" s="218" t="s">
        <v>48</v>
      </c>
      <c r="C6179" s="220" t="s">
        <v>5624</v>
      </c>
      <c r="D6179" s="220" t="s">
        <v>90</v>
      </c>
      <c r="E6179" s="165">
        <v>105</v>
      </c>
    </row>
    <row r="6180" spans="1:5" x14ac:dyDescent="0.25">
      <c r="A6180" s="216" t="s">
        <v>8765</v>
      </c>
      <c r="B6180" s="218">
        <v>1</v>
      </c>
      <c r="C6180" s="220" t="s">
        <v>3272</v>
      </c>
      <c r="D6180" s="220" t="s">
        <v>201</v>
      </c>
      <c r="E6180" s="165">
        <v>105</v>
      </c>
    </row>
    <row r="6181" spans="1:5" x14ac:dyDescent="0.25">
      <c r="A6181" s="216" t="s">
        <v>10592</v>
      </c>
      <c r="B6181" s="218" t="s">
        <v>48</v>
      </c>
      <c r="C6181" s="220" t="s">
        <v>640</v>
      </c>
      <c r="D6181" s="220" t="s">
        <v>69</v>
      </c>
      <c r="E6181" s="165">
        <v>105</v>
      </c>
    </row>
    <row r="6182" spans="1:5" x14ac:dyDescent="0.25">
      <c r="A6182" s="216" t="s">
        <v>8584</v>
      </c>
      <c r="B6182" s="218">
        <v>1</v>
      </c>
      <c r="C6182" s="220" t="s">
        <v>2023</v>
      </c>
      <c r="D6182" s="220" t="s">
        <v>53</v>
      </c>
      <c r="E6182" s="165">
        <v>105</v>
      </c>
    </row>
    <row r="6183" spans="1:5" x14ac:dyDescent="0.25">
      <c r="A6183" s="216" t="s">
        <v>10625</v>
      </c>
      <c r="B6183" s="218" t="s">
        <v>48</v>
      </c>
      <c r="C6183" s="220" t="s">
        <v>2437</v>
      </c>
      <c r="D6183" s="220" t="s">
        <v>93</v>
      </c>
      <c r="E6183" s="165">
        <v>105</v>
      </c>
    </row>
    <row r="6184" spans="1:5" x14ac:dyDescent="0.25">
      <c r="A6184" s="216" t="s">
        <v>8366</v>
      </c>
      <c r="B6184" s="218">
        <v>1</v>
      </c>
      <c r="C6184" s="220" t="s">
        <v>8367</v>
      </c>
      <c r="D6184" s="220" t="s">
        <v>575</v>
      </c>
      <c r="E6184" s="165">
        <v>105</v>
      </c>
    </row>
    <row r="6185" spans="1:5" x14ac:dyDescent="0.25">
      <c r="A6185" s="216" t="s">
        <v>9079</v>
      </c>
      <c r="B6185" s="218">
        <v>1</v>
      </c>
      <c r="C6185" s="220" t="s">
        <v>3812</v>
      </c>
      <c r="D6185" s="220" t="s">
        <v>348</v>
      </c>
      <c r="E6185" s="165">
        <v>105</v>
      </c>
    </row>
    <row r="6186" spans="1:5" x14ac:dyDescent="0.25">
      <c r="A6186" s="216" t="s">
        <v>9020</v>
      </c>
      <c r="B6186" s="218" t="s">
        <v>48</v>
      </c>
      <c r="C6186" s="220" t="s">
        <v>285</v>
      </c>
      <c r="D6186" s="220" t="s">
        <v>59</v>
      </c>
      <c r="E6186" s="165">
        <v>105</v>
      </c>
    </row>
    <row r="6187" spans="1:5" x14ac:dyDescent="0.25">
      <c r="A6187" s="216" t="s">
        <v>10770</v>
      </c>
      <c r="B6187" s="218">
        <v>1</v>
      </c>
      <c r="C6187" s="220" t="s">
        <v>1562</v>
      </c>
      <c r="D6187" s="220" t="s">
        <v>201</v>
      </c>
      <c r="E6187" s="165">
        <v>105</v>
      </c>
    </row>
    <row r="6188" spans="1:5" x14ac:dyDescent="0.25">
      <c r="A6188" s="216" t="s">
        <v>8528</v>
      </c>
      <c r="B6188" s="218">
        <v>1</v>
      </c>
      <c r="C6188" s="220" t="s">
        <v>11540</v>
      </c>
      <c r="D6188" s="220" t="s">
        <v>264</v>
      </c>
      <c r="E6188" s="165">
        <v>105</v>
      </c>
    </row>
    <row r="6189" spans="1:5" x14ac:dyDescent="0.25">
      <c r="A6189" s="216" t="s">
        <v>8590</v>
      </c>
      <c r="B6189" s="218">
        <v>1</v>
      </c>
      <c r="C6189" s="220" t="s">
        <v>8591</v>
      </c>
      <c r="D6189" s="220" t="s">
        <v>63</v>
      </c>
      <c r="E6189" s="165">
        <v>105</v>
      </c>
    </row>
    <row r="6190" spans="1:5" x14ac:dyDescent="0.25">
      <c r="A6190" s="216" t="s">
        <v>8244</v>
      </c>
      <c r="B6190" s="218">
        <v>1</v>
      </c>
      <c r="C6190" s="220" t="s">
        <v>7522</v>
      </c>
      <c r="D6190" s="220" t="s">
        <v>63</v>
      </c>
      <c r="E6190" s="165">
        <v>105</v>
      </c>
    </row>
    <row r="6191" spans="1:5" x14ac:dyDescent="0.25">
      <c r="A6191" s="216" t="s">
        <v>8053</v>
      </c>
      <c r="B6191" s="218">
        <v>1</v>
      </c>
      <c r="C6191" s="220" t="s">
        <v>2849</v>
      </c>
      <c r="D6191" s="220" t="s">
        <v>277</v>
      </c>
      <c r="E6191" s="165">
        <v>104</v>
      </c>
    </row>
    <row r="6192" spans="1:5" x14ac:dyDescent="0.25">
      <c r="A6192" s="216" t="s">
        <v>8661</v>
      </c>
      <c r="B6192" s="218">
        <v>1</v>
      </c>
      <c r="C6192" s="220" t="s">
        <v>1162</v>
      </c>
      <c r="D6192" s="220" t="s">
        <v>188</v>
      </c>
      <c r="E6192" s="165">
        <v>104</v>
      </c>
    </row>
    <row r="6193" spans="1:5" x14ac:dyDescent="0.25">
      <c r="A6193" s="216" t="s">
        <v>8795</v>
      </c>
      <c r="B6193" s="218" t="s">
        <v>48</v>
      </c>
      <c r="C6193" s="220" t="s">
        <v>8796</v>
      </c>
      <c r="D6193" s="220" t="s">
        <v>93</v>
      </c>
      <c r="E6193" s="165">
        <v>104</v>
      </c>
    </row>
    <row r="6194" spans="1:5" x14ac:dyDescent="0.25">
      <c r="A6194" s="216" t="s">
        <v>8626</v>
      </c>
      <c r="B6194" s="218">
        <v>1</v>
      </c>
      <c r="C6194" s="220" t="s">
        <v>587</v>
      </c>
      <c r="D6194" s="220" t="s">
        <v>50</v>
      </c>
      <c r="E6194" s="165">
        <v>104</v>
      </c>
    </row>
    <row r="6195" spans="1:5" x14ac:dyDescent="0.25">
      <c r="A6195" s="216" t="s">
        <v>8601</v>
      </c>
      <c r="B6195" s="218" t="s">
        <v>48</v>
      </c>
      <c r="C6195" s="220" t="s">
        <v>8602</v>
      </c>
      <c r="D6195" s="220" t="s">
        <v>59</v>
      </c>
      <c r="E6195" s="165">
        <v>104</v>
      </c>
    </row>
    <row r="6196" spans="1:5" x14ac:dyDescent="0.25">
      <c r="A6196" s="216" t="s">
        <v>8617</v>
      </c>
      <c r="B6196" s="218">
        <v>1</v>
      </c>
      <c r="C6196" s="220" t="s">
        <v>8618</v>
      </c>
      <c r="D6196" s="220" t="s">
        <v>63</v>
      </c>
      <c r="E6196" s="165">
        <v>104</v>
      </c>
    </row>
    <row r="6197" spans="1:5" x14ac:dyDescent="0.25">
      <c r="A6197" s="216" t="s">
        <v>8629</v>
      </c>
      <c r="B6197" s="218">
        <v>1</v>
      </c>
      <c r="C6197" s="220" t="s">
        <v>8630</v>
      </c>
      <c r="D6197" s="220" t="s">
        <v>50</v>
      </c>
      <c r="E6197" s="165">
        <v>104</v>
      </c>
    </row>
    <row r="6198" spans="1:5" x14ac:dyDescent="0.25">
      <c r="A6198" s="216" t="s">
        <v>8488</v>
      </c>
      <c r="B6198" s="218">
        <v>1</v>
      </c>
      <c r="C6198" s="220" t="s">
        <v>665</v>
      </c>
      <c r="D6198" s="220" t="s">
        <v>188</v>
      </c>
      <c r="E6198" s="165">
        <v>104</v>
      </c>
    </row>
    <row r="6199" spans="1:5" x14ac:dyDescent="0.25">
      <c r="A6199" s="216" t="s">
        <v>8925</v>
      </c>
      <c r="B6199" s="218">
        <v>1</v>
      </c>
      <c r="C6199" s="220" t="s">
        <v>3875</v>
      </c>
      <c r="D6199" s="220" t="s">
        <v>264</v>
      </c>
      <c r="E6199" s="165">
        <v>104</v>
      </c>
    </row>
    <row r="6200" spans="1:5" x14ac:dyDescent="0.25">
      <c r="A6200" s="216" t="s">
        <v>8620</v>
      </c>
      <c r="B6200" s="218">
        <v>1</v>
      </c>
      <c r="C6200" s="220" t="s">
        <v>8621</v>
      </c>
      <c r="D6200" s="220" t="s">
        <v>63</v>
      </c>
      <c r="E6200" s="165">
        <v>104</v>
      </c>
    </row>
    <row r="6201" spans="1:5" x14ac:dyDescent="0.25">
      <c r="A6201" s="216" t="s">
        <v>8518</v>
      </c>
      <c r="B6201" s="218">
        <v>1</v>
      </c>
      <c r="C6201" s="220" t="s">
        <v>8519</v>
      </c>
      <c r="D6201" s="220" t="s">
        <v>78</v>
      </c>
      <c r="E6201" s="165">
        <v>103</v>
      </c>
    </row>
    <row r="6202" spans="1:5" x14ac:dyDescent="0.25">
      <c r="A6202" s="216" t="s">
        <v>11541</v>
      </c>
      <c r="B6202" s="218">
        <v>1</v>
      </c>
      <c r="C6202" s="220" t="s">
        <v>3581</v>
      </c>
      <c r="D6202" s="220" t="s">
        <v>50</v>
      </c>
      <c r="E6202" s="165">
        <v>103</v>
      </c>
    </row>
    <row r="6203" spans="1:5" x14ac:dyDescent="0.25">
      <c r="A6203" s="216" t="s">
        <v>8708</v>
      </c>
      <c r="B6203" s="218">
        <v>1</v>
      </c>
      <c r="C6203" s="220" t="s">
        <v>138</v>
      </c>
      <c r="D6203" s="220" t="s">
        <v>139</v>
      </c>
      <c r="E6203" s="165">
        <v>103</v>
      </c>
    </row>
    <row r="6204" spans="1:5" x14ac:dyDescent="0.25">
      <c r="A6204" s="216" t="s">
        <v>5401</v>
      </c>
      <c r="B6204" s="218">
        <v>1</v>
      </c>
      <c r="C6204" s="220" t="s">
        <v>2049</v>
      </c>
      <c r="D6204" s="220" t="s">
        <v>93</v>
      </c>
      <c r="E6204" s="165">
        <v>103</v>
      </c>
    </row>
    <row r="6205" spans="1:5" x14ac:dyDescent="0.25">
      <c r="A6205" s="216" t="s">
        <v>7515</v>
      </c>
      <c r="B6205" s="218">
        <v>1</v>
      </c>
      <c r="C6205" s="220" t="s">
        <v>198</v>
      </c>
      <c r="D6205" s="220" t="s">
        <v>63</v>
      </c>
      <c r="E6205" s="165">
        <v>103</v>
      </c>
    </row>
    <row r="6206" spans="1:5" x14ac:dyDescent="0.25">
      <c r="A6206" s="216" t="s">
        <v>8554</v>
      </c>
      <c r="B6206" s="218">
        <v>1</v>
      </c>
      <c r="C6206" s="220" t="s">
        <v>3581</v>
      </c>
      <c r="D6206" s="220" t="s">
        <v>69</v>
      </c>
      <c r="E6206" s="165">
        <v>103</v>
      </c>
    </row>
    <row r="6207" spans="1:5" x14ac:dyDescent="0.25">
      <c r="A6207" s="216" t="s">
        <v>8441</v>
      </c>
      <c r="B6207" s="218">
        <v>1</v>
      </c>
      <c r="C6207" s="220" t="s">
        <v>8442</v>
      </c>
      <c r="D6207" s="220" t="s">
        <v>166</v>
      </c>
      <c r="E6207" s="165">
        <v>103</v>
      </c>
    </row>
    <row r="6208" spans="1:5" x14ac:dyDescent="0.25">
      <c r="A6208" s="216" t="s">
        <v>9419</v>
      </c>
      <c r="B6208" s="218" t="s">
        <v>48</v>
      </c>
      <c r="C6208" s="220" t="s">
        <v>9420</v>
      </c>
      <c r="D6208" s="220" t="s">
        <v>201</v>
      </c>
      <c r="E6208" s="165">
        <v>102</v>
      </c>
    </row>
    <row r="6209" spans="1:5" x14ac:dyDescent="0.25">
      <c r="A6209" s="216" t="s">
        <v>9035</v>
      </c>
      <c r="B6209" s="218" t="s">
        <v>48</v>
      </c>
      <c r="C6209" s="220" t="s">
        <v>11542</v>
      </c>
      <c r="D6209" s="220" t="s">
        <v>53</v>
      </c>
      <c r="E6209" s="165">
        <v>102</v>
      </c>
    </row>
    <row r="6210" spans="1:5" x14ac:dyDescent="0.25">
      <c r="A6210" s="216" t="s">
        <v>8131</v>
      </c>
      <c r="B6210" s="218">
        <v>1</v>
      </c>
      <c r="C6210" s="220" t="s">
        <v>4957</v>
      </c>
      <c r="D6210" s="220" t="s">
        <v>53</v>
      </c>
      <c r="E6210" s="165">
        <v>102</v>
      </c>
    </row>
    <row r="6211" spans="1:5" x14ac:dyDescent="0.25">
      <c r="A6211" s="216" t="s">
        <v>8667</v>
      </c>
      <c r="B6211" s="218">
        <v>1</v>
      </c>
      <c r="C6211" s="220" t="s">
        <v>8668</v>
      </c>
      <c r="D6211" s="220" t="s">
        <v>56</v>
      </c>
      <c r="E6211" s="165">
        <v>102</v>
      </c>
    </row>
    <row r="6212" spans="1:5" x14ac:dyDescent="0.25">
      <c r="A6212" s="216" t="s">
        <v>7187</v>
      </c>
      <c r="B6212" s="218">
        <v>1</v>
      </c>
      <c r="C6212" s="220" t="s">
        <v>161</v>
      </c>
      <c r="D6212" s="220" t="s">
        <v>72</v>
      </c>
      <c r="E6212" s="165">
        <v>102</v>
      </c>
    </row>
    <row r="6213" spans="1:5" x14ac:dyDescent="0.25">
      <c r="A6213" s="216" t="s">
        <v>7688</v>
      </c>
      <c r="B6213" s="218" t="s">
        <v>48</v>
      </c>
      <c r="C6213" s="220" t="s">
        <v>615</v>
      </c>
      <c r="D6213" s="220" t="s">
        <v>63</v>
      </c>
      <c r="E6213" s="165">
        <v>102</v>
      </c>
    </row>
    <row r="6214" spans="1:5" x14ac:dyDescent="0.25">
      <c r="A6214" s="216" t="s">
        <v>11543</v>
      </c>
      <c r="B6214" s="218">
        <v>1</v>
      </c>
      <c r="C6214" s="220" t="s">
        <v>11544</v>
      </c>
      <c r="D6214" s="220" t="s">
        <v>188</v>
      </c>
      <c r="E6214" s="165">
        <v>102</v>
      </c>
    </row>
    <row r="6215" spans="1:5" x14ac:dyDescent="0.25">
      <c r="A6215" s="216" t="s">
        <v>8456</v>
      </c>
      <c r="B6215" s="218">
        <v>1</v>
      </c>
      <c r="C6215" s="220" t="s">
        <v>8457</v>
      </c>
      <c r="D6215" s="220" t="s">
        <v>201</v>
      </c>
      <c r="E6215" s="165">
        <v>102</v>
      </c>
    </row>
    <row r="6216" spans="1:5" x14ac:dyDescent="0.25">
      <c r="A6216" s="216" t="s">
        <v>8676</v>
      </c>
      <c r="B6216" s="218">
        <v>1</v>
      </c>
      <c r="C6216" s="220" t="s">
        <v>2304</v>
      </c>
      <c r="D6216" s="220" t="s">
        <v>56</v>
      </c>
      <c r="E6216" s="165">
        <v>102</v>
      </c>
    </row>
    <row r="6217" spans="1:5" x14ac:dyDescent="0.25">
      <c r="A6217" s="216" t="s">
        <v>8464</v>
      </c>
      <c r="B6217" s="218" t="s">
        <v>48</v>
      </c>
      <c r="C6217" s="220" t="s">
        <v>5013</v>
      </c>
      <c r="D6217" s="220" t="s">
        <v>166</v>
      </c>
      <c r="E6217" s="165">
        <v>102</v>
      </c>
    </row>
    <row r="6218" spans="1:5" x14ac:dyDescent="0.25">
      <c r="A6218" s="216" t="s">
        <v>8645</v>
      </c>
      <c r="B6218" s="218">
        <v>1</v>
      </c>
      <c r="C6218" s="220" t="s">
        <v>1619</v>
      </c>
      <c r="D6218" s="220" t="s">
        <v>63</v>
      </c>
      <c r="E6218" s="165">
        <v>102</v>
      </c>
    </row>
    <row r="6219" spans="1:5" x14ac:dyDescent="0.25">
      <c r="A6219" s="216" t="s">
        <v>3796</v>
      </c>
      <c r="B6219" s="218">
        <v>1</v>
      </c>
      <c r="C6219" s="220" t="s">
        <v>3797</v>
      </c>
      <c r="D6219" s="220" t="s">
        <v>66</v>
      </c>
      <c r="E6219" s="165">
        <v>102</v>
      </c>
    </row>
    <row r="6220" spans="1:5" x14ac:dyDescent="0.25">
      <c r="A6220" s="216" t="s">
        <v>7340</v>
      </c>
      <c r="B6220" s="218" t="s">
        <v>48</v>
      </c>
      <c r="C6220" s="220" t="s">
        <v>7341</v>
      </c>
      <c r="D6220" s="220" t="s">
        <v>90</v>
      </c>
      <c r="E6220" s="165">
        <v>102</v>
      </c>
    </row>
    <row r="6221" spans="1:5" x14ac:dyDescent="0.25">
      <c r="A6221" s="216" t="s">
        <v>8679</v>
      </c>
      <c r="B6221" s="218">
        <v>1</v>
      </c>
      <c r="C6221" s="220" t="s">
        <v>169</v>
      </c>
      <c r="D6221" s="220" t="s">
        <v>56</v>
      </c>
      <c r="E6221" s="165">
        <v>102</v>
      </c>
    </row>
    <row r="6222" spans="1:5" x14ac:dyDescent="0.25">
      <c r="A6222" s="216" t="s">
        <v>9204</v>
      </c>
      <c r="B6222" s="218" t="s">
        <v>48</v>
      </c>
      <c r="C6222" s="220" t="s">
        <v>7671</v>
      </c>
      <c r="D6222" s="220" t="s">
        <v>59</v>
      </c>
      <c r="E6222" s="165">
        <v>101</v>
      </c>
    </row>
    <row r="6223" spans="1:5" x14ac:dyDescent="0.25">
      <c r="A6223" s="216" t="s">
        <v>8558</v>
      </c>
      <c r="B6223" s="218">
        <v>1</v>
      </c>
      <c r="C6223" s="220" t="s">
        <v>8559</v>
      </c>
      <c r="D6223" s="220" t="s">
        <v>56</v>
      </c>
      <c r="E6223" s="165">
        <v>101</v>
      </c>
    </row>
    <row r="6224" spans="1:5" x14ac:dyDescent="0.25">
      <c r="A6224" s="216" t="s">
        <v>8539</v>
      </c>
      <c r="B6224" s="218">
        <v>1</v>
      </c>
      <c r="C6224" s="220" t="s">
        <v>8540</v>
      </c>
      <c r="D6224" s="220" t="s">
        <v>56</v>
      </c>
      <c r="E6224" s="165">
        <v>101</v>
      </c>
    </row>
    <row r="6225" spans="1:5" x14ac:dyDescent="0.25">
      <c r="A6225" s="216" t="s">
        <v>8418</v>
      </c>
      <c r="B6225" s="218">
        <v>1</v>
      </c>
      <c r="C6225" s="220" t="s">
        <v>1140</v>
      </c>
      <c r="D6225" s="220" t="s">
        <v>394</v>
      </c>
      <c r="E6225" s="165">
        <v>101</v>
      </c>
    </row>
    <row r="6226" spans="1:5" x14ac:dyDescent="0.25">
      <c r="A6226" s="216" t="s">
        <v>5437</v>
      </c>
      <c r="B6226" s="218">
        <v>1</v>
      </c>
      <c r="C6226" s="220" t="s">
        <v>380</v>
      </c>
      <c r="D6226" s="220" t="s">
        <v>90</v>
      </c>
      <c r="E6226" s="165">
        <v>101</v>
      </c>
    </row>
    <row r="6227" spans="1:5" x14ac:dyDescent="0.25">
      <c r="A6227" s="216" t="s">
        <v>8499</v>
      </c>
      <c r="B6227" s="218" t="s">
        <v>48</v>
      </c>
      <c r="C6227" s="220" t="s">
        <v>8500</v>
      </c>
      <c r="D6227" s="220" t="s">
        <v>201</v>
      </c>
      <c r="E6227" s="165">
        <v>101</v>
      </c>
    </row>
    <row r="6228" spans="1:5" x14ac:dyDescent="0.25">
      <c r="A6228" s="216" t="s">
        <v>8585</v>
      </c>
      <c r="B6228" s="218">
        <v>1</v>
      </c>
      <c r="C6228" s="220" t="s">
        <v>3423</v>
      </c>
      <c r="D6228" s="220" t="s">
        <v>69</v>
      </c>
      <c r="E6228" s="165">
        <v>101</v>
      </c>
    </row>
    <row r="6229" spans="1:5" x14ac:dyDescent="0.25">
      <c r="A6229" s="216" t="s">
        <v>8565</v>
      </c>
      <c r="B6229" s="218">
        <v>1</v>
      </c>
      <c r="C6229" s="220" t="s">
        <v>8566</v>
      </c>
      <c r="D6229" s="220" t="s">
        <v>56</v>
      </c>
      <c r="E6229" s="165">
        <v>101</v>
      </c>
    </row>
    <row r="6230" spans="1:5" x14ac:dyDescent="0.25">
      <c r="A6230" s="216" t="s">
        <v>8404</v>
      </c>
      <c r="B6230" s="218">
        <v>1</v>
      </c>
      <c r="C6230" s="220" t="s">
        <v>86</v>
      </c>
      <c r="D6230" s="220" t="s">
        <v>87</v>
      </c>
      <c r="E6230" s="165">
        <v>101</v>
      </c>
    </row>
    <row r="6231" spans="1:5" x14ac:dyDescent="0.25">
      <c r="A6231" s="216" t="s">
        <v>8420</v>
      </c>
      <c r="B6231" s="218">
        <v>1</v>
      </c>
      <c r="C6231" s="220" t="s">
        <v>11545</v>
      </c>
      <c r="D6231" s="220" t="s">
        <v>394</v>
      </c>
      <c r="E6231" s="165">
        <v>101</v>
      </c>
    </row>
    <row r="6232" spans="1:5" x14ac:dyDescent="0.25">
      <c r="A6232" s="216" t="s">
        <v>9877</v>
      </c>
      <c r="B6232" s="218" t="s">
        <v>48</v>
      </c>
      <c r="C6232" s="220" t="s">
        <v>443</v>
      </c>
      <c r="D6232" s="220" t="s">
        <v>166</v>
      </c>
      <c r="E6232" s="165">
        <v>101</v>
      </c>
    </row>
    <row r="6233" spans="1:5" x14ac:dyDescent="0.25">
      <c r="A6233" s="216" t="s">
        <v>8550</v>
      </c>
      <c r="B6233" s="218" t="s">
        <v>48</v>
      </c>
      <c r="C6233" s="220" t="s">
        <v>90</v>
      </c>
      <c r="D6233" s="220" t="s">
        <v>82</v>
      </c>
      <c r="E6233" s="165">
        <v>101</v>
      </c>
    </row>
    <row r="6234" spans="1:5" x14ac:dyDescent="0.25">
      <c r="A6234" s="216" t="s">
        <v>8575</v>
      </c>
      <c r="B6234" s="218">
        <v>1</v>
      </c>
      <c r="C6234" s="220" t="s">
        <v>536</v>
      </c>
      <c r="D6234" s="220" t="s">
        <v>56</v>
      </c>
      <c r="E6234" s="165">
        <v>101</v>
      </c>
    </row>
    <row r="6235" spans="1:5" x14ac:dyDescent="0.25">
      <c r="A6235" s="216" t="s">
        <v>7228</v>
      </c>
      <c r="B6235" s="218">
        <v>1</v>
      </c>
      <c r="C6235" s="220" t="s">
        <v>1302</v>
      </c>
      <c r="D6235" s="220" t="s">
        <v>272</v>
      </c>
      <c r="E6235" s="165">
        <v>101</v>
      </c>
    </row>
    <row r="6236" spans="1:5" x14ac:dyDescent="0.25">
      <c r="A6236" s="216" t="s">
        <v>8509</v>
      </c>
      <c r="B6236" s="218">
        <v>1</v>
      </c>
      <c r="C6236" s="220" t="s">
        <v>8510</v>
      </c>
      <c r="D6236" s="220" t="s">
        <v>50</v>
      </c>
      <c r="E6236" s="165">
        <v>101</v>
      </c>
    </row>
    <row r="6237" spans="1:5" x14ac:dyDescent="0.25">
      <c r="A6237" s="216" t="s">
        <v>8515</v>
      </c>
      <c r="B6237" s="218">
        <v>1</v>
      </c>
      <c r="C6237" s="220" t="s">
        <v>568</v>
      </c>
      <c r="D6237" s="220" t="s">
        <v>50</v>
      </c>
      <c r="E6237" s="165">
        <v>100</v>
      </c>
    </row>
    <row r="6238" spans="1:5" x14ac:dyDescent="0.25">
      <c r="A6238" s="216" t="s">
        <v>7326</v>
      </c>
      <c r="B6238" s="218" t="s">
        <v>48</v>
      </c>
      <c r="C6238" s="220" t="s">
        <v>233</v>
      </c>
      <c r="D6238" s="220" t="s">
        <v>56</v>
      </c>
      <c r="E6238" s="165">
        <v>100</v>
      </c>
    </row>
    <row r="6239" spans="1:5" x14ac:dyDescent="0.25">
      <c r="A6239" s="216" t="s">
        <v>8812</v>
      </c>
      <c r="B6239" s="218" t="s">
        <v>48</v>
      </c>
      <c r="C6239" s="220" t="s">
        <v>8813</v>
      </c>
      <c r="D6239" s="220" t="s">
        <v>87</v>
      </c>
      <c r="E6239" s="165">
        <v>100</v>
      </c>
    </row>
    <row r="6240" spans="1:5" x14ac:dyDescent="0.25">
      <c r="A6240" s="216" t="s">
        <v>8592</v>
      </c>
      <c r="B6240" s="218" t="s">
        <v>48</v>
      </c>
      <c r="C6240" s="220" t="s">
        <v>8593</v>
      </c>
      <c r="D6240" s="220" t="s">
        <v>56</v>
      </c>
      <c r="E6240" s="165">
        <v>100</v>
      </c>
    </row>
    <row r="6241" spans="1:5" x14ac:dyDescent="0.25">
      <c r="A6241" s="216" t="s">
        <v>7645</v>
      </c>
      <c r="B6241" s="218" t="s">
        <v>48</v>
      </c>
      <c r="C6241" s="220" t="s">
        <v>313</v>
      </c>
      <c r="D6241" s="220" t="s">
        <v>90</v>
      </c>
      <c r="E6241" s="165">
        <v>100</v>
      </c>
    </row>
    <row r="6242" spans="1:5" x14ac:dyDescent="0.25">
      <c r="A6242" s="216" t="s">
        <v>8664</v>
      </c>
      <c r="B6242" s="218" t="s">
        <v>48</v>
      </c>
      <c r="C6242" s="220" t="s">
        <v>8665</v>
      </c>
      <c r="D6242" s="220" t="s">
        <v>188</v>
      </c>
      <c r="E6242" s="165">
        <v>100</v>
      </c>
    </row>
    <row r="6243" spans="1:5" x14ac:dyDescent="0.25">
      <c r="A6243" s="216" t="s">
        <v>7881</v>
      </c>
      <c r="B6243" s="218">
        <v>1</v>
      </c>
      <c r="C6243" s="220" t="s">
        <v>466</v>
      </c>
      <c r="D6243" s="220" t="s">
        <v>206</v>
      </c>
      <c r="E6243" s="165">
        <v>100</v>
      </c>
    </row>
    <row r="6244" spans="1:5" x14ac:dyDescent="0.25">
      <c r="A6244" s="216" t="s">
        <v>7652</v>
      </c>
      <c r="B6244" s="218" t="s">
        <v>48</v>
      </c>
      <c r="C6244" s="220" t="s">
        <v>2834</v>
      </c>
      <c r="D6244" s="220" t="s">
        <v>272</v>
      </c>
      <c r="E6244" s="165">
        <v>100</v>
      </c>
    </row>
    <row r="6245" spans="1:5" x14ac:dyDescent="0.25">
      <c r="A6245" s="216" t="s">
        <v>10615</v>
      </c>
      <c r="B6245" s="218">
        <v>1</v>
      </c>
      <c r="C6245" s="220" t="s">
        <v>1622</v>
      </c>
      <c r="D6245" s="220" t="s">
        <v>56</v>
      </c>
      <c r="E6245" s="165">
        <v>100</v>
      </c>
    </row>
    <row r="6246" spans="1:5" x14ac:dyDescent="0.25">
      <c r="A6246" s="216" t="s">
        <v>11546</v>
      </c>
      <c r="B6246" s="218" t="s">
        <v>48</v>
      </c>
      <c r="C6246" s="220" t="s">
        <v>8880</v>
      </c>
      <c r="D6246" s="220" t="s">
        <v>53</v>
      </c>
      <c r="E6246" s="165">
        <v>100</v>
      </c>
    </row>
    <row r="6247" spans="1:5" x14ac:dyDescent="0.25">
      <c r="A6247" s="216" t="s">
        <v>11547</v>
      </c>
      <c r="B6247" s="218" t="s">
        <v>48</v>
      </c>
      <c r="C6247" s="220" t="s">
        <v>6217</v>
      </c>
      <c r="D6247" s="220" t="s">
        <v>93</v>
      </c>
      <c r="E6247" s="165">
        <v>100</v>
      </c>
    </row>
    <row r="6248" spans="1:5" x14ac:dyDescent="0.25">
      <c r="A6248" s="216" t="s">
        <v>8713</v>
      </c>
      <c r="B6248" s="218" t="s">
        <v>48</v>
      </c>
      <c r="C6248" s="220" t="s">
        <v>8581</v>
      </c>
      <c r="D6248" s="220" t="s">
        <v>272</v>
      </c>
      <c r="E6248" s="165">
        <v>100</v>
      </c>
    </row>
    <row r="6249" spans="1:5" x14ac:dyDescent="0.25">
      <c r="A6249" s="216" t="s">
        <v>8683</v>
      </c>
      <c r="B6249" s="218">
        <v>1</v>
      </c>
      <c r="C6249" s="220" t="s">
        <v>1805</v>
      </c>
      <c r="D6249" s="220" t="s">
        <v>69</v>
      </c>
      <c r="E6249" s="165">
        <v>100</v>
      </c>
    </row>
    <row r="6250" spans="1:5" x14ac:dyDescent="0.25">
      <c r="A6250" s="216" t="s">
        <v>11548</v>
      </c>
      <c r="B6250" s="218">
        <v>1</v>
      </c>
      <c r="C6250" s="220" t="s">
        <v>11549</v>
      </c>
      <c r="D6250" s="220" t="s">
        <v>56</v>
      </c>
      <c r="E6250" s="165">
        <v>100</v>
      </c>
    </row>
    <row r="6251" spans="1:5" x14ac:dyDescent="0.25">
      <c r="A6251" s="216" t="s">
        <v>5715</v>
      </c>
      <c r="B6251" s="218">
        <v>1</v>
      </c>
      <c r="C6251" s="220" t="s">
        <v>5716</v>
      </c>
      <c r="D6251" s="220" t="s">
        <v>50</v>
      </c>
      <c r="E6251" s="165">
        <v>100</v>
      </c>
    </row>
    <row r="6252" spans="1:5" x14ac:dyDescent="0.25">
      <c r="A6252" s="216" t="s">
        <v>8719</v>
      </c>
      <c r="B6252" s="218" t="s">
        <v>48</v>
      </c>
      <c r="C6252" s="220" t="s">
        <v>121</v>
      </c>
      <c r="D6252" s="220" t="s">
        <v>56</v>
      </c>
      <c r="E6252" s="165">
        <v>100</v>
      </c>
    </row>
    <row r="6253" spans="1:5" x14ac:dyDescent="0.25">
      <c r="A6253" s="216" t="s">
        <v>9046</v>
      </c>
      <c r="B6253" s="218">
        <v>1</v>
      </c>
      <c r="C6253" s="220" t="s">
        <v>371</v>
      </c>
      <c r="D6253" s="220" t="s">
        <v>523</v>
      </c>
      <c r="E6253" s="165">
        <v>100</v>
      </c>
    </row>
    <row r="6254" spans="1:5" x14ac:dyDescent="0.25">
      <c r="A6254" s="216" t="s">
        <v>8720</v>
      </c>
      <c r="B6254" s="218">
        <v>1</v>
      </c>
      <c r="C6254" s="220" t="s">
        <v>922</v>
      </c>
      <c r="D6254" s="220" t="s">
        <v>188</v>
      </c>
      <c r="E6254" s="165">
        <v>100</v>
      </c>
    </row>
    <row r="6255" spans="1:5" x14ac:dyDescent="0.25">
      <c r="A6255" s="216" t="s">
        <v>9242</v>
      </c>
      <c r="B6255" s="218" t="s">
        <v>48</v>
      </c>
      <c r="C6255" s="220" t="s">
        <v>270</v>
      </c>
      <c r="D6255" s="220" t="s">
        <v>177</v>
      </c>
      <c r="E6255" s="165">
        <v>100</v>
      </c>
    </row>
    <row r="6256" spans="1:5" x14ac:dyDescent="0.25">
      <c r="A6256" s="216" t="s">
        <v>8754</v>
      </c>
      <c r="B6256" s="218">
        <v>1</v>
      </c>
      <c r="C6256" s="220" t="s">
        <v>274</v>
      </c>
      <c r="D6256" s="220" t="s">
        <v>188</v>
      </c>
      <c r="E6256" s="165">
        <v>100</v>
      </c>
    </row>
    <row r="6257" spans="1:5" x14ac:dyDescent="0.25">
      <c r="A6257" s="216" t="s">
        <v>8777</v>
      </c>
      <c r="B6257" s="218">
        <v>1</v>
      </c>
      <c r="C6257" s="220" t="s">
        <v>483</v>
      </c>
      <c r="D6257" s="220" t="s">
        <v>87</v>
      </c>
      <c r="E6257" s="165">
        <v>100</v>
      </c>
    </row>
    <row r="6258" spans="1:5" x14ac:dyDescent="0.25">
      <c r="A6258" s="216" t="s">
        <v>8603</v>
      </c>
      <c r="B6258" s="218">
        <v>1</v>
      </c>
      <c r="C6258" s="220" t="s">
        <v>3656</v>
      </c>
      <c r="D6258" s="220" t="s">
        <v>66</v>
      </c>
      <c r="E6258" s="165">
        <v>100</v>
      </c>
    </row>
    <row r="6259" spans="1:5" x14ac:dyDescent="0.25">
      <c r="A6259" s="216" t="s">
        <v>8640</v>
      </c>
      <c r="B6259" s="218">
        <v>1</v>
      </c>
      <c r="C6259" s="220" t="s">
        <v>1967</v>
      </c>
      <c r="D6259" s="220" t="s">
        <v>192</v>
      </c>
      <c r="E6259" s="165">
        <v>100</v>
      </c>
    </row>
    <row r="6260" spans="1:5" x14ac:dyDescent="0.25">
      <c r="A6260" s="216" t="s">
        <v>8729</v>
      </c>
      <c r="B6260" s="218" t="s">
        <v>48</v>
      </c>
      <c r="C6260" s="220" t="s">
        <v>8730</v>
      </c>
      <c r="D6260" s="220" t="s">
        <v>82</v>
      </c>
      <c r="E6260" s="165">
        <v>100</v>
      </c>
    </row>
    <row r="6261" spans="1:5" x14ac:dyDescent="0.25">
      <c r="A6261" s="216" t="s">
        <v>7319</v>
      </c>
      <c r="B6261" s="218" t="s">
        <v>48</v>
      </c>
      <c r="C6261" s="220" t="s">
        <v>6229</v>
      </c>
      <c r="D6261" s="220" t="s">
        <v>59</v>
      </c>
      <c r="E6261" s="165">
        <v>100</v>
      </c>
    </row>
    <row r="6262" spans="1:5" x14ac:dyDescent="0.25">
      <c r="A6262" s="216" t="s">
        <v>10037</v>
      </c>
      <c r="B6262" s="218" t="s">
        <v>48</v>
      </c>
      <c r="C6262" s="220" t="s">
        <v>10038</v>
      </c>
      <c r="D6262" s="220" t="s">
        <v>75</v>
      </c>
      <c r="E6262" s="165">
        <v>100</v>
      </c>
    </row>
    <row r="6263" spans="1:5" x14ac:dyDescent="0.25">
      <c r="A6263" s="216" t="s">
        <v>8956</v>
      </c>
      <c r="B6263" s="218" t="s">
        <v>48</v>
      </c>
      <c r="C6263" s="220" t="s">
        <v>6682</v>
      </c>
      <c r="D6263" s="220" t="s">
        <v>75</v>
      </c>
      <c r="E6263" s="165">
        <v>100</v>
      </c>
    </row>
    <row r="6264" spans="1:5" x14ac:dyDescent="0.25">
      <c r="A6264" s="216" t="s">
        <v>8736</v>
      </c>
      <c r="B6264" s="218" t="s">
        <v>48</v>
      </c>
      <c r="C6264" s="220" t="s">
        <v>1513</v>
      </c>
      <c r="D6264" s="220" t="s">
        <v>188</v>
      </c>
      <c r="E6264" s="165">
        <v>100</v>
      </c>
    </row>
    <row r="6265" spans="1:5" x14ac:dyDescent="0.25">
      <c r="A6265" s="216" t="s">
        <v>8921</v>
      </c>
      <c r="B6265" s="218">
        <v>1</v>
      </c>
      <c r="C6265" s="220" t="s">
        <v>891</v>
      </c>
      <c r="D6265" s="220" t="s">
        <v>56</v>
      </c>
      <c r="E6265" s="165">
        <v>100</v>
      </c>
    </row>
    <row r="6266" spans="1:5" x14ac:dyDescent="0.25">
      <c r="A6266" s="216" t="s">
        <v>8529</v>
      </c>
      <c r="B6266" s="218">
        <v>1</v>
      </c>
      <c r="C6266" s="220" t="s">
        <v>8530</v>
      </c>
      <c r="D6266" s="220" t="s">
        <v>50</v>
      </c>
      <c r="E6266" s="165">
        <v>100</v>
      </c>
    </row>
    <row r="6267" spans="1:5" x14ac:dyDescent="0.25">
      <c r="A6267" s="216" t="s">
        <v>11550</v>
      </c>
      <c r="B6267" s="218" t="s">
        <v>48</v>
      </c>
      <c r="C6267" s="220" t="s">
        <v>11551</v>
      </c>
      <c r="D6267" s="220" t="s">
        <v>575</v>
      </c>
      <c r="E6267" s="165">
        <v>100</v>
      </c>
    </row>
    <row r="6268" spans="1:5" x14ac:dyDescent="0.25">
      <c r="A6268" s="216" t="s">
        <v>8336</v>
      </c>
      <c r="B6268" s="218">
        <v>1</v>
      </c>
      <c r="C6268" s="220" t="s">
        <v>8337</v>
      </c>
      <c r="D6268" s="220" t="s">
        <v>139</v>
      </c>
      <c r="E6268" s="165">
        <v>100</v>
      </c>
    </row>
    <row r="6269" spans="1:5" x14ac:dyDescent="0.25">
      <c r="A6269" s="216" t="s">
        <v>7742</v>
      </c>
      <c r="B6269" s="218" t="s">
        <v>48</v>
      </c>
      <c r="C6269" s="220" t="s">
        <v>7743</v>
      </c>
      <c r="D6269" s="220" t="s">
        <v>59</v>
      </c>
      <c r="E6269" s="165">
        <v>100</v>
      </c>
    </row>
    <row r="6270" spans="1:5" x14ac:dyDescent="0.25">
      <c r="A6270" s="216" t="s">
        <v>11552</v>
      </c>
      <c r="B6270" s="218">
        <v>1</v>
      </c>
      <c r="C6270" s="220" t="s">
        <v>90</v>
      </c>
      <c r="D6270" s="220" t="s">
        <v>441</v>
      </c>
      <c r="E6270" s="165">
        <v>100</v>
      </c>
    </row>
    <row r="6271" spans="1:5" x14ac:dyDescent="0.25">
      <c r="A6271" s="216" t="s">
        <v>9495</v>
      </c>
      <c r="B6271" s="218" t="s">
        <v>48</v>
      </c>
      <c r="C6271" s="220" t="s">
        <v>9496</v>
      </c>
      <c r="D6271" s="220" t="s">
        <v>78</v>
      </c>
      <c r="E6271" s="165">
        <v>100</v>
      </c>
    </row>
    <row r="6272" spans="1:5" x14ac:dyDescent="0.25">
      <c r="A6272" s="216" t="s">
        <v>8757</v>
      </c>
      <c r="B6272" s="218">
        <v>1</v>
      </c>
      <c r="C6272" s="220" t="s">
        <v>11553</v>
      </c>
      <c r="D6272" s="220" t="s">
        <v>188</v>
      </c>
      <c r="E6272" s="165">
        <v>100</v>
      </c>
    </row>
    <row r="6273" spans="1:5" x14ac:dyDescent="0.25">
      <c r="A6273" s="216" t="s">
        <v>3862</v>
      </c>
      <c r="B6273" s="218">
        <v>1</v>
      </c>
      <c r="C6273" s="220" t="s">
        <v>879</v>
      </c>
      <c r="D6273" s="220" t="s">
        <v>337</v>
      </c>
      <c r="E6273" s="165">
        <v>99</v>
      </c>
    </row>
    <row r="6274" spans="1:5" x14ac:dyDescent="0.25">
      <c r="A6274" s="216" t="s">
        <v>8845</v>
      </c>
      <c r="B6274" s="218" t="s">
        <v>48</v>
      </c>
      <c r="C6274" s="220" t="s">
        <v>238</v>
      </c>
      <c r="D6274" s="220" t="s">
        <v>130</v>
      </c>
      <c r="E6274" s="165">
        <v>99</v>
      </c>
    </row>
    <row r="6275" spans="1:5" x14ac:dyDescent="0.25">
      <c r="A6275" s="216" t="s">
        <v>11554</v>
      </c>
      <c r="B6275" s="218">
        <v>1</v>
      </c>
      <c r="C6275" s="220" t="s">
        <v>782</v>
      </c>
      <c r="D6275" s="220" t="s">
        <v>93</v>
      </c>
      <c r="E6275" s="165">
        <v>99</v>
      </c>
    </row>
    <row r="6276" spans="1:5" x14ac:dyDescent="0.25">
      <c r="A6276" s="216" t="s">
        <v>11555</v>
      </c>
      <c r="B6276" s="218" t="s">
        <v>48</v>
      </c>
      <c r="C6276" s="220" t="s">
        <v>5204</v>
      </c>
      <c r="D6276" s="220" t="s">
        <v>75</v>
      </c>
      <c r="E6276" s="165">
        <v>99</v>
      </c>
    </row>
    <row r="6277" spans="1:5" x14ac:dyDescent="0.25">
      <c r="A6277" s="216" t="s">
        <v>8724</v>
      </c>
      <c r="B6277" s="218">
        <v>1</v>
      </c>
      <c r="C6277" s="220" t="s">
        <v>176</v>
      </c>
      <c r="D6277" s="220" t="s">
        <v>177</v>
      </c>
      <c r="E6277" s="165">
        <v>99</v>
      </c>
    </row>
    <row r="6278" spans="1:5" x14ac:dyDescent="0.25">
      <c r="A6278" s="216" t="s">
        <v>8604</v>
      </c>
      <c r="B6278" s="218">
        <v>1</v>
      </c>
      <c r="C6278" s="220" t="s">
        <v>8605</v>
      </c>
      <c r="D6278" s="220" t="s">
        <v>56</v>
      </c>
      <c r="E6278" s="165">
        <v>99</v>
      </c>
    </row>
    <row r="6279" spans="1:5" x14ac:dyDescent="0.25">
      <c r="A6279" s="216" t="s">
        <v>8728</v>
      </c>
      <c r="B6279" s="218">
        <v>1</v>
      </c>
      <c r="C6279" s="220" t="s">
        <v>154</v>
      </c>
      <c r="D6279" s="220" t="s">
        <v>177</v>
      </c>
      <c r="E6279" s="165">
        <v>99</v>
      </c>
    </row>
    <row r="6280" spans="1:5" x14ac:dyDescent="0.25">
      <c r="A6280" s="216" t="s">
        <v>8687</v>
      </c>
      <c r="B6280" s="218">
        <v>1</v>
      </c>
      <c r="C6280" s="220" t="s">
        <v>144</v>
      </c>
      <c r="D6280" s="220" t="s">
        <v>59</v>
      </c>
      <c r="E6280" s="165">
        <v>99</v>
      </c>
    </row>
    <row r="6281" spans="1:5" x14ac:dyDescent="0.25">
      <c r="A6281" s="216" t="s">
        <v>8170</v>
      </c>
      <c r="B6281" s="218" t="s">
        <v>48</v>
      </c>
      <c r="C6281" s="220" t="s">
        <v>8171</v>
      </c>
      <c r="D6281" s="220" t="s">
        <v>75</v>
      </c>
      <c r="E6281" s="165">
        <v>99</v>
      </c>
    </row>
    <row r="6282" spans="1:5" x14ac:dyDescent="0.25">
      <c r="A6282" s="216" t="s">
        <v>8688</v>
      </c>
      <c r="B6282" s="218">
        <v>1</v>
      </c>
      <c r="C6282" s="220" t="s">
        <v>8689</v>
      </c>
      <c r="D6282" s="220" t="s">
        <v>50</v>
      </c>
      <c r="E6282" s="165">
        <v>99</v>
      </c>
    </row>
    <row r="6283" spans="1:5" x14ac:dyDescent="0.25">
      <c r="A6283" s="216" t="s">
        <v>3611</v>
      </c>
      <c r="B6283" s="218" t="s">
        <v>48</v>
      </c>
      <c r="C6283" s="220" t="s">
        <v>3612</v>
      </c>
      <c r="D6283" s="220" t="s">
        <v>206</v>
      </c>
      <c r="E6283" s="165">
        <v>99</v>
      </c>
    </row>
    <row r="6284" spans="1:5" x14ac:dyDescent="0.25">
      <c r="A6284" s="216" t="s">
        <v>8690</v>
      </c>
      <c r="B6284" s="218">
        <v>1</v>
      </c>
      <c r="C6284" s="220" t="s">
        <v>259</v>
      </c>
      <c r="D6284" s="220" t="s">
        <v>50</v>
      </c>
      <c r="E6284" s="165">
        <v>99</v>
      </c>
    </row>
    <row r="6285" spans="1:5" x14ac:dyDescent="0.25">
      <c r="A6285" s="216" t="s">
        <v>8677</v>
      </c>
      <c r="B6285" s="218">
        <v>1</v>
      </c>
      <c r="C6285" s="220" t="s">
        <v>2972</v>
      </c>
      <c r="D6285" s="220" t="s">
        <v>63</v>
      </c>
      <c r="E6285" s="165">
        <v>99</v>
      </c>
    </row>
    <row r="6286" spans="1:5" x14ac:dyDescent="0.25">
      <c r="A6286" s="216" t="s">
        <v>8740</v>
      </c>
      <c r="B6286" s="218">
        <v>1</v>
      </c>
      <c r="C6286" s="220" t="s">
        <v>270</v>
      </c>
      <c r="D6286" s="220" t="s">
        <v>177</v>
      </c>
      <c r="E6286" s="165">
        <v>99</v>
      </c>
    </row>
    <row r="6287" spans="1:5" x14ac:dyDescent="0.25">
      <c r="A6287" s="216" t="s">
        <v>9158</v>
      </c>
      <c r="B6287" s="218">
        <v>1</v>
      </c>
      <c r="C6287" s="220" t="s">
        <v>4486</v>
      </c>
      <c r="D6287" s="220" t="s">
        <v>53</v>
      </c>
      <c r="E6287" s="165">
        <v>98</v>
      </c>
    </row>
    <row r="6288" spans="1:5" x14ac:dyDescent="0.25">
      <c r="A6288" s="216" t="s">
        <v>11556</v>
      </c>
      <c r="B6288" s="218">
        <v>1</v>
      </c>
      <c r="C6288" s="220" t="s">
        <v>3214</v>
      </c>
      <c r="D6288" s="220" t="s">
        <v>206</v>
      </c>
      <c r="E6288" s="165">
        <v>98</v>
      </c>
    </row>
    <row r="6289" spans="1:5" x14ac:dyDescent="0.25">
      <c r="A6289" s="216" t="s">
        <v>11557</v>
      </c>
      <c r="B6289" s="218">
        <v>1</v>
      </c>
      <c r="C6289" s="220" t="s">
        <v>8489</v>
      </c>
      <c r="D6289" s="220" t="s">
        <v>130</v>
      </c>
      <c r="E6289" s="165">
        <v>98</v>
      </c>
    </row>
    <row r="6290" spans="1:5" x14ac:dyDescent="0.25">
      <c r="A6290" s="216" t="s">
        <v>7951</v>
      </c>
      <c r="B6290" s="218" t="s">
        <v>48</v>
      </c>
      <c r="C6290" s="220" t="s">
        <v>313</v>
      </c>
      <c r="D6290" s="220" t="s">
        <v>90</v>
      </c>
      <c r="E6290" s="165">
        <v>98</v>
      </c>
    </row>
    <row r="6291" spans="1:5" x14ac:dyDescent="0.25">
      <c r="A6291" s="216" t="s">
        <v>8430</v>
      </c>
      <c r="B6291" s="218">
        <v>1</v>
      </c>
      <c r="C6291" s="220" t="s">
        <v>3551</v>
      </c>
      <c r="D6291" s="220" t="s">
        <v>272</v>
      </c>
      <c r="E6291" s="165">
        <v>98</v>
      </c>
    </row>
    <row r="6292" spans="1:5" x14ac:dyDescent="0.25">
      <c r="A6292" s="216" t="s">
        <v>8819</v>
      </c>
      <c r="B6292" s="218">
        <v>1</v>
      </c>
      <c r="C6292" s="220" t="s">
        <v>8820</v>
      </c>
      <c r="D6292" s="220" t="s">
        <v>139</v>
      </c>
      <c r="E6292" s="165">
        <v>98</v>
      </c>
    </row>
    <row r="6293" spans="1:5" x14ac:dyDescent="0.25">
      <c r="A6293" s="216" t="s">
        <v>8721</v>
      </c>
      <c r="B6293" s="218">
        <v>1</v>
      </c>
      <c r="C6293" s="220" t="s">
        <v>5031</v>
      </c>
      <c r="D6293" s="220" t="s">
        <v>53</v>
      </c>
      <c r="E6293" s="165">
        <v>98</v>
      </c>
    </row>
    <row r="6294" spans="1:5" x14ac:dyDescent="0.25">
      <c r="A6294" s="216" t="s">
        <v>7836</v>
      </c>
      <c r="B6294" s="218" t="s">
        <v>48</v>
      </c>
      <c r="C6294" s="220" t="s">
        <v>7837</v>
      </c>
      <c r="D6294" s="220" t="s">
        <v>188</v>
      </c>
      <c r="E6294" s="165">
        <v>98</v>
      </c>
    </row>
    <row r="6295" spans="1:5" x14ac:dyDescent="0.25">
      <c r="A6295" s="216" t="s">
        <v>9247</v>
      </c>
      <c r="B6295" s="218" t="s">
        <v>48</v>
      </c>
      <c r="C6295" s="220" t="s">
        <v>9248</v>
      </c>
      <c r="D6295" s="220" t="s">
        <v>166</v>
      </c>
      <c r="E6295" s="165">
        <v>98</v>
      </c>
    </row>
    <row r="6296" spans="1:5" x14ac:dyDescent="0.25">
      <c r="A6296" s="216" t="s">
        <v>8329</v>
      </c>
      <c r="B6296" s="218" t="s">
        <v>48</v>
      </c>
      <c r="C6296" s="220" t="s">
        <v>8330</v>
      </c>
      <c r="D6296" s="220" t="s">
        <v>53</v>
      </c>
      <c r="E6296" s="165">
        <v>98</v>
      </c>
    </row>
    <row r="6297" spans="1:5" x14ac:dyDescent="0.25">
      <c r="A6297" s="216" t="s">
        <v>8468</v>
      </c>
      <c r="B6297" s="218" t="s">
        <v>48</v>
      </c>
      <c r="C6297" s="220" t="s">
        <v>8469</v>
      </c>
      <c r="D6297" s="220" t="s">
        <v>108</v>
      </c>
      <c r="E6297" s="165">
        <v>98</v>
      </c>
    </row>
    <row r="6298" spans="1:5" x14ac:dyDescent="0.25">
      <c r="A6298" s="216" t="s">
        <v>7805</v>
      </c>
      <c r="B6298" s="218" t="s">
        <v>48</v>
      </c>
      <c r="C6298" s="220" t="s">
        <v>6755</v>
      </c>
      <c r="D6298" s="220" t="s">
        <v>90</v>
      </c>
      <c r="E6298" s="165">
        <v>98</v>
      </c>
    </row>
    <row r="6299" spans="1:5" x14ac:dyDescent="0.25">
      <c r="A6299" s="216" t="s">
        <v>8555</v>
      </c>
      <c r="B6299" s="218">
        <v>1</v>
      </c>
      <c r="C6299" s="220" t="s">
        <v>279</v>
      </c>
      <c r="D6299" s="220" t="s">
        <v>127</v>
      </c>
      <c r="E6299" s="165">
        <v>98</v>
      </c>
    </row>
    <row r="6300" spans="1:5" x14ac:dyDescent="0.25">
      <c r="A6300" s="216" t="s">
        <v>7623</v>
      </c>
      <c r="B6300" s="218">
        <v>1</v>
      </c>
      <c r="C6300" s="220" t="s">
        <v>1807</v>
      </c>
      <c r="D6300" s="220" t="s">
        <v>222</v>
      </c>
      <c r="E6300" s="165">
        <v>98</v>
      </c>
    </row>
    <row r="6301" spans="1:5" x14ac:dyDescent="0.25">
      <c r="A6301" s="216" t="s">
        <v>8693</v>
      </c>
      <c r="B6301" s="218" t="s">
        <v>48</v>
      </c>
      <c r="C6301" s="220" t="s">
        <v>238</v>
      </c>
      <c r="D6301" s="220" t="s">
        <v>93</v>
      </c>
      <c r="E6301" s="165">
        <v>98</v>
      </c>
    </row>
    <row r="6302" spans="1:5" x14ac:dyDescent="0.25">
      <c r="A6302" s="216" t="s">
        <v>11558</v>
      </c>
      <c r="B6302" s="218" t="s">
        <v>48</v>
      </c>
      <c r="C6302" s="220" t="s">
        <v>77</v>
      </c>
      <c r="D6302" s="220" t="s">
        <v>78</v>
      </c>
      <c r="E6302" s="165">
        <v>98</v>
      </c>
    </row>
    <row r="6303" spans="1:5" x14ac:dyDescent="0.25">
      <c r="A6303" s="216" t="s">
        <v>11559</v>
      </c>
      <c r="B6303" s="218" t="s">
        <v>48</v>
      </c>
      <c r="C6303" s="220" t="s">
        <v>788</v>
      </c>
      <c r="D6303" s="220" t="s">
        <v>59</v>
      </c>
      <c r="E6303" s="165">
        <v>98</v>
      </c>
    </row>
    <row r="6304" spans="1:5" x14ac:dyDescent="0.25">
      <c r="A6304" s="216" t="s">
        <v>8541</v>
      </c>
      <c r="B6304" s="218">
        <v>1</v>
      </c>
      <c r="C6304" s="220" t="s">
        <v>810</v>
      </c>
      <c r="D6304" s="220" t="s">
        <v>774</v>
      </c>
      <c r="E6304" s="165">
        <v>97</v>
      </c>
    </row>
    <row r="6305" spans="1:5" x14ac:dyDescent="0.25">
      <c r="A6305" s="216" t="s">
        <v>8705</v>
      </c>
      <c r="B6305" s="218">
        <v>1</v>
      </c>
      <c r="C6305" s="220" t="s">
        <v>8706</v>
      </c>
      <c r="D6305" s="220" t="s">
        <v>63</v>
      </c>
      <c r="E6305" s="165">
        <v>97</v>
      </c>
    </row>
    <row r="6306" spans="1:5" x14ac:dyDescent="0.25">
      <c r="A6306" s="216" t="s">
        <v>9872</v>
      </c>
      <c r="B6306" s="218" t="s">
        <v>48</v>
      </c>
      <c r="C6306" s="220" t="s">
        <v>102</v>
      </c>
      <c r="D6306" s="220" t="s">
        <v>93</v>
      </c>
      <c r="E6306" s="165">
        <v>97</v>
      </c>
    </row>
    <row r="6307" spans="1:5" x14ac:dyDescent="0.25">
      <c r="A6307" s="216" t="s">
        <v>5879</v>
      </c>
      <c r="B6307" s="218" t="s">
        <v>48</v>
      </c>
      <c r="C6307" s="220" t="s">
        <v>5880</v>
      </c>
      <c r="D6307" s="220" t="s">
        <v>166</v>
      </c>
      <c r="E6307" s="165">
        <v>97</v>
      </c>
    </row>
    <row r="6308" spans="1:5" x14ac:dyDescent="0.25">
      <c r="A6308" s="216" t="s">
        <v>8782</v>
      </c>
      <c r="B6308" s="218">
        <v>1</v>
      </c>
      <c r="C6308" s="220" t="s">
        <v>5582</v>
      </c>
      <c r="D6308" s="220" t="s">
        <v>56</v>
      </c>
      <c r="E6308" s="165">
        <v>97</v>
      </c>
    </row>
    <row r="6309" spans="1:5" x14ac:dyDescent="0.25">
      <c r="A6309" s="216" t="s">
        <v>11560</v>
      </c>
      <c r="B6309" s="218">
        <v>1</v>
      </c>
      <c r="C6309" s="220" t="s">
        <v>11561</v>
      </c>
      <c r="D6309" s="220" t="s">
        <v>56</v>
      </c>
      <c r="E6309" s="165">
        <v>97</v>
      </c>
    </row>
    <row r="6310" spans="1:5" x14ac:dyDescent="0.25">
      <c r="A6310" s="216" t="s">
        <v>8785</v>
      </c>
      <c r="B6310" s="218">
        <v>1</v>
      </c>
      <c r="C6310" s="220" t="s">
        <v>6215</v>
      </c>
      <c r="D6310" s="220" t="s">
        <v>56</v>
      </c>
      <c r="E6310" s="165">
        <v>97</v>
      </c>
    </row>
    <row r="6311" spans="1:5" x14ac:dyDescent="0.25">
      <c r="A6311" s="216" t="s">
        <v>8409</v>
      </c>
      <c r="B6311" s="218">
        <v>1</v>
      </c>
      <c r="C6311" s="220" t="s">
        <v>1614</v>
      </c>
      <c r="D6311" s="220" t="s">
        <v>93</v>
      </c>
      <c r="E6311" s="165">
        <v>97</v>
      </c>
    </row>
    <row r="6312" spans="1:5" x14ac:dyDescent="0.25">
      <c r="A6312" s="216" t="s">
        <v>9835</v>
      </c>
      <c r="B6312" s="218" t="s">
        <v>48</v>
      </c>
      <c r="C6312" s="220" t="s">
        <v>9836</v>
      </c>
      <c r="D6312" s="220" t="s">
        <v>93</v>
      </c>
      <c r="E6312" s="165">
        <v>97</v>
      </c>
    </row>
    <row r="6313" spans="1:5" x14ac:dyDescent="0.25">
      <c r="A6313" s="216" t="s">
        <v>6101</v>
      </c>
      <c r="B6313" s="218">
        <v>1</v>
      </c>
      <c r="C6313" s="220" t="s">
        <v>238</v>
      </c>
      <c r="D6313" s="220" t="s">
        <v>142</v>
      </c>
      <c r="E6313" s="165">
        <v>97</v>
      </c>
    </row>
    <row r="6314" spans="1:5" x14ac:dyDescent="0.25">
      <c r="A6314" s="216" t="s">
        <v>7000</v>
      </c>
      <c r="B6314" s="218" t="s">
        <v>48</v>
      </c>
      <c r="C6314" s="220" t="s">
        <v>7001</v>
      </c>
      <c r="D6314" s="220" t="s">
        <v>90</v>
      </c>
      <c r="E6314" s="165">
        <v>97</v>
      </c>
    </row>
    <row r="6315" spans="1:5" x14ac:dyDescent="0.25">
      <c r="A6315" s="216" t="s">
        <v>8576</v>
      </c>
      <c r="B6315" s="218">
        <v>1</v>
      </c>
      <c r="C6315" s="220" t="s">
        <v>8577</v>
      </c>
      <c r="D6315" s="220" t="s">
        <v>192</v>
      </c>
      <c r="E6315" s="165">
        <v>97</v>
      </c>
    </row>
    <row r="6316" spans="1:5" x14ac:dyDescent="0.25">
      <c r="A6316" s="216" t="s">
        <v>8790</v>
      </c>
      <c r="B6316" s="218">
        <v>1</v>
      </c>
      <c r="C6316" s="220" t="s">
        <v>8791</v>
      </c>
      <c r="D6316" s="220" t="s">
        <v>56</v>
      </c>
      <c r="E6316" s="165">
        <v>97</v>
      </c>
    </row>
    <row r="6317" spans="1:5" x14ac:dyDescent="0.25">
      <c r="A6317" s="216" t="s">
        <v>9334</v>
      </c>
      <c r="B6317" s="218" t="s">
        <v>48</v>
      </c>
      <c r="C6317" s="220" t="s">
        <v>89</v>
      </c>
      <c r="D6317" s="220" t="s">
        <v>90</v>
      </c>
      <c r="E6317" s="165">
        <v>97</v>
      </c>
    </row>
    <row r="6318" spans="1:5" x14ac:dyDescent="0.25">
      <c r="A6318" s="216" t="s">
        <v>11562</v>
      </c>
      <c r="B6318" s="218">
        <v>1</v>
      </c>
      <c r="C6318" s="220" t="s">
        <v>473</v>
      </c>
      <c r="D6318" s="220" t="s">
        <v>575</v>
      </c>
      <c r="E6318" s="165">
        <v>97</v>
      </c>
    </row>
    <row r="6319" spans="1:5" x14ac:dyDescent="0.25">
      <c r="A6319" s="216" t="s">
        <v>8223</v>
      </c>
      <c r="B6319" s="218">
        <v>1</v>
      </c>
      <c r="C6319" s="220" t="s">
        <v>1027</v>
      </c>
      <c r="D6319" s="220" t="s">
        <v>277</v>
      </c>
      <c r="E6319" s="165">
        <v>97</v>
      </c>
    </row>
    <row r="6320" spans="1:5" x14ac:dyDescent="0.25">
      <c r="A6320" s="216" t="s">
        <v>8994</v>
      </c>
      <c r="B6320" s="218" t="s">
        <v>48</v>
      </c>
      <c r="C6320" s="220" t="s">
        <v>3078</v>
      </c>
      <c r="D6320" s="220" t="s">
        <v>575</v>
      </c>
      <c r="E6320" s="165">
        <v>97</v>
      </c>
    </row>
    <row r="6321" spans="1:5" x14ac:dyDescent="0.25">
      <c r="A6321" s="216" t="s">
        <v>10827</v>
      </c>
      <c r="B6321" s="218">
        <v>1</v>
      </c>
      <c r="C6321" s="220" t="s">
        <v>3078</v>
      </c>
      <c r="D6321" s="220" t="s">
        <v>575</v>
      </c>
      <c r="E6321" s="165">
        <v>97</v>
      </c>
    </row>
    <row r="6322" spans="1:5" x14ac:dyDescent="0.25">
      <c r="A6322" s="216" t="s">
        <v>9641</v>
      </c>
      <c r="B6322" s="218" t="s">
        <v>48</v>
      </c>
      <c r="C6322" s="220" t="s">
        <v>605</v>
      </c>
      <c r="D6322" s="220" t="s">
        <v>585</v>
      </c>
      <c r="E6322" s="165">
        <v>96</v>
      </c>
    </row>
    <row r="6323" spans="1:5" x14ac:dyDescent="0.25">
      <c r="A6323" s="216" t="s">
        <v>8398</v>
      </c>
      <c r="B6323" s="218">
        <v>1</v>
      </c>
      <c r="C6323" s="220" t="s">
        <v>829</v>
      </c>
      <c r="D6323" s="220" t="s">
        <v>348</v>
      </c>
      <c r="E6323" s="165">
        <v>96</v>
      </c>
    </row>
    <row r="6324" spans="1:5" x14ac:dyDescent="0.25">
      <c r="A6324" s="216" t="s">
        <v>11563</v>
      </c>
      <c r="B6324" s="218">
        <v>1</v>
      </c>
      <c r="C6324" s="220" t="s">
        <v>6129</v>
      </c>
      <c r="D6324" s="220" t="s">
        <v>93</v>
      </c>
      <c r="E6324" s="165">
        <v>96</v>
      </c>
    </row>
    <row r="6325" spans="1:5" x14ac:dyDescent="0.25">
      <c r="A6325" s="216" t="s">
        <v>9181</v>
      </c>
      <c r="B6325" s="218" t="s">
        <v>48</v>
      </c>
      <c r="C6325" s="220" t="s">
        <v>5941</v>
      </c>
      <c r="D6325" s="220" t="s">
        <v>348</v>
      </c>
      <c r="E6325" s="165">
        <v>96</v>
      </c>
    </row>
    <row r="6326" spans="1:5" x14ac:dyDescent="0.25">
      <c r="A6326" s="216" t="s">
        <v>8608</v>
      </c>
      <c r="B6326" s="218">
        <v>1</v>
      </c>
      <c r="C6326" s="220" t="s">
        <v>8609</v>
      </c>
      <c r="D6326" s="220" t="s">
        <v>50</v>
      </c>
      <c r="E6326" s="165">
        <v>96</v>
      </c>
    </row>
    <row r="6327" spans="1:5" x14ac:dyDescent="0.25">
      <c r="A6327" s="216" t="s">
        <v>7435</v>
      </c>
      <c r="B6327" s="218" t="s">
        <v>48</v>
      </c>
      <c r="C6327" s="220" t="s">
        <v>7436</v>
      </c>
      <c r="D6327" s="220" t="s">
        <v>59</v>
      </c>
      <c r="E6327" s="165">
        <v>96</v>
      </c>
    </row>
    <row r="6328" spans="1:5" x14ac:dyDescent="0.25">
      <c r="A6328" s="216" t="s">
        <v>8572</v>
      </c>
      <c r="B6328" s="218" t="s">
        <v>48</v>
      </c>
      <c r="C6328" s="220" t="s">
        <v>6700</v>
      </c>
      <c r="D6328" s="220" t="s">
        <v>139</v>
      </c>
      <c r="E6328" s="165">
        <v>96</v>
      </c>
    </row>
    <row r="6329" spans="1:5" x14ac:dyDescent="0.25">
      <c r="A6329" s="216" t="s">
        <v>8172</v>
      </c>
      <c r="B6329" s="218" t="s">
        <v>48</v>
      </c>
      <c r="C6329" s="220" t="s">
        <v>3135</v>
      </c>
      <c r="D6329" s="220" t="s">
        <v>75</v>
      </c>
      <c r="E6329" s="165">
        <v>96</v>
      </c>
    </row>
    <row r="6330" spans="1:5" x14ac:dyDescent="0.25">
      <c r="A6330" s="216" t="s">
        <v>7698</v>
      </c>
      <c r="B6330" s="218">
        <v>1</v>
      </c>
      <c r="C6330" s="220" t="s">
        <v>86</v>
      </c>
      <c r="D6330" s="220" t="s">
        <v>78</v>
      </c>
      <c r="E6330" s="165">
        <v>96</v>
      </c>
    </row>
    <row r="6331" spans="1:5" x14ac:dyDescent="0.25">
      <c r="A6331" s="216" t="s">
        <v>8018</v>
      </c>
      <c r="B6331" s="218">
        <v>1</v>
      </c>
      <c r="C6331" s="220" t="s">
        <v>8019</v>
      </c>
      <c r="D6331" s="220" t="s">
        <v>166</v>
      </c>
      <c r="E6331" s="165">
        <v>95</v>
      </c>
    </row>
    <row r="6332" spans="1:5" x14ac:dyDescent="0.25">
      <c r="A6332" s="216" t="s">
        <v>7428</v>
      </c>
      <c r="B6332" s="218">
        <v>1</v>
      </c>
      <c r="C6332" s="220" t="s">
        <v>7429</v>
      </c>
      <c r="D6332" s="220" t="s">
        <v>264</v>
      </c>
      <c r="E6332" s="165">
        <v>95</v>
      </c>
    </row>
    <row r="6333" spans="1:5" x14ac:dyDescent="0.25">
      <c r="A6333" s="216" t="s">
        <v>7648</v>
      </c>
      <c r="B6333" s="218">
        <v>1</v>
      </c>
      <c r="C6333" s="220" t="s">
        <v>1868</v>
      </c>
      <c r="D6333" s="220" t="s">
        <v>50</v>
      </c>
      <c r="E6333" s="165">
        <v>95</v>
      </c>
    </row>
    <row r="6334" spans="1:5" x14ac:dyDescent="0.25">
      <c r="A6334" s="216" t="s">
        <v>8666</v>
      </c>
      <c r="B6334" s="218">
        <v>1</v>
      </c>
      <c r="C6334" s="220" t="s">
        <v>5190</v>
      </c>
      <c r="D6334" s="220" t="s">
        <v>78</v>
      </c>
      <c r="E6334" s="165">
        <v>95</v>
      </c>
    </row>
    <row r="6335" spans="1:5" x14ac:dyDescent="0.25">
      <c r="A6335" s="216" t="s">
        <v>8703</v>
      </c>
      <c r="B6335" s="218">
        <v>1</v>
      </c>
      <c r="C6335" s="220" t="s">
        <v>896</v>
      </c>
      <c r="D6335" s="220" t="s">
        <v>192</v>
      </c>
      <c r="E6335" s="165">
        <v>95</v>
      </c>
    </row>
    <row r="6336" spans="1:5" x14ac:dyDescent="0.25">
      <c r="A6336" s="216" t="s">
        <v>8324</v>
      </c>
      <c r="B6336" s="218" t="s">
        <v>48</v>
      </c>
      <c r="C6336" s="220" t="s">
        <v>479</v>
      </c>
      <c r="D6336" s="220" t="s">
        <v>90</v>
      </c>
      <c r="E6336" s="165">
        <v>95</v>
      </c>
    </row>
    <row r="6337" spans="1:5" x14ac:dyDescent="0.25">
      <c r="A6337" s="216" t="s">
        <v>9243</v>
      </c>
      <c r="B6337" s="218" t="s">
        <v>48</v>
      </c>
      <c r="C6337" s="220" t="s">
        <v>1225</v>
      </c>
      <c r="D6337" s="220" t="s">
        <v>69</v>
      </c>
      <c r="E6337" s="165">
        <v>95</v>
      </c>
    </row>
    <row r="6338" spans="1:5" x14ac:dyDescent="0.25">
      <c r="A6338" s="216" t="s">
        <v>8731</v>
      </c>
      <c r="B6338" s="218">
        <v>1</v>
      </c>
      <c r="C6338" s="220" t="s">
        <v>490</v>
      </c>
      <c r="D6338" s="220" t="s">
        <v>66</v>
      </c>
      <c r="E6338" s="165">
        <v>95</v>
      </c>
    </row>
    <row r="6339" spans="1:5" x14ac:dyDescent="0.25">
      <c r="A6339" s="216" t="s">
        <v>9427</v>
      </c>
      <c r="B6339" s="218" t="s">
        <v>48</v>
      </c>
      <c r="C6339" s="220" t="s">
        <v>9428</v>
      </c>
      <c r="D6339" s="220" t="s">
        <v>108</v>
      </c>
      <c r="E6339" s="165">
        <v>95</v>
      </c>
    </row>
    <row r="6340" spans="1:5" x14ac:dyDescent="0.25">
      <c r="A6340" s="216" t="s">
        <v>9300</v>
      </c>
      <c r="B6340" s="218" t="s">
        <v>48</v>
      </c>
      <c r="C6340" s="220" t="s">
        <v>196</v>
      </c>
      <c r="D6340" s="220" t="s">
        <v>50</v>
      </c>
      <c r="E6340" s="165">
        <v>95</v>
      </c>
    </row>
    <row r="6341" spans="1:5" x14ac:dyDescent="0.25">
      <c r="A6341" s="216" t="s">
        <v>10793</v>
      </c>
      <c r="B6341" s="218" t="s">
        <v>48</v>
      </c>
      <c r="C6341" s="220" t="s">
        <v>9627</v>
      </c>
      <c r="D6341" s="220" t="s">
        <v>75</v>
      </c>
      <c r="E6341" s="165">
        <v>95</v>
      </c>
    </row>
    <row r="6342" spans="1:5" x14ac:dyDescent="0.25">
      <c r="A6342" s="216" t="s">
        <v>8858</v>
      </c>
      <c r="B6342" s="218" t="s">
        <v>48</v>
      </c>
      <c r="C6342" s="220" t="s">
        <v>8859</v>
      </c>
      <c r="D6342" s="220" t="s">
        <v>90</v>
      </c>
      <c r="E6342" s="165">
        <v>95</v>
      </c>
    </row>
    <row r="6343" spans="1:5" x14ac:dyDescent="0.25">
      <c r="A6343" s="216" t="s">
        <v>8807</v>
      </c>
      <c r="B6343" s="218" t="s">
        <v>48</v>
      </c>
      <c r="C6343" s="220" t="s">
        <v>4235</v>
      </c>
      <c r="D6343" s="220" t="s">
        <v>90</v>
      </c>
      <c r="E6343" s="165">
        <v>95</v>
      </c>
    </row>
    <row r="6344" spans="1:5" x14ac:dyDescent="0.25">
      <c r="A6344" s="216" t="s">
        <v>7308</v>
      </c>
      <c r="B6344" s="218" t="s">
        <v>48</v>
      </c>
      <c r="C6344" s="220" t="s">
        <v>3485</v>
      </c>
      <c r="D6344" s="220" t="s">
        <v>90</v>
      </c>
      <c r="E6344" s="165">
        <v>95</v>
      </c>
    </row>
    <row r="6345" spans="1:5" x14ac:dyDescent="0.25">
      <c r="A6345" s="216" t="s">
        <v>8281</v>
      </c>
      <c r="B6345" s="218">
        <v>1</v>
      </c>
      <c r="C6345" s="220" t="s">
        <v>2347</v>
      </c>
      <c r="D6345" s="220" t="s">
        <v>277</v>
      </c>
      <c r="E6345" s="165">
        <v>95</v>
      </c>
    </row>
    <row r="6346" spans="1:5" x14ac:dyDescent="0.25">
      <c r="A6346" s="216" t="s">
        <v>10850</v>
      </c>
      <c r="B6346" s="218" t="s">
        <v>48</v>
      </c>
      <c r="C6346" s="220" t="s">
        <v>11564</v>
      </c>
      <c r="D6346" s="220" t="s">
        <v>108</v>
      </c>
      <c r="E6346" s="165">
        <v>95</v>
      </c>
    </row>
    <row r="6347" spans="1:5" x14ac:dyDescent="0.25">
      <c r="A6347" s="216" t="s">
        <v>8756</v>
      </c>
      <c r="B6347" s="218" t="s">
        <v>48</v>
      </c>
      <c r="C6347" s="220" t="s">
        <v>2393</v>
      </c>
      <c r="D6347" s="220" t="s">
        <v>710</v>
      </c>
      <c r="E6347" s="165">
        <v>95</v>
      </c>
    </row>
    <row r="6348" spans="1:5" x14ac:dyDescent="0.25">
      <c r="A6348" s="216" t="s">
        <v>8694</v>
      </c>
      <c r="B6348" s="218">
        <v>1</v>
      </c>
      <c r="C6348" s="220" t="s">
        <v>640</v>
      </c>
      <c r="D6348" s="220" t="s">
        <v>69</v>
      </c>
      <c r="E6348" s="165">
        <v>95</v>
      </c>
    </row>
    <row r="6349" spans="1:5" x14ac:dyDescent="0.25">
      <c r="A6349" s="216" t="s">
        <v>8376</v>
      </c>
      <c r="B6349" s="218" t="s">
        <v>48</v>
      </c>
      <c r="C6349" s="220" t="s">
        <v>8377</v>
      </c>
      <c r="D6349" s="220" t="s">
        <v>63</v>
      </c>
      <c r="E6349" s="165">
        <v>95</v>
      </c>
    </row>
    <row r="6350" spans="1:5" x14ac:dyDescent="0.25">
      <c r="A6350" s="216" t="s">
        <v>8864</v>
      </c>
      <c r="B6350" s="218">
        <v>1</v>
      </c>
      <c r="C6350" s="220" t="s">
        <v>4767</v>
      </c>
      <c r="D6350" s="220" t="s">
        <v>63</v>
      </c>
      <c r="E6350" s="165">
        <v>94</v>
      </c>
    </row>
    <row r="6351" spans="1:5" x14ac:dyDescent="0.25">
      <c r="A6351" s="216" t="s">
        <v>8800</v>
      </c>
      <c r="B6351" s="218">
        <v>1</v>
      </c>
      <c r="C6351" s="220" t="s">
        <v>8801</v>
      </c>
      <c r="D6351" s="220" t="s">
        <v>50</v>
      </c>
      <c r="E6351" s="165">
        <v>94</v>
      </c>
    </row>
    <row r="6352" spans="1:5" x14ac:dyDescent="0.25">
      <c r="A6352" s="216" t="s">
        <v>8788</v>
      </c>
      <c r="B6352" s="218">
        <v>1</v>
      </c>
      <c r="C6352" s="220" t="s">
        <v>8789</v>
      </c>
      <c r="D6352" s="220" t="s">
        <v>63</v>
      </c>
      <c r="E6352" s="165">
        <v>94</v>
      </c>
    </row>
    <row r="6353" spans="1:5" x14ac:dyDescent="0.25">
      <c r="A6353" s="216" t="s">
        <v>7570</v>
      </c>
      <c r="B6353" s="218" t="s">
        <v>48</v>
      </c>
      <c r="C6353" s="220" t="s">
        <v>7558</v>
      </c>
      <c r="D6353" s="220" t="s">
        <v>53</v>
      </c>
      <c r="E6353" s="165">
        <v>94</v>
      </c>
    </row>
    <row r="6354" spans="1:5" x14ac:dyDescent="0.25">
      <c r="A6354" s="216" t="s">
        <v>8641</v>
      </c>
      <c r="B6354" s="218" t="s">
        <v>48</v>
      </c>
      <c r="C6354" s="220" t="s">
        <v>8642</v>
      </c>
      <c r="D6354" s="220" t="s">
        <v>378</v>
      </c>
      <c r="E6354" s="165">
        <v>94</v>
      </c>
    </row>
    <row r="6355" spans="1:5" x14ac:dyDescent="0.25">
      <c r="A6355" s="216" t="s">
        <v>7739</v>
      </c>
      <c r="B6355" s="218" t="s">
        <v>48</v>
      </c>
      <c r="C6355" s="220" t="s">
        <v>3864</v>
      </c>
      <c r="D6355" s="220" t="s">
        <v>75</v>
      </c>
      <c r="E6355" s="165">
        <v>94</v>
      </c>
    </row>
    <row r="6356" spans="1:5" x14ac:dyDescent="0.25">
      <c r="A6356" s="216" t="s">
        <v>11565</v>
      </c>
      <c r="B6356" s="218">
        <v>1</v>
      </c>
      <c r="C6356" s="220" t="s">
        <v>3192</v>
      </c>
      <c r="D6356" s="220" t="s">
        <v>78</v>
      </c>
      <c r="E6356" s="165">
        <v>94</v>
      </c>
    </row>
    <row r="6357" spans="1:5" x14ac:dyDescent="0.25">
      <c r="A6357" s="216" t="s">
        <v>11566</v>
      </c>
      <c r="B6357" s="218">
        <v>1</v>
      </c>
      <c r="C6357" s="220" t="s">
        <v>219</v>
      </c>
      <c r="D6357" s="220" t="s">
        <v>56</v>
      </c>
      <c r="E6357" s="165">
        <v>94</v>
      </c>
    </row>
    <row r="6358" spans="1:5" x14ac:dyDescent="0.25">
      <c r="A6358" s="216" t="s">
        <v>8861</v>
      </c>
      <c r="B6358" s="218">
        <v>1</v>
      </c>
      <c r="C6358" s="220" t="s">
        <v>1353</v>
      </c>
      <c r="D6358" s="220" t="s">
        <v>188</v>
      </c>
      <c r="E6358" s="165">
        <v>94</v>
      </c>
    </row>
    <row r="6359" spans="1:5" x14ac:dyDescent="0.25">
      <c r="A6359" s="216" t="s">
        <v>11567</v>
      </c>
      <c r="B6359" s="218">
        <v>1</v>
      </c>
      <c r="C6359" s="220" t="s">
        <v>68</v>
      </c>
      <c r="D6359" s="220" t="s">
        <v>63</v>
      </c>
      <c r="E6359" s="165">
        <v>93</v>
      </c>
    </row>
    <row r="6360" spans="1:5" x14ac:dyDescent="0.25">
      <c r="A6360" s="216" t="s">
        <v>4095</v>
      </c>
      <c r="B6360" s="218" t="s">
        <v>48</v>
      </c>
      <c r="C6360" s="220" t="s">
        <v>4096</v>
      </c>
      <c r="D6360" s="220" t="s">
        <v>222</v>
      </c>
      <c r="E6360" s="165">
        <v>93</v>
      </c>
    </row>
    <row r="6361" spans="1:5" x14ac:dyDescent="0.25">
      <c r="A6361" s="216" t="s">
        <v>6635</v>
      </c>
      <c r="B6361" s="218" t="s">
        <v>48</v>
      </c>
      <c r="C6361" s="220" t="s">
        <v>6636</v>
      </c>
      <c r="D6361" s="220" t="s">
        <v>93</v>
      </c>
      <c r="E6361" s="165">
        <v>93</v>
      </c>
    </row>
    <row r="6362" spans="1:5" x14ac:dyDescent="0.25">
      <c r="A6362" s="216" t="s">
        <v>8979</v>
      </c>
      <c r="B6362" s="218" t="s">
        <v>48</v>
      </c>
      <c r="C6362" s="220" t="s">
        <v>171</v>
      </c>
      <c r="D6362" s="220" t="s">
        <v>59</v>
      </c>
      <c r="E6362" s="165">
        <v>93</v>
      </c>
    </row>
    <row r="6363" spans="1:5" x14ac:dyDescent="0.25">
      <c r="A6363" s="216" t="s">
        <v>8684</v>
      </c>
      <c r="B6363" s="218">
        <v>1</v>
      </c>
      <c r="C6363" s="220" t="s">
        <v>8685</v>
      </c>
      <c r="D6363" s="220" t="s">
        <v>98</v>
      </c>
      <c r="E6363" s="165">
        <v>93</v>
      </c>
    </row>
    <row r="6364" spans="1:5" x14ac:dyDescent="0.25">
      <c r="A6364" s="216" t="s">
        <v>8654</v>
      </c>
      <c r="B6364" s="218" t="s">
        <v>48</v>
      </c>
      <c r="C6364" s="220" t="s">
        <v>203</v>
      </c>
      <c r="D6364" s="220" t="s">
        <v>166</v>
      </c>
      <c r="E6364" s="165">
        <v>93</v>
      </c>
    </row>
    <row r="6365" spans="1:5" x14ac:dyDescent="0.25">
      <c r="A6365" s="216" t="s">
        <v>10783</v>
      </c>
      <c r="B6365" s="218">
        <v>1</v>
      </c>
      <c r="C6365" s="220" t="s">
        <v>11568</v>
      </c>
      <c r="D6365" s="220" t="s">
        <v>56</v>
      </c>
      <c r="E6365" s="165">
        <v>93</v>
      </c>
    </row>
    <row r="6366" spans="1:5" x14ac:dyDescent="0.25">
      <c r="A6366" s="216" t="s">
        <v>8744</v>
      </c>
      <c r="B6366" s="218">
        <v>1</v>
      </c>
      <c r="C6366" s="220" t="s">
        <v>1333</v>
      </c>
      <c r="D6366" s="220" t="s">
        <v>56</v>
      </c>
      <c r="E6366" s="165">
        <v>92</v>
      </c>
    </row>
    <row r="6367" spans="1:5" x14ac:dyDescent="0.25">
      <c r="A6367" s="216" t="s">
        <v>8947</v>
      </c>
      <c r="B6367" s="218" t="s">
        <v>48</v>
      </c>
      <c r="C6367" s="220" t="s">
        <v>2960</v>
      </c>
      <c r="D6367" s="220" t="s">
        <v>50</v>
      </c>
      <c r="E6367" s="165">
        <v>92</v>
      </c>
    </row>
    <row r="6368" spans="1:5" x14ac:dyDescent="0.25">
      <c r="A6368" s="216" t="s">
        <v>8631</v>
      </c>
      <c r="B6368" s="218" t="s">
        <v>48</v>
      </c>
      <c r="C6368" s="220" t="s">
        <v>3779</v>
      </c>
      <c r="D6368" s="220" t="s">
        <v>53</v>
      </c>
      <c r="E6368" s="165">
        <v>92</v>
      </c>
    </row>
    <row r="6369" spans="1:5" x14ac:dyDescent="0.25">
      <c r="A6369" s="216" t="s">
        <v>7467</v>
      </c>
      <c r="B6369" s="218" t="s">
        <v>48</v>
      </c>
      <c r="C6369" s="220" t="s">
        <v>7468</v>
      </c>
      <c r="D6369" s="220" t="s">
        <v>82</v>
      </c>
      <c r="E6369" s="165">
        <v>92</v>
      </c>
    </row>
    <row r="6370" spans="1:5" x14ac:dyDescent="0.25">
      <c r="A6370" s="216" t="s">
        <v>11569</v>
      </c>
      <c r="B6370" s="218">
        <v>1</v>
      </c>
      <c r="C6370" s="220" t="s">
        <v>5860</v>
      </c>
      <c r="D6370" s="220" t="s">
        <v>66</v>
      </c>
      <c r="E6370" s="165">
        <v>92</v>
      </c>
    </row>
    <row r="6371" spans="1:5" x14ac:dyDescent="0.25">
      <c r="A6371" s="216" t="s">
        <v>8669</v>
      </c>
      <c r="B6371" s="218">
        <v>1</v>
      </c>
      <c r="C6371" s="220" t="s">
        <v>925</v>
      </c>
      <c r="D6371" s="220" t="s">
        <v>50</v>
      </c>
      <c r="E6371" s="165">
        <v>92</v>
      </c>
    </row>
    <row r="6372" spans="1:5" x14ac:dyDescent="0.25">
      <c r="A6372" s="216" t="s">
        <v>8751</v>
      </c>
      <c r="B6372" s="218">
        <v>1</v>
      </c>
      <c r="C6372" s="220" t="s">
        <v>121</v>
      </c>
      <c r="D6372" s="220" t="s">
        <v>56</v>
      </c>
      <c r="E6372" s="165">
        <v>92</v>
      </c>
    </row>
    <row r="6373" spans="1:5" x14ac:dyDescent="0.25">
      <c r="A6373" s="216" t="s">
        <v>8752</v>
      </c>
      <c r="B6373" s="218">
        <v>1</v>
      </c>
      <c r="C6373" s="220" t="s">
        <v>2309</v>
      </c>
      <c r="D6373" s="220" t="s">
        <v>56</v>
      </c>
      <c r="E6373" s="165">
        <v>92</v>
      </c>
    </row>
    <row r="6374" spans="1:5" x14ac:dyDescent="0.25">
      <c r="A6374" s="216" t="s">
        <v>8714</v>
      </c>
      <c r="B6374" s="218">
        <v>1</v>
      </c>
      <c r="C6374" s="220" t="s">
        <v>8715</v>
      </c>
      <c r="D6374" s="220" t="s">
        <v>98</v>
      </c>
      <c r="E6374" s="165">
        <v>92</v>
      </c>
    </row>
    <row r="6375" spans="1:5" x14ac:dyDescent="0.25">
      <c r="A6375" s="216" t="s">
        <v>8873</v>
      </c>
      <c r="B6375" s="218">
        <v>1</v>
      </c>
      <c r="C6375" s="220" t="s">
        <v>261</v>
      </c>
      <c r="D6375" s="220" t="s">
        <v>56</v>
      </c>
      <c r="E6375" s="165">
        <v>92</v>
      </c>
    </row>
    <row r="6376" spans="1:5" x14ac:dyDescent="0.25">
      <c r="A6376" s="216" t="s">
        <v>8717</v>
      </c>
      <c r="B6376" s="218">
        <v>1</v>
      </c>
      <c r="C6376" s="220" t="s">
        <v>198</v>
      </c>
      <c r="D6376" s="220" t="s">
        <v>56</v>
      </c>
      <c r="E6376" s="165">
        <v>92</v>
      </c>
    </row>
    <row r="6377" spans="1:5" x14ac:dyDescent="0.25">
      <c r="A6377" s="216" t="s">
        <v>8853</v>
      </c>
      <c r="B6377" s="218">
        <v>1</v>
      </c>
      <c r="C6377" s="220" t="s">
        <v>235</v>
      </c>
      <c r="D6377" s="220" t="s">
        <v>394</v>
      </c>
      <c r="E6377" s="165">
        <v>92</v>
      </c>
    </row>
    <row r="6378" spans="1:5" x14ac:dyDescent="0.25">
      <c r="A6378" s="216" t="s">
        <v>11570</v>
      </c>
      <c r="B6378" s="218" t="s">
        <v>48</v>
      </c>
      <c r="C6378" s="220" t="s">
        <v>11571</v>
      </c>
      <c r="D6378" s="220" t="s">
        <v>108</v>
      </c>
      <c r="E6378" s="165">
        <v>92</v>
      </c>
    </row>
    <row r="6379" spans="1:5" x14ac:dyDescent="0.25">
      <c r="A6379" s="216" t="s">
        <v>8895</v>
      </c>
      <c r="B6379" s="218" t="s">
        <v>48</v>
      </c>
      <c r="C6379" s="220" t="s">
        <v>1669</v>
      </c>
      <c r="D6379" s="220" t="s">
        <v>378</v>
      </c>
      <c r="E6379" s="165">
        <v>92</v>
      </c>
    </row>
    <row r="6380" spans="1:5" x14ac:dyDescent="0.25">
      <c r="A6380" s="216" t="s">
        <v>8755</v>
      </c>
      <c r="B6380" s="218">
        <v>1</v>
      </c>
      <c r="C6380" s="220" t="s">
        <v>2715</v>
      </c>
      <c r="D6380" s="220" t="s">
        <v>56</v>
      </c>
      <c r="E6380" s="165">
        <v>92</v>
      </c>
    </row>
    <row r="6381" spans="1:5" x14ac:dyDescent="0.25">
      <c r="A6381" s="216" t="s">
        <v>8308</v>
      </c>
      <c r="B6381" s="218">
        <v>1</v>
      </c>
      <c r="C6381" s="220" t="s">
        <v>8309</v>
      </c>
      <c r="D6381" s="220" t="s">
        <v>523</v>
      </c>
      <c r="E6381" s="165">
        <v>92</v>
      </c>
    </row>
    <row r="6382" spans="1:5" x14ac:dyDescent="0.25">
      <c r="A6382" s="216" t="s">
        <v>8351</v>
      </c>
      <c r="B6382" s="218" t="s">
        <v>48</v>
      </c>
      <c r="C6382" s="220" t="s">
        <v>5070</v>
      </c>
      <c r="D6382" s="220" t="s">
        <v>166</v>
      </c>
      <c r="E6382" s="165">
        <v>92</v>
      </c>
    </row>
    <row r="6383" spans="1:5" x14ac:dyDescent="0.25">
      <c r="A6383" s="216" t="s">
        <v>11572</v>
      </c>
      <c r="B6383" s="218">
        <v>1</v>
      </c>
      <c r="C6383" s="220" t="s">
        <v>377</v>
      </c>
      <c r="D6383" s="220" t="s">
        <v>378</v>
      </c>
      <c r="E6383" s="165">
        <v>92</v>
      </c>
    </row>
    <row r="6384" spans="1:5" x14ac:dyDescent="0.25">
      <c r="A6384" s="216" t="s">
        <v>9010</v>
      </c>
      <c r="B6384" s="218" t="s">
        <v>48</v>
      </c>
      <c r="C6384" s="220" t="s">
        <v>9011</v>
      </c>
      <c r="D6384" s="220" t="s">
        <v>50</v>
      </c>
      <c r="E6384" s="165">
        <v>92</v>
      </c>
    </row>
    <row r="6385" spans="1:5" x14ac:dyDescent="0.25">
      <c r="A6385" s="216" t="s">
        <v>8580</v>
      </c>
      <c r="B6385" s="218">
        <v>1</v>
      </c>
      <c r="C6385" s="220" t="s">
        <v>8581</v>
      </c>
      <c r="D6385" s="220" t="s">
        <v>272</v>
      </c>
      <c r="E6385" s="165">
        <v>92</v>
      </c>
    </row>
    <row r="6386" spans="1:5" x14ac:dyDescent="0.25">
      <c r="A6386" s="216" t="s">
        <v>8680</v>
      </c>
      <c r="B6386" s="218">
        <v>1</v>
      </c>
      <c r="C6386" s="220" t="s">
        <v>2802</v>
      </c>
      <c r="D6386" s="220" t="s">
        <v>50</v>
      </c>
      <c r="E6386" s="165">
        <v>92</v>
      </c>
    </row>
    <row r="6387" spans="1:5" x14ac:dyDescent="0.25">
      <c r="A6387" s="216" t="s">
        <v>8758</v>
      </c>
      <c r="B6387" s="218">
        <v>1</v>
      </c>
      <c r="C6387" s="220" t="s">
        <v>8759</v>
      </c>
      <c r="D6387" s="220" t="s">
        <v>78</v>
      </c>
      <c r="E6387" s="165">
        <v>91</v>
      </c>
    </row>
    <row r="6388" spans="1:5" x14ac:dyDescent="0.25">
      <c r="A6388" s="216" t="s">
        <v>10523</v>
      </c>
      <c r="B6388" s="218">
        <v>1</v>
      </c>
      <c r="C6388" s="220" t="s">
        <v>511</v>
      </c>
      <c r="D6388" s="220" t="s">
        <v>264</v>
      </c>
      <c r="E6388" s="165">
        <v>91</v>
      </c>
    </row>
    <row r="6389" spans="1:5" x14ac:dyDescent="0.25">
      <c r="A6389" s="216" t="s">
        <v>9012</v>
      </c>
      <c r="B6389" s="218" t="s">
        <v>48</v>
      </c>
      <c r="C6389" s="220" t="s">
        <v>733</v>
      </c>
      <c r="D6389" s="220" t="s">
        <v>82</v>
      </c>
      <c r="E6389" s="165">
        <v>91</v>
      </c>
    </row>
    <row r="6390" spans="1:5" x14ac:dyDescent="0.25">
      <c r="A6390" s="216" t="s">
        <v>8360</v>
      </c>
      <c r="B6390" s="218">
        <v>1</v>
      </c>
      <c r="C6390" s="220" t="s">
        <v>7638</v>
      </c>
      <c r="D6390" s="220" t="s">
        <v>277</v>
      </c>
      <c r="E6390" s="165">
        <v>91</v>
      </c>
    </row>
    <row r="6391" spans="1:5" x14ac:dyDescent="0.25">
      <c r="A6391" s="216" t="s">
        <v>8941</v>
      </c>
      <c r="B6391" s="218" t="s">
        <v>48</v>
      </c>
      <c r="C6391" s="220" t="s">
        <v>55</v>
      </c>
      <c r="D6391" s="220" t="s">
        <v>56</v>
      </c>
      <c r="E6391" s="165">
        <v>91</v>
      </c>
    </row>
    <row r="6392" spans="1:5" x14ac:dyDescent="0.25">
      <c r="A6392" s="216" t="s">
        <v>8746</v>
      </c>
      <c r="B6392" s="218">
        <v>1</v>
      </c>
      <c r="C6392" s="220" t="s">
        <v>233</v>
      </c>
      <c r="D6392" s="220" t="s">
        <v>56</v>
      </c>
      <c r="E6392" s="165">
        <v>91</v>
      </c>
    </row>
    <row r="6393" spans="1:5" x14ac:dyDescent="0.25">
      <c r="A6393" s="216" t="s">
        <v>8497</v>
      </c>
      <c r="B6393" s="218">
        <v>1</v>
      </c>
      <c r="C6393" s="220" t="s">
        <v>8498</v>
      </c>
      <c r="D6393" s="220" t="s">
        <v>127</v>
      </c>
      <c r="E6393" s="165">
        <v>91</v>
      </c>
    </row>
    <row r="6394" spans="1:5" x14ac:dyDescent="0.25">
      <c r="A6394" s="216" t="s">
        <v>8042</v>
      </c>
      <c r="B6394" s="218" t="s">
        <v>48</v>
      </c>
      <c r="C6394" s="220" t="s">
        <v>875</v>
      </c>
      <c r="D6394" s="220" t="s">
        <v>59</v>
      </c>
      <c r="E6394" s="165">
        <v>91</v>
      </c>
    </row>
    <row r="6395" spans="1:5" x14ac:dyDescent="0.25">
      <c r="A6395" s="216" t="s">
        <v>8770</v>
      </c>
      <c r="B6395" s="218" t="s">
        <v>48</v>
      </c>
      <c r="C6395" s="220" t="s">
        <v>8771</v>
      </c>
      <c r="D6395" s="220" t="s">
        <v>90</v>
      </c>
      <c r="E6395" s="165">
        <v>91</v>
      </c>
    </row>
    <row r="6396" spans="1:5" x14ac:dyDescent="0.25">
      <c r="A6396" s="216" t="s">
        <v>8928</v>
      </c>
      <c r="B6396" s="218" t="s">
        <v>48</v>
      </c>
      <c r="C6396" s="220" t="s">
        <v>3214</v>
      </c>
      <c r="D6396" s="220" t="s">
        <v>206</v>
      </c>
      <c r="E6396" s="165">
        <v>91</v>
      </c>
    </row>
    <row r="6397" spans="1:5" x14ac:dyDescent="0.25">
      <c r="A6397" s="216" t="s">
        <v>8716</v>
      </c>
      <c r="B6397" s="218">
        <v>1</v>
      </c>
      <c r="C6397" s="220" t="s">
        <v>5390</v>
      </c>
      <c r="D6397" s="220" t="s">
        <v>124</v>
      </c>
      <c r="E6397" s="165">
        <v>91</v>
      </c>
    </row>
    <row r="6398" spans="1:5" x14ac:dyDescent="0.25">
      <c r="A6398" s="216" t="s">
        <v>11573</v>
      </c>
      <c r="B6398" s="218" t="s">
        <v>48</v>
      </c>
      <c r="C6398" s="220" t="s">
        <v>3941</v>
      </c>
      <c r="D6398" s="220" t="s">
        <v>90</v>
      </c>
      <c r="E6398" s="165">
        <v>91</v>
      </c>
    </row>
    <row r="6399" spans="1:5" x14ac:dyDescent="0.25">
      <c r="A6399" s="216" t="s">
        <v>9725</v>
      </c>
      <c r="B6399" s="218" t="s">
        <v>48</v>
      </c>
      <c r="C6399" s="220" t="s">
        <v>2637</v>
      </c>
      <c r="D6399" s="220" t="s">
        <v>59</v>
      </c>
      <c r="E6399" s="165">
        <v>91</v>
      </c>
    </row>
    <row r="6400" spans="1:5" x14ac:dyDescent="0.25">
      <c r="A6400" s="216" t="s">
        <v>7942</v>
      </c>
      <c r="B6400" s="218" t="s">
        <v>48</v>
      </c>
      <c r="C6400" s="220" t="s">
        <v>7943</v>
      </c>
      <c r="D6400" s="220" t="s">
        <v>710</v>
      </c>
      <c r="E6400" s="165">
        <v>91</v>
      </c>
    </row>
    <row r="6401" spans="1:5" x14ac:dyDescent="0.25">
      <c r="A6401" s="216" t="s">
        <v>8841</v>
      </c>
      <c r="B6401" s="218">
        <v>1</v>
      </c>
      <c r="C6401" s="220" t="s">
        <v>8842</v>
      </c>
      <c r="D6401" s="220" t="s">
        <v>63</v>
      </c>
      <c r="E6401" s="165">
        <v>91</v>
      </c>
    </row>
    <row r="6402" spans="1:5" x14ac:dyDescent="0.25">
      <c r="A6402" s="216" t="s">
        <v>8646</v>
      </c>
      <c r="B6402" s="218">
        <v>1</v>
      </c>
      <c r="C6402" s="220" t="s">
        <v>8647</v>
      </c>
      <c r="D6402" s="220" t="s">
        <v>130</v>
      </c>
      <c r="E6402" s="165">
        <v>91</v>
      </c>
    </row>
    <row r="6403" spans="1:5" x14ac:dyDescent="0.25">
      <c r="A6403" s="216" t="s">
        <v>9418</v>
      </c>
      <c r="B6403" s="218" t="s">
        <v>48</v>
      </c>
      <c r="C6403" s="220" t="s">
        <v>4188</v>
      </c>
      <c r="D6403" s="220" t="s">
        <v>98</v>
      </c>
      <c r="E6403" s="165">
        <v>90</v>
      </c>
    </row>
    <row r="6404" spans="1:5" x14ac:dyDescent="0.25">
      <c r="A6404" s="216" t="s">
        <v>8379</v>
      </c>
      <c r="B6404" s="218">
        <v>1</v>
      </c>
      <c r="C6404" s="220" t="s">
        <v>8380</v>
      </c>
      <c r="D6404" s="220" t="s">
        <v>277</v>
      </c>
      <c r="E6404" s="165">
        <v>90</v>
      </c>
    </row>
    <row r="6405" spans="1:5" x14ac:dyDescent="0.25">
      <c r="A6405" s="216" t="s">
        <v>7761</v>
      </c>
      <c r="B6405" s="218" t="s">
        <v>48</v>
      </c>
      <c r="C6405" s="220" t="s">
        <v>2419</v>
      </c>
      <c r="D6405" s="220" t="s">
        <v>394</v>
      </c>
      <c r="E6405" s="165">
        <v>90</v>
      </c>
    </row>
    <row r="6406" spans="1:5" x14ac:dyDescent="0.25">
      <c r="A6406" s="216" t="s">
        <v>8381</v>
      </c>
      <c r="B6406" s="218">
        <v>1</v>
      </c>
      <c r="C6406" s="220" t="s">
        <v>7567</v>
      </c>
      <c r="D6406" s="220" t="s">
        <v>277</v>
      </c>
      <c r="E6406" s="165">
        <v>90</v>
      </c>
    </row>
    <row r="6407" spans="1:5" x14ac:dyDescent="0.25">
      <c r="A6407" s="216" t="s">
        <v>8543</v>
      </c>
      <c r="B6407" s="218" t="s">
        <v>48</v>
      </c>
      <c r="C6407" s="220" t="s">
        <v>8544</v>
      </c>
      <c r="D6407" s="220" t="s">
        <v>142</v>
      </c>
      <c r="E6407" s="165">
        <v>90</v>
      </c>
    </row>
    <row r="6408" spans="1:5" x14ac:dyDescent="0.25">
      <c r="A6408" s="216" t="s">
        <v>8710</v>
      </c>
      <c r="B6408" s="218">
        <v>1</v>
      </c>
      <c r="C6408" s="220" t="s">
        <v>2994</v>
      </c>
      <c r="D6408" s="220" t="s">
        <v>50</v>
      </c>
      <c r="E6408" s="165">
        <v>90</v>
      </c>
    </row>
    <row r="6409" spans="1:5" x14ac:dyDescent="0.25">
      <c r="A6409" s="216" t="s">
        <v>8382</v>
      </c>
      <c r="B6409" s="218">
        <v>1</v>
      </c>
      <c r="C6409" s="220" t="s">
        <v>8383</v>
      </c>
      <c r="D6409" s="220" t="s">
        <v>277</v>
      </c>
      <c r="E6409" s="165">
        <v>90</v>
      </c>
    </row>
    <row r="6410" spans="1:5" x14ac:dyDescent="0.25">
      <c r="A6410" s="216" t="s">
        <v>8388</v>
      </c>
      <c r="B6410" s="218">
        <v>1</v>
      </c>
      <c r="C6410" s="220" t="s">
        <v>900</v>
      </c>
      <c r="D6410" s="220" t="s">
        <v>277</v>
      </c>
      <c r="E6410" s="165">
        <v>90</v>
      </c>
    </row>
    <row r="6411" spans="1:5" x14ac:dyDescent="0.25">
      <c r="A6411" s="216" t="s">
        <v>8670</v>
      </c>
      <c r="B6411" s="218">
        <v>1</v>
      </c>
      <c r="C6411" s="220" t="s">
        <v>3713</v>
      </c>
      <c r="D6411" s="220" t="s">
        <v>93</v>
      </c>
      <c r="E6411" s="165">
        <v>90</v>
      </c>
    </row>
    <row r="6412" spans="1:5" x14ac:dyDescent="0.25">
      <c r="A6412" s="216" t="s">
        <v>11574</v>
      </c>
      <c r="B6412" s="218">
        <v>1</v>
      </c>
      <c r="C6412" s="220" t="s">
        <v>6452</v>
      </c>
      <c r="D6412" s="220" t="s">
        <v>139</v>
      </c>
      <c r="E6412" s="165">
        <v>90</v>
      </c>
    </row>
    <row r="6413" spans="1:5" x14ac:dyDescent="0.25">
      <c r="A6413" s="216" t="s">
        <v>8931</v>
      </c>
      <c r="B6413" s="218" t="s">
        <v>48</v>
      </c>
      <c r="C6413" s="220" t="s">
        <v>3485</v>
      </c>
      <c r="D6413" s="220" t="s">
        <v>90</v>
      </c>
      <c r="E6413" s="165">
        <v>90</v>
      </c>
    </row>
    <row r="6414" spans="1:5" x14ac:dyDescent="0.25">
      <c r="A6414" s="216" t="s">
        <v>11575</v>
      </c>
      <c r="B6414" s="218" t="s">
        <v>48</v>
      </c>
      <c r="C6414" s="220" t="s">
        <v>238</v>
      </c>
      <c r="D6414" s="220" t="s">
        <v>93</v>
      </c>
      <c r="E6414" s="165">
        <v>90</v>
      </c>
    </row>
    <row r="6415" spans="1:5" x14ac:dyDescent="0.25">
      <c r="A6415" s="216" t="s">
        <v>8893</v>
      </c>
      <c r="B6415" s="218">
        <v>1</v>
      </c>
      <c r="C6415" s="220" t="s">
        <v>8894</v>
      </c>
      <c r="D6415" s="220" t="s">
        <v>177</v>
      </c>
      <c r="E6415" s="165">
        <v>90</v>
      </c>
    </row>
    <row r="6416" spans="1:5" x14ac:dyDescent="0.25">
      <c r="A6416" s="216" t="s">
        <v>8405</v>
      </c>
      <c r="B6416" s="218">
        <v>1</v>
      </c>
      <c r="C6416" s="220" t="s">
        <v>276</v>
      </c>
      <c r="D6416" s="220" t="s">
        <v>277</v>
      </c>
      <c r="E6416" s="165">
        <v>90</v>
      </c>
    </row>
    <row r="6417" spans="1:5" x14ac:dyDescent="0.25">
      <c r="A6417" s="216" t="s">
        <v>11576</v>
      </c>
      <c r="B6417" s="218" t="s">
        <v>48</v>
      </c>
      <c r="C6417" s="220" t="s">
        <v>1317</v>
      </c>
      <c r="D6417" s="220" t="s">
        <v>56</v>
      </c>
      <c r="E6417" s="165">
        <v>90</v>
      </c>
    </row>
    <row r="6418" spans="1:5" x14ac:dyDescent="0.25">
      <c r="A6418" s="216" t="s">
        <v>8392</v>
      </c>
      <c r="B6418" s="218">
        <v>1</v>
      </c>
      <c r="C6418" s="220" t="s">
        <v>8393</v>
      </c>
      <c r="D6418" s="220" t="s">
        <v>277</v>
      </c>
      <c r="E6418" s="165">
        <v>90</v>
      </c>
    </row>
    <row r="6419" spans="1:5" x14ac:dyDescent="0.25">
      <c r="A6419" s="216" t="s">
        <v>8573</v>
      </c>
      <c r="B6419" s="218">
        <v>1</v>
      </c>
      <c r="C6419" s="220" t="s">
        <v>8574</v>
      </c>
      <c r="D6419" s="220" t="s">
        <v>93</v>
      </c>
      <c r="E6419" s="165">
        <v>90</v>
      </c>
    </row>
    <row r="6420" spans="1:5" x14ac:dyDescent="0.25">
      <c r="A6420" s="216" t="s">
        <v>11577</v>
      </c>
      <c r="B6420" s="218" t="s">
        <v>48</v>
      </c>
      <c r="C6420" s="220" t="s">
        <v>11578</v>
      </c>
      <c r="D6420" s="220" t="s">
        <v>90</v>
      </c>
      <c r="E6420" s="165">
        <v>90</v>
      </c>
    </row>
    <row r="6421" spans="1:5" x14ac:dyDescent="0.25">
      <c r="A6421" s="216" t="s">
        <v>9376</v>
      </c>
      <c r="B6421" s="218" t="s">
        <v>48</v>
      </c>
      <c r="C6421" s="220" t="s">
        <v>9377</v>
      </c>
      <c r="D6421" s="220" t="s">
        <v>50</v>
      </c>
      <c r="E6421" s="165">
        <v>90</v>
      </c>
    </row>
    <row r="6422" spans="1:5" x14ac:dyDescent="0.25">
      <c r="A6422" s="216" t="s">
        <v>8827</v>
      </c>
      <c r="B6422" s="218">
        <v>1</v>
      </c>
      <c r="C6422" s="220" t="s">
        <v>8828</v>
      </c>
      <c r="D6422" s="220" t="s">
        <v>66</v>
      </c>
      <c r="E6422" s="165">
        <v>90</v>
      </c>
    </row>
    <row r="6423" spans="1:5" x14ac:dyDescent="0.25">
      <c r="A6423" s="216" t="s">
        <v>8804</v>
      </c>
      <c r="B6423" s="218">
        <v>1</v>
      </c>
      <c r="C6423" s="220" t="s">
        <v>6776</v>
      </c>
      <c r="D6423" s="220" t="s">
        <v>72</v>
      </c>
      <c r="E6423" s="165">
        <v>90</v>
      </c>
    </row>
    <row r="6424" spans="1:5" x14ac:dyDescent="0.25">
      <c r="A6424" s="216" t="s">
        <v>11579</v>
      </c>
      <c r="B6424" s="218" t="s">
        <v>48</v>
      </c>
      <c r="C6424" s="220" t="s">
        <v>8939</v>
      </c>
      <c r="D6424" s="220" t="s">
        <v>82</v>
      </c>
      <c r="E6424" s="165">
        <v>90</v>
      </c>
    </row>
    <row r="6425" spans="1:5" x14ac:dyDescent="0.25">
      <c r="A6425" s="216" t="s">
        <v>8793</v>
      </c>
      <c r="B6425" s="218">
        <v>1</v>
      </c>
      <c r="C6425" s="220" t="s">
        <v>8794</v>
      </c>
      <c r="D6425" s="220" t="s">
        <v>188</v>
      </c>
      <c r="E6425" s="165">
        <v>90</v>
      </c>
    </row>
    <row r="6426" spans="1:5" x14ac:dyDescent="0.25">
      <c r="A6426" s="216" t="s">
        <v>10868</v>
      </c>
      <c r="B6426" s="218" t="s">
        <v>48</v>
      </c>
      <c r="C6426" s="220" t="s">
        <v>11580</v>
      </c>
      <c r="D6426" s="220" t="s">
        <v>50</v>
      </c>
      <c r="E6426" s="165">
        <v>90</v>
      </c>
    </row>
    <row r="6427" spans="1:5" x14ac:dyDescent="0.25">
      <c r="A6427" s="216" t="s">
        <v>9065</v>
      </c>
      <c r="B6427" s="218">
        <v>1</v>
      </c>
      <c r="C6427" s="220" t="s">
        <v>9066</v>
      </c>
      <c r="D6427" s="220" t="s">
        <v>56</v>
      </c>
      <c r="E6427" s="165">
        <v>89</v>
      </c>
    </row>
    <row r="6428" spans="1:5" x14ac:dyDescent="0.25">
      <c r="A6428" s="216" t="s">
        <v>9096</v>
      </c>
      <c r="B6428" s="218" t="s">
        <v>48</v>
      </c>
      <c r="C6428" s="220" t="s">
        <v>582</v>
      </c>
      <c r="D6428" s="220" t="s">
        <v>59</v>
      </c>
      <c r="E6428" s="165">
        <v>89</v>
      </c>
    </row>
    <row r="6429" spans="1:5" x14ac:dyDescent="0.25">
      <c r="A6429" s="216" t="s">
        <v>8832</v>
      </c>
      <c r="B6429" s="218">
        <v>1</v>
      </c>
      <c r="C6429" s="220" t="s">
        <v>3192</v>
      </c>
      <c r="D6429" s="220" t="s">
        <v>264</v>
      </c>
      <c r="E6429" s="165">
        <v>89</v>
      </c>
    </row>
    <row r="6430" spans="1:5" x14ac:dyDescent="0.25">
      <c r="A6430" s="216" t="s">
        <v>8912</v>
      </c>
      <c r="B6430" s="218">
        <v>1</v>
      </c>
      <c r="C6430" s="220" t="s">
        <v>7470</v>
      </c>
      <c r="D6430" s="220" t="s">
        <v>177</v>
      </c>
      <c r="E6430" s="165">
        <v>89</v>
      </c>
    </row>
    <row r="6431" spans="1:5" x14ac:dyDescent="0.25">
      <c r="A6431" s="216" t="s">
        <v>8870</v>
      </c>
      <c r="B6431" s="218">
        <v>1</v>
      </c>
      <c r="C6431" s="220" t="s">
        <v>8871</v>
      </c>
      <c r="D6431" s="220" t="s">
        <v>63</v>
      </c>
      <c r="E6431" s="165">
        <v>89</v>
      </c>
    </row>
    <row r="6432" spans="1:5" x14ac:dyDescent="0.25">
      <c r="A6432" s="216" t="s">
        <v>11581</v>
      </c>
      <c r="B6432" s="218" t="s">
        <v>48</v>
      </c>
      <c r="C6432" s="220" t="s">
        <v>1266</v>
      </c>
      <c r="D6432" s="220" t="s">
        <v>166</v>
      </c>
      <c r="E6432" s="165">
        <v>89</v>
      </c>
    </row>
    <row r="6433" spans="1:5" x14ac:dyDescent="0.25">
      <c r="A6433" s="216" t="s">
        <v>7858</v>
      </c>
      <c r="B6433" s="218">
        <v>1</v>
      </c>
      <c r="C6433" s="220" t="s">
        <v>1365</v>
      </c>
      <c r="D6433" s="220" t="s">
        <v>66</v>
      </c>
      <c r="E6433" s="165">
        <v>89</v>
      </c>
    </row>
    <row r="6434" spans="1:5" x14ac:dyDescent="0.25">
      <c r="A6434" s="216" t="s">
        <v>11582</v>
      </c>
      <c r="B6434" s="218">
        <v>1</v>
      </c>
      <c r="C6434" s="220" t="s">
        <v>1459</v>
      </c>
      <c r="D6434" s="220" t="s">
        <v>66</v>
      </c>
      <c r="E6434" s="165">
        <v>89</v>
      </c>
    </row>
    <row r="6435" spans="1:5" x14ac:dyDescent="0.25">
      <c r="A6435" s="216" t="s">
        <v>8727</v>
      </c>
      <c r="B6435" s="218">
        <v>1</v>
      </c>
      <c r="C6435" s="220" t="s">
        <v>6645</v>
      </c>
      <c r="D6435" s="220" t="s">
        <v>802</v>
      </c>
      <c r="E6435" s="165">
        <v>89</v>
      </c>
    </row>
    <row r="6436" spans="1:5" x14ac:dyDescent="0.25">
      <c r="A6436" s="216" t="s">
        <v>11583</v>
      </c>
      <c r="B6436" s="218" t="s">
        <v>48</v>
      </c>
      <c r="C6436" s="220" t="s">
        <v>947</v>
      </c>
      <c r="D6436" s="220" t="s">
        <v>56</v>
      </c>
      <c r="E6436" s="165">
        <v>89</v>
      </c>
    </row>
    <row r="6437" spans="1:5" x14ac:dyDescent="0.25">
      <c r="A6437" s="216" t="s">
        <v>8924</v>
      </c>
      <c r="B6437" s="218" t="s">
        <v>48</v>
      </c>
      <c r="C6437" s="220" t="s">
        <v>1500</v>
      </c>
      <c r="D6437" s="220" t="s">
        <v>98</v>
      </c>
      <c r="E6437" s="165">
        <v>89</v>
      </c>
    </row>
    <row r="6438" spans="1:5" x14ac:dyDescent="0.25">
      <c r="A6438" s="216" t="s">
        <v>9091</v>
      </c>
      <c r="B6438" s="218">
        <v>1</v>
      </c>
      <c r="C6438" s="220" t="s">
        <v>9092</v>
      </c>
      <c r="D6438" s="220" t="s">
        <v>236</v>
      </c>
      <c r="E6438" s="165">
        <v>89</v>
      </c>
    </row>
    <row r="6439" spans="1:5" x14ac:dyDescent="0.25">
      <c r="A6439" s="216" t="s">
        <v>8578</v>
      </c>
      <c r="B6439" s="218">
        <v>1</v>
      </c>
      <c r="C6439" s="220" t="s">
        <v>8579</v>
      </c>
      <c r="D6439" s="220" t="s">
        <v>139</v>
      </c>
      <c r="E6439" s="165">
        <v>89</v>
      </c>
    </row>
    <row r="6440" spans="1:5" x14ac:dyDescent="0.25">
      <c r="A6440" s="216" t="s">
        <v>8697</v>
      </c>
      <c r="B6440" s="218">
        <v>1</v>
      </c>
      <c r="C6440" s="220" t="s">
        <v>4867</v>
      </c>
      <c r="D6440" s="220" t="s">
        <v>201</v>
      </c>
      <c r="E6440" s="165">
        <v>88</v>
      </c>
    </row>
    <row r="6441" spans="1:5" x14ac:dyDescent="0.25">
      <c r="A6441" s="216" t="s">
        <v>8760</v>
      </c>
      <c r="B6441" s="218">
        <v>1</v>
      </c>
      <c r="C6441" s="220" t="s">
        <v>2291</v>
      </c>
      <c r="D6441" s="220" t="s">
        <v>50</v>
      </c>
      <c r="E6441" s="165">
        <v>88</v>
      </c>
    </row>
    <row r="6442" spans="1:5" x14ac:dyDescent="0.25">
      <c r="A6442" s="216" t="s">
        <v>6551</v>
      </c>
      <c r="B6442" s="218" t="s">
        <v>48</v>
      </c>
      <c r="C6442" s="220" t="s">
        <v>3685</v>
      </c>
      <c r="D6442" s="220" t="s">
        <v>90</v>
      </c>
      <c r="E6442" s="165">
        <v>88</v>
      </c>
    </row>
    <row r="6443" spans="1:5" x14ac:dyDescent="0.25">
      <c r="A6443" s="216" t="s">
        <v>9016</v>
      </c>
      <c r="B6443" s="218" t="s">
        <v>48</v>
      </c>
      <c r="C6443" s="220" t="s">
        <v>9017</v>
      </c>
      <c r="D6443" s="220" t="s">
        <v>53</v>
      </c>
      <c r="E6443" s="165">
        <v>88</v>
      </c>
    </row>
    <row r="6444" spans="1:5" x14ac:dyDescent="0.25">
      <c r="A6444" s="216" t="s">
        <v>11584</v>
      </c>
      <c r="B6444" s="218">
        <v>1</v>
      </c>
      <c r="C6444" s="220" t="s">
        <v>1714</v>
      </c>
      <c r="D6444" s="220" t="s">
        <v>575</v>
      </c>
      <c r="E6444" s="165">
        <v>88</v>
      </c>
    </row>
    <row r="6445" spans="1:5" x14ac:dyDescent="0.25">
      <c r="A6445" s="216" t="s">
        <v>9726</v>
      </c>
      <c r="B6445" s="218" t="s">
        <v>48</v>
      </c>
      <c r="C6445" s="220" t="s">
        <v>9727</v>
      </c>
      <c r="D6445" s="220" t="s">
        <v>166</v>
      </c>
      <c r="E6445" s="165">
        <v>88</v>
      </c>
    </row>
    <row r="6446" spans="1:5" x14ac:dyDescent="0.25">
      <c r="A6446" s="216" t="s">
        <v>8413</v>
      </c>
      <c r="B6446" s="218">
        <v>1</v>
      </c>
      <c r="C6446" s="220" t="s">
        <v>8414</v>
      </c>
      <c r="D6446" s="220" t="s">
        <v>523</v>
      </c>
      <c r="E6446" s="165">
        <v>88</v>
      </c>
    </row>
    <row r="6447" spans="1:5" x14ac:dyDescent="0.25">
      <c r="A6447" s="216" t="s">
        <v>9187</v>
      </c>
      <c r="B6447" s="218" t="s">
        <v>48</v>
      </c>
      <c r="C6447" s="220" t="s">
        <v>9188</v>
      </c>
      <c r="D6447" s="220" t="s">
        <v>166</v>
      </c>
      <c r="E6447" s="165">
        <v>88</v>
      </c>
    </row>
    <row r="6448" spans="1:5" x14ac:dyDescent="0.25">
      <c r="A6448" s="216" t="s">
        <v>11585</v>
      </c>
      <c r="B6448" s="218">
        <v>1</v>
      </c>
      <c r="C6448" s="220" t="s">
        <v>259</v>
      </c>
      <c r="D6448" s="220" t="s">
        <v>50</v>
      </c>
      <c r="E6448" s="165">
        <v>88</v>
      </c>
    </row>
    <row r="6449" spans="1:5" x14ac:dyDescent="0.25">
      <c r="A6449" s="216" t="s">
        <v>8830</v>
      </c>
      <c r="B6449" s="218">
        <v>1</v>
      </c>
      <c r="C6449" s="220" t="s">
        <v>877</v>
      </c>
      <c r="D6449" s="220" t="s">
        <v>78</v>
      </c>
      <c r="E6449" s="165">
        <v>87</v>
      </c>
    </row>
    <row r="6450" spans="1:5" x14ac:dyDescent="0.25">
      <c r="A6450" s="216" t="s">
        <v>8699</v>
      </c>
      <c r="B6450" s="218">
        <v>1</v>
      </c>
      <c r="C6450" s="220" t="s">
        <v>3382</v>
      </c>
      <c r="D6450" s="220" t="s">
        <v>523</v>
      </c>
      <c r="E6450" s="165">
        <v>87</v>
      </c>
    </row>
    <row r="6451" spans="1:5" x14ac:dyDescent="0.25">
      <c r="A6451" s="216" t="s">
        <v>8495</v>
      </c>
      <c r="B6451" s="218" t="s">
        <v>48</v>
      </c>
      <c r="C6451" s="220" t="s">
        <v>8496</v>
      </c>
      <c r="D6451" s="220" t="s">
        <v>710</v>
      </c>
      <c r="E6451" s="165">
        <v>87</v>
      </c>
    </row>
    <row r="6452" spans="1:5" x14ac:dyDescent="0.25">
      <c r="A6452" s="216" t="s">
        <v>2571</v>
      </c>
      <c r="B6452" s="218">
        <v>1</v>
      </c>
      <c r="C6452" s="220" t="s">
        <v>2572</v>
      </c>
      <c r="D6452" s="220" t="s">
        <v>63</v>
      </c>
      <c r="E6452" s="165">
        <v>87</v>
      </c>
    </row>
    <row r="6453" spans="1:5" x14ac:dyDescent="0.25">
      <c r="A6453" s="216" t="s">
        <v>8766</v>
      </c>
      <c r="B6453" s="218">
        <v>1</v>
      </c>
      <c r="C6453" s="220" t="s">
        <v>8767</v>
      </c>
      <c r="D6453" s="220" t="s">
        <v>1200</v>
      </c>
      <c r="E6453" s="165">
        <v>87</v>
      </c>
    </row>
    <row r="6454" spans="1:5" x14ac:dyDescent="0.25">
      <c r="A6454" s="216" t="s">
        <v>8253</v>
      </c>
      <c r="B6454" s="218" t="s">
        <v>48</v>
      </c>
      <c r="C6454" s="220" t="s">
        <v>1518</v>
      </c>
      <c r="D6454" s="220" t="s">
        <v>90</v>
      </c>
      <c r="E6454" s="165">
        <v>87</v>
      </c>
    </row>
    <row r="6455" spans="1:5" x14ac:dyDescent="0.25">
      <c r="A6455" s="216" t="s">
        <v>8834</v>
      </c>
      <c r="B6455" s="218">
        <v>1</v>
      </c>
      <c r="C6455" s="220" t="s">
        <v>3973</v>
      </c>
      <c r="D6455" s="220" t="s">
        <v>56</v>
      </c>
      <c r="E6455" s="165">
        <v>87</v>
      </c>
    </row>
    <row r="6456" spans="1:5" x14ac:dyDescent="0.25">
      <c r="A6456" s="216" t="s">
        <v>8835</v>
      </c>
      <c r="B6456" s="218" t="s">
        <v>48</v>
      </c>
      <c r="C6456" s="220" t="s">
        <v>8836</v>
      </c>
      <c r="D6456" s="220" t="s">
        <v>75</v>
      </c>
      <c r="E6456" s="165">
        <v>87</v>
      </c>
    </row>
    <row r="6457" spans="1:5" x14ac:dyDescent="0.25">
      <c r="A6457" s="216" t="s">
        <v>5821</v>
      </c>
      <c r="B6457" s="218">
        <v>1</v>
      </c>
      <c r="C6457" s="220" t="s">
        <v>289</v>
      </c>
      <c r="D6457" s="220" t="s">
        <v>69</v>
      </c>
      <c r="E6457" s="165">
        <v>87</v>
      </c>
    </row>
    <row r="6458" spans="1:5" x14ac:dyDescent="0.25">
      <c r="A6458" s="216" t="s">
        <v>5866</v>
      </c>
      <c r="B6458" s="218">
        <v>1</v>
      </c>
      <c r="C6458" s="220" t="s">
        <v>5867</v>
      </c>
      <c r="D6458" s="220" t="s">
        <v>628</v>
      </c>
      <c r="E6458" s="165">
        <v>87</v>
      </c>
    </row>
    <row r="6459" spans="1:5" x14ac:dyDescent="0.25">
      <c r="A6459" s="216" t="s">
        <v>8951</v>
      </c>
      <c r="B6459" s="218">
        <v>1</v>
      </c>
      <c r="C6459" s="220" t="s">
        <v>261</v>
      </c>
      <c r="D6459" s="220" t="s">
        <v>56</v>
      </c>
      <c r="E6459" s="165">
        <v>87</v>
      </c>
    </row>
    <row r="6460" spans="1:5" x14ac:dyDescent="0.25">
      <c r="A6460" s="216" t="s">
        <v>8966</v>
      </c>
      <c r="B6460" s="218">
        <v>1</v>
      </c>
      <c r="C6460" s="220" t="s">
        <v>1472</v>
      </c>
      <c r="D6460" s="220" t="s">
        <v>188</v>
      </c>
      <c r="E6460" s="165">
        <v>87</v>
      </c>
    </row>
    <row r="6461" spans="1:5" x14ac:dyDescent="0.25">
      <c r="A6461" s="216" t="s">
        <v>9055</v>
      </c>
      <c r="B6461" s="218" t="s">
        <v>48</v>
      </c>
      <c r="C6461" s="220" t="s">
        <v>9056</v>
      </c>
      <c r="D6461" s="220" t="s">
        <v>575</v>
      </c>
      <c r="E6461" s="165">
        <v>87</v>
      </c>
    </row>
    <row r="6462" spans="1:5" x14ac:dyDescent="0.25">
      <c r="A6462" s="216" t="s">
        <v>8914</v>
      </c>
      <c r="B6462" s="218">
        <v>1</v>
      </c>
      <c r="C6462" s="220" t="s">
        <v>3276</v>
      </c>
      <c r="D6462" s="220" t="s">
        <v>63</v>
      </c>
      <c r="E6462" s="165">
        <v>87</v>
      </c>
    </row>
    <row r="6463" spans="1:5" x14ac:dyDescent="0.25">
      <c r="A6463" s="216" t="s">
        <v>8686</v>
      </c>
      <c r="B6463" s="218">
        <v>1</v>
      </c>
      <c r="C6463" s="220" t="s">
        <v>3830</v>
      </c>
      <c r="D6463" s="220" t="s">
        <v>63</v>
      </c>
      <c r="E6463" s="165">
        <v>87</v>
      </c>
    </row>
    <row r="6464" spans="1:5" x14ac:dyDescent="0.25">
      <c r="A6464" s="216" t="s">
        <v>6476</v>
      </c>
      <c r="B6464" s="218">
        <v>1</v>
      </c>
      <c r="C6464" s="220" t="s">
        <v>6477</v>
      </c>
      <c r="D6464" s="220" t="s">
        <v>118</v>
      </c>
      <c r="E6464" s="165">
        <v>87</v>
      </c>
    </row>
    <row r="6465" spans="1:5" x14ac:dyDescent="0.25">
      <c r="A6465" s="216" t="s">
        <v>8985</v>
      </c>
      <c r="B6465" s="218">
        <v>1</v>
      </c>
      <c r="C6465" s="220" t="s">
        <v>8986</v>
      </c>
      <c r="D6465" s="220" t="s">
        <v>139</v>
      </c>
      <c r="E6465" s="165">
        <v>87</v>
      </c>
    </row>
    <row r="6466" spans="1:5" x14ac:dyDescent="0.25">
      <c r="A6466" s="216" t="s">
        <v>8547</v>
      </c>
      <c r="B6466" s="218" t="s">
        <v>48</v>
      </c>
      <c r="C6466" s="220" t="s">
        <v>8548</v>
      </c>
      <c r="D6466" s="220" t="s">
        <v>337</v>
      </c>
      <c r="E6466" s="165">
        <v>87</v>
      </c>
    </row>
    <row r="6467" spans="1:5" x14ac:dyDescent="0.25">
      <c r="A6467" s="216" t="s">
        <v>8256</v>
      </c>
      <c r="B6467" s="218">
        <v>1</v>
      </c>
      <c r="C6467" s="220" t="s">
        <v>4444</v>
      </c>
      <c r="D6467" s="220" t="s">
        <v>56</v>
      </c>
      <c r="E6467" s="165">
        <v>87</v>
      </c>
    </row>
    <row r="6468" spans="1:5" x14ac:dyDescent="0.25">
      <c r="A6468" s="216" t="s">
        <v>11586</v>
      </c>
      <c r="B6468" s="218">
        <v>1</v>
      </c>
      <c r="C6468" s="220" t="s">
        <v>5967</v>
      </c>
      <c r="D6468" s="220" t="s">
        <v>378</v>
      </c>
      <c r="E6468" s="165">
        <v>87</v>
      </c>
    </row>
    <row r="6469" spans="1:5" x14ac:dyDescent="0.25">
      <c r="A6469" s="216" t="s">
        <v>8825</v>
      </c>
      <c r="B6469" s="218">
        <v>1</v>
      </c>
      <c r="C6469" s="220" t="s">
        <v>8826</v>
      </c>
      <c r="D6469" s="220" t="s">
        <v>56</v>
      </c>
      <c r="E6469" s="165">
        <v>87</v>
      </c>
    </row>
    <row r="6470" spans="1:5" x14ac:dyDescent="0.25">
      <c r="A6470" s="216" t="s">
        <v>8917</v>
      </c>
      <c r="B6470" s="218">
        <v>1</v>
      </c>
      <c r="C6470" s="220" t="s">
        <v>8918</v>
      </c>
      <c r="D6470" s="220" t="s">
        <v>63</v>
      </c>
      <c r="E6470" s="165">
        <v>87</v>
      </c>
    </row>
    <row r="6471" spans="1:5" x14ac:dyDescent="0.25">
      <c r="A6471" s="216" t="s">
        <v>11587</v>
      </c>
      <c r="B6471" s="218">
        <v>1</v>
      </c>
      <c r="C6471" s="220" t="s">
        <v>2258</v>
      </c>
      <c r="D6471" s="220" t="s">
        <v>87</v>
      </c>
      <c r="E6471" s="165">
        <v>87</v>
      </c>
    </row>
    <row r="6472" spans="1:5" x14ac:dyDescent="0.25">
      <c r="A6472" s="216" t="s">
        <v>10800</v>
      </c>
      <c r="B6472" s="218">
        <v>1</v>
      </c>
      <c r="C6472" s="220" t="s">
        <v>289</v>
      </c>
      <c r="D6472" s="220" t="s">
        <v>69</v>
      </c>
      <c r="E6472" s="165">
        <v>87</v>
      </c>
    </row>
    <row r="6473" spans="1:5" x14ac:dyDescent="0.25">
      <c r="A6473" s="216" t="s">
        <v>5615</v>
      </c>
      <c r="B6473" s="218" t="s">
        <v>48</v>
      </c>
      <c r="C6473" s="220" t="s">
        <v>144</v>
      </c>
      <c r="D6473" s="220" t="s">
        <v>59</v>
      </c>
      <c r="E6473" s="165">
        <v>87</v>
      </c>
    </row>
    <row r="6474" spans="1:5" x14ac:dyDescent="0.25">
      <c r="A6474" s="216" t="s">
        <v>8843</v>
      </c>
      <c r="B6474" s="218">
        <v>1</v>
      </c>
      <c r="C6474" s="220" t="s">
        <v>877</v>
      </c>
      <c r="D6474" s="220" t="s">
        <v>78</v>
      </c>
      <c r="E6474" s="165">
        <v>87</v>
      </c>
    </row>
    <row r="6475" spans="1:5" x14ac:dyDescent="0.25">
      <c r="A6475" s="216" t="s">
        <v>8962</v>
      </c>
      <c r="B6475" s="218">
        <v>1</v>
      </c>
      <c r="C6475" s="220" t="s">
        <v>5924</v>
      </c>
      <c r="D6475" s="220" t="s">
        <v>188</v>
      </c>
      <c r="E6475" s="165">
        <v>87</v>
      </c>
    </row>
    <row r="6476" spans="1:5" x14ac:dyDescent="0.25">
      <c r="A6476" s="216" t="s">
        <v>7561</v>
      </c>
      <c r="B6476" s="218">
        <v>1</v>
      </c>
      <c r="C6476" s="220" t="s">
        <v>1508</v>
      </c>
      <c r="D6476" s="220" t="s">
        <v>69</v>
      </c>
      <c r="E6476" s="165">
        <v>87</v>
      </c>
    </row>
    <row r="6477" spans="1:5" x14ac:dyDescent="0.25">
      <c r="A6477" s="216" t="s">
        <v>9594</v>
      </c>
      <c r="B6477" s="218" t="s">
        <v>48</v>
      </c>
      <c r="C6477" s="220" t="s">
        <v>135</v>
      </c>
      <c r="D6477" s="220" t="s">
        <v>108</v>
      </c>
      <c r="E6477" s="165">
        <v>87</v>
      </c>
    </row>
    <row r="6478" spans="1:5" x14ac:dyDescent="0.25">
      <c r="A6478" s="216" t="s">
        <v>8975</v>
      </c>
      <c r="B6478" s="218">
        <v>1</v>
      </c>
      <c r="C6478" s="220" t="s">
        <v>1281</v>
      </c>
      <c r="D6478" s="220" t="s">
        <v>188</v>
      </c>
      <c r="E6478" s="165">
        <v>86</v>
      </c>
    </row>
    <row r="6479" spans="1:5" x14ac:dyDescent="0.25">
      <c r="A6479" s="216" t="s">
        <v>9435</v>
      </c>
      <c r="B6479" s="218" t="s">
        <v>48</v>
      </c>
      <c r="C6479" s="220" t="s">
        <v>4786</v>
      </c>
      <c r="D6479" s="220" t="s">
        <v>236</v>
      </c>
      <c r="E6479" s="165">
        <v>86</v>
      </c>
    </row>
    <row r="6480" spans="1:5" x14ac:dyDescent="0.25">
      <c r="A6480" s="216" t="s">
        <v>8799</v>
      </c>
      <c r="B6480" s="218" t="s">
        <v>48</v>
      </c>
      <c r="C6480" s="220" t="s">
        <v>1275</v>
      </c>
      <c r="D6480" s="220" t="s">
        <v>78</v>
      </c>
      <c r="E6480" s="165">
        <v>86</v>
      </c>
    </row>
    <row r="6481" spans="1:5" x14ac:dyDescent="0.25">
      <c r="A6481" s="216" t="s">
        <v>8891</v>
      </c>
      <c r="B6481" s="218">
        <v>1</v>
      </c>
      <c r="C6481" s="220" t="s">
        <v>7493</v>
      </c>
      <c r="D6481" s="220" t="s">
        <v>66</v>
      </c>
      <c r="E6481" s="165">
        <v>86</v>
      </c>
    </row>
    <row r="6482" spans="1:5" x14ac:dyDescent="0.25">
      <c r="A6482" s="216" t="s">
        <v>6913</v>
      </c>
      <c r="B6482" s="218" t="s">
        <v>48</v>
      </c>
      <c r="C6482" s="220" t="s">
        <v>447</v>
      </c>
      <c r="D6482" s="220" t="s">
        <v>585</v>
      </c>
      <c r="E6482" s="165">
        <v>86</v>
      </c>
    </row>
    <row r="6483" spans="1:5" x14ac:dyDescent="0.25">
      <c r="A6483" s="216" t="s">
        <v>9074</v>
      </c>
      <c r="B6483" s="218">
        <v>1</v>
      </c>
      <c r="C6483" s="220" t="s">
        <v>9075</v>
      </c>
      <c r="D6483" s="220" t="s">
        <v>118</v>
      </c>
      <c r="E6483" s="165">
        <v>86</v>
      </c>
    </row>
    <row r="6484" spans="1:5" x14ac:dyDescent="0.25">
      <c r="A6484" s="216" t="s">
        <v>8240</v>
      </c>
      <c r="B6484" s="218">
        <v>1</v>
      </c>
      <c r="C6484" s="220" t="s">
        <v>8241</v>
      </c>
      <c r="D6484" s="220" t="s">
        <v>166</v>
      </c>
      <c r="E6484" s="165">
        <v>86</v>
      </c>
    </row>
    <row r="6485" spans="1:5" x14ac:dyDescent="0.25">
      <c r="A6485" s="216" t="s">
        <v>8655</v>
      </c>
      <c r="B6485" s="218">
        <v>1</v>
      </c>
      <c r="C6485" s="220" t="s">
        <v>1130</v>
      </c>
      <c r="D6485" s="220" t="s">
        <v>93</v>
      </c>
      <c r="E6485" s="165">
        <v>86</v>
      </c>
    </row>
    <row r="6486" spans="1:5" x14ac:dyDescent="0.25">
      <c r="A6486" s="216" t="s">
        <v>8615</v>
      </c>
      <c r="B6486" s="218">
        <v>1</v>
      </c>
      <c r="C6486" s="220" t="s">
        <v>8616</v>
      </c>
      <c r="D6486" s="220" t="s">
        <v>93</v>
      </c>
      <c r="E6486" s="165">
        <v>86</v>
      </c>
    </row>
    <row r="6487" spans="1:5" x14ac:dyDescent="0.25">
      <c r="A6487" s="216" t="s">
        <v>9232</v>
      </c>
      <c r="B6487" s="218" t="s">
        <v>48</v>
      </c>
      <c r="C6487" s="220" t="s">
        <v>7808</v>
      </c>
      <c r="D6487" s="220" t="s">
        <v>166</v>
      </c>
      <c r="E6487" s="165">
        <v>86</v>
      </c>
    </row>
    <row r="6488" spans="1:5" x14ac:dyDescent="0.25">
      <c r="A6488" s="216" t="s">
        <v>8810</v>
      </c>
      <c r="B6488" s="218">
        <v>1</v>
      </c>
      <c r="C6488" s="220" t="s">
        <v>3137</v>
      </c>
      <c r="D6488" s="220" t="s">
        <v>50</v>
      </c>
      <c r="E6488" s="165">
        <v>86</v>
      </c>
    </row>
    <row r="6489" spans="1:5" x14ac:dyDescent="0.25">
      <c r="A6489" s="216" t="s">
        <v>9562</v>
      </c>
      <c r="B6489" s="218" t="s">
        <v>48</v>
      </c>
      <c r="C6489" s="220" t="s">
        <v>986</v>
      </c>
      <c r="D6489" s="220" t="s">
        <v>56</v>
      </c>
      <c r="E6489" s="165">
        <v>85</v>
      </c>
    </row>
    <row r="6490" spans="1:5" x14ac:dyDescent="0.25">
      <c r="A6490" s="216" t="s">
        <v>8851</v>
      </c>
      <c r="B6490" s="218" t="s">
        <v>48</v>
      </c>
      <c r="C6490" s="220" t="s">
        <v>393</v>
      </c>
      <c r="D6490" s="220" t="s">
        <v>166</v>
      </c>
      <c r="E6490" s="165">
        <v>85</v>
      </c>
    </row>
    <row r="6491" spans="1:5" x14ac:dyDescent="0.25">
      <c r="A6491" s="216" t="s">
        <v>8967</v>
      </c>
      <c r="B6491" s="218">
        <v>1</v>
      </c>
      <c r="C6491" s="220" t="s">
        <v>7275</v>
      </c>
      <c r="D6491" s="220" t="s">
        <v>69</v>
      </c>
      <c r="E6491" s="165">
        <v>85</v>
      </c>
    </row>
    <row r="6492" spans="1:5" x14ac:dyDescent="0.25">
      <c r="A6492" s="216" t="s">
        <v>9120</v>
      </c>
      <c r="B6492" s="218" t="s">
        <v>48</v>
      </c>
      <c r="C6492" s="220" t="s">
        <v>1199</v>
      </c>
      <c r="D6492" s="220" t="s">
        <v>1200</v>
      </c>
      <c r="E6492" s="165">
        <v>85</v>
      </c>
    </row>
    <row r="6493" spans="1:5" x14ac:dyDescent="0.25">
      <c r="A6493" s="216" t="s">
        <v>4996</v>
      </c>
      <c r="B6493" s="218">
        <v>1</v>
      </c>
      <c r="C6493" s="220" t="s">
        <v>1042</v>
      </c>
      <c r="D6493" s="220" t="s">
        <v>69</v>
      </c>
      <c r="E6493" s="165">
        <v>85</v>
      </c>
    </row>
    <row r="6494" spans="1:5" x14ac:dyDescent="0.25">
      <c r="A6494" s="216" t="s">
        <v>11588</v>
      </c>
      <c r="B6494" s="218" t="s">
        <v>48</v>
      </c>
      <c r="C6494" s="220" t="s">
        <v>89</v>
      </c>
      <c r="D6494" s="220" t="s">
        <v>90</v>
      </c>
      <c r="E6494" s="165">
        <v>85</v>
      </c>
    </row>
    <row r="6495" spans="1:5" x14ac:dyDescent="0.25">
      <c r="A6495" s="216" t="s">
        <v>7957</v>
      </c>
      <c r="B6495" s="218">
        <v>1</v>
      </c>
      <c r="C6495" s="220" t="s">
        <v>1293</v>
      </c>
      <c r="D6495" s="220" t="s">
        <v>166</v>
      </c>
      <c r="E6495" s="165">
        <v>85</v>
      </c>
    </row>
    <row r="6496" spans="1:5" x14ac:dyDescent="0.25">
      <c r="A6496" s="216" t="s">
        <v>9740</v>
      </c>
      <c r="B6496" s="218" t="s">
        <v>48</v>
      </c>
      <c r="C6496" s="220" t="s">
        <v>6073</v>
      </c>
      <c r="D6496" s="220" t="s">
        <v>63</v>
      </c>
      <c r="E6496" s="165">
        <v>85</v>
      </c>
    </row>
    <row r="6497" spans="1:5" x14ac:dyDescent="0.25">
      <c r="A6497" s="216" t="s">
        <v>6766</v>
      </c>
      <c r="B6497" s="218" t="s">
        <v>48</v>
      </c>
      <c r="C6497" s="220" t="s">
        <v>306</v>
      </c>
      <c r="D6497" s="220" t="s">
        <v>63</v>
      </c>
      <c r="E6497" s="165">
        <v>85</v>
      </c>
    </row>
    <row r="6498" spans="1:5" x14ac:dyDescent="0.25">
      <c r="A6498" s="216" t="s">
        <v>10806</v>
      </c>
      <c r="B6498" s="218" t="s">
        <v>48</v>
      </c>
      <c r="C6498" s="220" t="s">
        <v>9557</v>
      </c>
      <c r="D6498" s="220" t="s">
        <v>75</v>
      </c>
      <c r="E6498" s="165">
        <v>85</v>
      </c>
    </row>
    <row r="6499" spans="1:5" x14ac:dyDescent="0.25">
      <c r="A6499" s="216" t="s">
        <v>8938</v>
      </c>
      <c r="B6499" s="218">
        <v>1</v>
      </c>
      <c r="C6499" s="220" t="s">
        <v>997</v>
      </c>
      <c r="D6499" s="220" t="s">
        <v>222</v>
      </c>
      <c r="E6499" s="165">
        <v>85</v>
      </c>
    </row>
    <row r="6500" spans="1:5" x14ac:dyDescent="0.25">
      <c r="A6500" s="216" t="s">
        <v>8492</v>
      </c>
      <c r="B6500" s="218">
        <v>1</v>
      </c>
      <c r="C6500" s="220" t="s">
        <v>522</v>
      </c>
      <c r="D6500" s="220" t="s">
        <v>523</v>
      </c>
      <c r="E6500" s="165">
        <v>85</v>
      </c>
    </row>
    <row r="6501" spans="1:5" x14ac:dyDescent="0.25">
      <c r="A6501" s="216" t="s">
        <v>8658</v>
      </c>
      <c r="B6501" s="218" t="s">
        <v>48</v>
      </c>
      <c r="C6501" s="220" t="s">
        <v>287</v>
      </c>
      <c r="D6501" s="220" t="s">
        <v>82</v>
      </c>
      <c r="E6501" s="165">
        <v>85</v>
      </c>
    </row>
    <row r="6502" spans="1:5" x14ac:dyDescent="0.25">
      <c r="A6502" s="216" t="s">
        <v>8745</v>
      </c>
      <c r="B6502" s="218">
        <v>1</v>
      </c>
      <c r="C6502" s="220" t="s">
        <v>638</v>
      </c>
      <c r="D6502" s="220" t="s">
        <v>87</v>
      </c>
      <c r="E6502" s="165">
        <v>84</v>
      </c>
    </row>
    <row r="6503" spans="1:5" x14ac:dyDescent="0.25">
      <c r="A6503" s="216" t="s">
        <v>10046</v>
      </c>
      <c r="B6503" s="218" t="s">
        <v>48</v>
      </c>
      <c r="C6503" s="220" t="s">
        <v>9054</v>
      </c>
      <c r="D6503" s="220" t="s">
        <v>108</v>
      </c>
      <c r="E6503" s="165">
        <v>84</v>
      </c>
    </row>
    <row r="6504" spans="1:5" x14ac:dyDescent="0.25">
      <c r="A6504" s="216" t="s">
        <v>11589</v>
      </c>
      <c r="B6504" s="218">
        <v>1</v>
      </c>
      <c r="C6504" s="220" t="s">
        <v>11590</v>
      </c>
      <c r="D6504" s="220" t="s">
        <v>63</v>
      </c>
      <c r="E6504" s="165">
        <v>84</v>
      </c>
    </row>
    <row r="6505" spans="1:5" x14ac:dyDescent="0.25">
      <c r="A6505" s="216" t="s">
        <v>6989</v>
      </c>
      <c r="B6505" s="218">
        <v>1</v>
      </c>
      <c r="C6505" s="220" t="s">
        <v>1457</v>
      </c>
      <c r="D6505" s="220" t="s">
        <v>50</v>
      </c>
      <c r="E6505" s="165">
        <v>84</v>
      </c>
    </row>
    <row r="6506" spans="1:5" x14ac:dyDescent="0.25">
      <c r="A6506" s="216" t="s">
        <v>8251</v>
      </c>
      <c r="B6506" s="218" t="s">
        <v>48</v>
      </c>
      <c r="C6506" s="220" t="s">
        <v>71</v>
      </c>
      <c r="D6506" s="220" t="s">
        <v>53</v>
      </c>
      <c r="E6506" s="165">
        <v>84</v>
      </c>
    </row>
    <row r="6507" spans="1:5" x14ac:dyDescent="0.25">
      <c r="A6507" s="216" t="s">
        <v>8964</v>
      </c>
      <c r="B6507" s="218" t="s">
        <v>48</v>
      </c>
      <c r="C6507" s="220" t="s">
        <v>8965</v>
      </c>
      <c r="D6507" s="220" t="s">
        <v>90</v>
      </c>
      <c r="E6507" s="165">
        <v>84</v>
      </c>
    </row>
    <row r="6508" spans="1:5" x14ac:dyDescent="0.25">
      <c r="A6508" s="216" t="s">
        <v>8929</v>
      </c>
      <c r="B6508" s="218">
        <v>1</v>
      </c>
      <c r="C6508" s="220" t="s">
        <v>6645</v>
      </c>
      <c r="D6508" s="220" t="s">
        <v>802</v>
      </c>
      <c r="E6508" s="165">
        <v>84</v>
      </c>
    </row>
    <row r="6509" spans="1:5" x14ac:dyDescent="0.25">
      <c r="A6509" s="216" t="s">
        <v>7286</v>
      </c>
      <c r="B6509" s="218" t="s">
        <v>48</v>
      </c>
      <c r="C6509" s="220" t="s">
        <v>238</v>
      </c>
      <c r="D6509" s="220" t="s">
        <v>710</v>
      </c>
      <c r="E6509" s="165">
        <v>84</v>
      </c>
    </row>
    <row r="6510" spans="1:5" x14ac:dyDescent="0.25">
      <c r="A6510" s="216" t="s">
        <v>7774</v>
      </c>
      <c r="B6510" s="218" t="s">
        <v>48</v>
      </c>
      <c r="C6510" s="220" t="s">
        <v>6223</v>
      </c>
      <c r="D6510" s="220" t="s">
        <v>90</v>
      </c>
      <c r="E6510" s="165">
        <v>84</v>
      </c>
    </row>
    <row r="6511" spans="1:5" x14ac:dyDescent="0.25">
      <c r="A6511" s="216" t="s">
        <v>8932</v>
      </c>
      <c r="B6511" s="218">
        <v>1</v>
      </c>
      <c r="C6511" s="220" t="s">
        <v>8933</v>
      </c>
      <c r="D6511" s="220" t="s">
        <v>1200</v>
      </c>
      <c r="E6511" s="165">
        <v>84</v>
      </c>
    </row>
    <row r="6512" spans="1:5" x14ac:dyDescent="0.25">
      <c r="A6512" s="216" t="s">
        <v>8916</v>
      </c>
      <c r="B6512" s="218">
        <v>1</v>
      </c>
      <c r="C6512" s="220" t="s">
        <v>8791</v>
      </c>
      <c r="D6512" s="220" t="s">
        <v>56</v>
      </c>
      <c r="E6512" s="165">
        <v>84</v>
      </c>
    </row>
    <row r="6513" spans="1:5" x14ac:dyDescent="0.25">
      <c r="A6513" s="216" t="s">
        <v>8435</v>
      </c>
      <c r="B6513" s="218" t="s">
        <v>48</v>
      </c>
      <c r="C6513" s="220" t="s">
        <v>8436</v>
      </c>
      <c r="D6513" s="220" t="s">
        <v>90</v>
      </c>
      <c r="E6513" s="165">
        <v>84</v>
      </c>
    </row>
    <row r="6514" spans="1:5" x14ac:dyDescent="0.25">
      <c r="A6514" s="216" t="s">
        <v>8009</v>
      </c>
      <c r="B6514" s="218">
        <v>1</v>
      </c>
      <c r="C6514" s="220" t="s">
        <v>1807</v>
      </c>
      <c r="D6514" s="220" t="s">
        <v>222</v>
      </c>
      <c r="E6514" s="165">
        <v>84</v>
      </c>
    </row>
    <row r="6515" spans="1:5" x14ac:dyDescent="0.25">
      <c r="A6515" s="216" t="s">
        <v>8610</v>
      </c>
      <c r="B6515" s="218" t="s">
        <v>48</v>
      </c>
      <c r="C6515" s="220" t="s">
        <v>8611</v>
      </c>
      <c r="D6515" s="220" t="s">
        <v>166</v>
      </c>
      <c r="E6515" s="165">
        <v>84</v>
      </c>
    </row>
    <row r="6516" spans="1:5" x14ac:dyDescent="0.25">
      <c r="A6516" s="216" t="s">
        <v>8349</v>
      </c>
      <c r="B6516" s="218">
        <v>1</v>
      </c>
      <c r="C6516" s="220" t="s">
        <v>988</v>
      </c>
      <c r="D6516" s="220" t="s">
        <v>69</v>
      </c>
      <c r="E6516" s="165">
        <v>84</v>
      </c>
    </row>
    <row r="6517" spans="1:5" x14ac:dyDescent="0.25">
      <c r="A6517" s="216" t="s">
        <v>9021</v>
      </c>
      <c r="B6517" s="218">
        <v>1</v>
      </c>
      <c r="C6517" s="220" t="s">
        <v>396</v>
      </c>
      <c r="D6517" s="220" t="s">
        <v>188</v>
      </c>
      <c r="E6517" s="165">
        <v>84</v>
      </c>
    </row>
    <row r="6518" spans="1:5" x14ac:dyDescent="0.25">
      <c r="A6518" s="216" t="s">
        <v>8875</v>
      </c>
      <c r="B6518" s="218">
        <v>1</v>
      </c>
      <c r="C6518" s="220" t="s">
        <v>121</v>
      </c>
      <c r="D6518" s="220" t="s">
        <v>56</v>
      </c>
      <c r="E6518" s="165">
        <v>84</v>
      </c>
    </row>
    <row r="6519" spans="1:5" x14ac:dyDescent="0.25">
      <c r="A6519" s="216" t="s">
        <v>9022</v>
      </c>
      <c r="B6519" s="218">
        <v>1</v>
      </c>
      <c r="C6519" s="220" t="s">
        <v>396</v>
      </c>
      <c r="D6519" s="220" t="s">
        <v>188</v>
      </c>
      <c r="E6519" s="165">
        <v>84</v>
      </c>
    </row>
    <row r="6520" spans="1:5" x14ac:dyDescent="0.25">
      <c r="A6520" s="216" t="s">
        <v>8958</v>
      </c>
      <c r="B6520" s="218">
        <v>1</v>
      </c>
      <c r="C6520" s="220" t="s">
        <v>8959</v>
      </c>
      <c r="D6520" s="220" t="s">
        <v>63</v>
      </c>
      <c r="E6520" s="165">
        <v>84</v>
      </c>
    </row>
    <row r="6521" spans="1:5" x14ac:dyDescent="0.25">
      <c r="A6521" s="216" t="s">
        <v>9546</v>
      </c>
      <c r="B6521" s="218" t="s">
        <v>48</v>
      </c>
      <c r="C6521" s="220" t="s">
        <v>3656</v>
      </c>
      <c r="D6521" s="220" t="s">
        <v>59</v>
      </c>
      <c r="E6521" s="165">
        <v>84</v>
      </c>
    </row>
    <row r="6522" spans="1:5" x14ac:dyDescent="0.25">
      <c r="A6522" s="216" t="s">
        <v>8829</v>
      </c>
      <c r="B6522" s="218">
        <v>1</v>
      </c>
      <c r="C6522" s="220" t="s">
        <v>6912</v>
      </c>
      <c r="D6522" s="220" t="s">
        <v>166</v>
      </c>
      <c r="E6522" s="165">
        <v>84</v>
      </c>
    </row>
    <row r="6523" spans="1:5" x14ac:dyDescent="0.25">
      <c r="A6523" s="216" t="s">
        <v>9124</v>
      </c>
      <c r="B6523" s="218" t="s">
        <v>48</v>
      </c>
      <c r="C6523" s="220" t="s">
        <v>2032</v>
      </c>
      <c r="D6523" s="220" t="s">
        <v>75</v>
      </c>
      <c r="E6523" s="165">
        <v>84</v>
      </c>
    </row>
    <row r="6524" spans="1:5" x14ac:dyDescent="0.25">
      <c r="A6524" s="216" t="s">
        <v>9367</v>
      </c>
      <c r="B6524" s="218" t="s">
        <v>48</v>
      </c>
      <c r="C6524" s="220" t="s">
        <v>9368</v>
      </c>
      <c r="D6524" s="220" t="s">
        <v>87</v>
      </c>
      <c r="E6524" s="165">
        <v>84</v>
      </c>
    </row>
    <row r="6525" spans="1:5" x14ac:dyDescent="0.25">
      <c r="A6525" s="216" t="s">
        <v>8926</v>
      </c>
      <c r="B6525" s="218">
        <v>1</v>
      </c>
      <c r="C6525" s="220" t="s">
        <v>8927</v>
      </c>
      <c r="D6525" s="220" t="s">
        <v>56</v>
      </c>
      <c r="E6525" s="165">
        <v>83</v>
      </c>
    </row>
    <row r="6526" spans="1:5" x14ac:dyDescent="0.25">
      <c r="A6526" s="216" t="s">
        <v>8322</v>
      </c>
      <c r="B6526" s="218">
        <v>1</v>
      </c>
      <c r="C6526" s="220" t="s">
        <v>8323</v>
      </c>
      <c r="D6526" s="220" t="s">
        <v>166</v>
      </c>
      <c r="E6526" s="165">
        <v>83</v>
      </c>
    </row>
    <row r="6527" spans="1:5" x14ac:dyDescent="0.25">
      <c r="A6527" s="216" t="s">
        <v>9018</v>
      </c>
      <c r="B6527" s="218">
        <v>1</v>
      </c>
      <c r="C6527" s="220" t="s">
        <v>9019</v>
      </c>
      <c r="D6527" s="220" t="s">
        <v>56</v>
      </c>
      <c r="E6527" s="165">
        <v>83</v>
      </c>
    </row>
    <row r="6528" spans="1:5" x14ac:dyDescent="0.25">
      <c r="A6528" s="216" t="s">
        <v>8634</v>
      </c>
      <c r="B6528" s="218" t="s">
        <v>48</v>
      </c>
      <c r="C6528" s="220" t="s">
        <v>1610</v>
      </c>
      <c r="D6528" s="220" t="s">
        <v>166</v>
      </c>
      <c r="E6528" s="165">
        <v>83</v>
      </c>
    </row>
    <row r="6529" spans="1:5" x14ac:dyDescent="0.25">
      <c r="A6529" s="216" t="s">
        <v>11591</v>
      </c>
      <c r="B6529" s="218">
        <v>1</v>
      </c>
      <c r="C6529" s="220" t="s">
        <v>2218</v>
      </c>
      <c r="D6529" s="220" t="s">
        <v>56</v>
      </c>
      <c r="E6529" s="165">
        <v>83</v>
      </c>
    </row>
    <row r="6530" spans="1:5" x14ac:dyDescent="0.25">
      <c r="A6530" s="216" t="s">
        <v>9057</v>
      </c>
      <c r="B6530" s="218" t="s">
        <v>48</v>
      </c>
      <c r="C6530" s="220" t="s">
        <v>4518</v>
      </c>
      <c r="D6530" s="220" t="s">
        <v>63</v>
      </c>
      <c r="E6530" s="165">
        <v>83</v>
      </c>
    </row>
    <row r="6531" spans="1:5" x14ac:dyDescent="0.25">
      <c r="A6531" s="216" t="s">
        <v>9194</v>
      </c>
      <c r="B6531" s="218" t="s">
        <v>48</v>
      </c>
      <c r="C6531" s="220" t="s">
        <v>9195</v>
      </c>
      <c r="D6531" s="220" t="s">
        <v>108</v>
      </c>
      <c r="E6531" s="165">
        <v>83</v>
      </c>
    </row>
    <row r="6532" spans="1:5" x14ac:dyDescent="0.25">
      <c r="A6532" s="216" t="s">
        <v>11592</v>
      </c>
      <c r="B6532" s="218">
        <v>1</v>
      </c>
      <c r="C6532" s="220" t="s">
        <v>413</v>
      </c>
      <c r="D6532" s="220" t="s">
        <v>277</v>
      </c>
      <c r="E6532" s="165">
        <v>83</v>
      </c>
    </row>
    <row r="6533" spans="1:5" x14ac:dyDescent="0.25">
      <c r="A6533" s="216" t="s">
        <v>8787</v>
      </c>
      <c r="B6533" s="218" t="s">
        <v>48</v>
      </c>
      <c r="C6533" s="220" t="s">
        <v>3779</v>
      </c>
      <c r="D6533" s="220" t="s">
        <v>53</v>
      </c>
      <c r="E6533" s="165">
        <v>83</v>
      </c>
    </row>
    <row r="6534" spans="1:5" x14ac:dyDescent="0.25">
      <c r="A6534" s="216" t="s">
        <v>8588</v>
      </c>
      <c r="B6534" s="218" t="s">
        <v>48</v>
      </c>
      <c r="C6534" s="220" t="s">
        <v>8589</v>
      </c>
      <c r="D6534" s="220" t="s">
        <v>108</v>
      </c>
      <c r="E6534" s="165">
        <v>83</v>
      </c>
    </row>
    <row r="6535" spans="1:5" x14ac:dyDescent="0.25">
      <c r="A6535" s="216" t="s">
        <v>11593</v>
      </c>
      <c r="B6535" s="218">
        <v>1</v>
      </c>
      <c r="C6535" s="220" t="s">
        <v>994</v>
      </c>
      <c r="D6535" s="220" t="s">
        <v>277</v>
      </c>
      <c r="E6535" s="165">
        <v>83</v>
      </c>
    </row>
    <row r="6536" spans="1:5" x14ac:dyDescent="0.25">
      <c r="A6536" s="216" t="s">
        <v>11594</v>
      </c>
      <c r="B6536" s="218">
        <v>1</v>
      </c>
      <c r="C6536" s="220" t="s">
        <v>5066</v>
      </c>
      <c r="D6536" s="220" t="s">
        <v>277</v>
      </c>
      <c r="E6536" s="165">
        <v>83</v>
      </c>
    </row>
    <row r="6537" spans="1:5" x14ac:dyDescent="0.25">
      <c r="A6537" s="216" t="s">
        <v>7756</v>
      </c>
      <c r="B6537" s="218">
        <v>1</v>
      </c>
      <c r="C6537" s="220" t="s">
        <v>353</v>
      </c>
      <c r="D6537" s="220" t="s">
        <v>774</v>
      </c>
      <c r="E6537" s="165">
        <v>83</v>
      </c>
    </row>
    <row r="6538" spans="1:5" x14ac:dyDescent="0.25">
      <c r="A6538" s="216" t="s">
        <v>9611</v>
      </c>
      <c r="B6538" s="218" t="s">
        <v>48</v>
      </c>
      <c r="C6538" s="220" t="s">
        <v>9612</v>
      </c>
      <c r="D6538" s="220" t="s">
        <v>87</v>
      </c>
      <c r="E6538" s="165">
        <v>83</v>
      </c>
    </row>
    <row r="6539" spans="1:5" x14ac:dyDescent="0.25">
      <c r="A6539" s="216" t="s">
        <v>8943</v>
      </c>
      <c r="B6539" s="218">
        <v>1</v>
      </c>
      <c r="C6539" s="220" t="s">
        <v>5128</v>
      </c>
      <c r="D6539" s="220" t="s">
        <v>1200</v>
      </c>
      <c r="E6539" s="165">
        <v>83</v>
      </c>
    </row>
    <row r="6540" spans="1:5" x14ac:dyDescent="0.25">
      <c r="A6540" s="216" t="s">
        <v>8017</v>
      </c>
      <c r="B6540" s="218">
        <v>1</v>
      </c>
      <c r="C6540" s="220" t="s">
        <v>221</v>
      </c>
      <c r="D6540" s="220" t="s">
        <v>166</v>
      </c>
      <c r="E6540" s="165">
        <v>82</v>
      </c>
    </row>
    <row r="6541" spans="1:5" x14ac:dyDescent="0.25">
      <c r="A6541" s="216" t="s">
        <v>8443</v>
      </c>
      <c r="B6541" s="218" t="s">
        <v>48</v>
      </c>
      <c r="C6541" s="220" t="s">
        <v>8444</v>
      </c>
      <c r="D6541" s="220" t="s">
        <v>90</v>
      </c>
      <c r="E6541" s="165">
        <v>82</v>
      </c>
    </row>
    <row r="6542" spans="1:5" x14ac:dyDescent="0.25">
      <c r="A6542" s="216" t="s">
        <v>9144</v>
      </c>
      <c r="B6542" s="218" t="s">
        <v>48</v>
      </c>
      <c r="C6542" s="220" t="s">
        <v>4341</v>
      </c>
      <c r="D6542" s="220" t="s">
        <v>166</v>
      </c>
      <c r="E6542" s="165">
        <v>82</v>
      </c>
    </row>
    <row r="6543" spans="1:5" x14ac:dyDescent="0.25">
      <c r="A6543" s="216" t="s">
        <v>11595</v>
      </c>
      <c r="B6543" s="218">
        <v>1</v>
      </c>
      <c r="C6543" s="220" t="s">
        <v>1693</v>
      </c>
      <c r="D6543" s="220" t="s">
        <v>139</v>
      </c>
      <c r="E6543" s="165">
        <v>82</v>
      </c>
    </row>
    <row r="6544" spans="1:5" x14ac:dyDescent="0.25">
      <c r="A6544" s="216" t="s">
        <v>6226</v>
      </c>
      <c r="B6544" s="218" t="s">
        <v>48</v>
      </c>
      <c r="C6544" s="220" t="s">
        <v>6227</v>
      </c>
      <c r="D6544" s="220" t="s">
        <v>75</v>
      </c>
      <c r="E6544" s="165">
        <v>82</v>
      </c>
    </row>
    <row r="6545" spans="1:5" x14ac:dyDescent="0.25">
      <c r="A6545" s="216" t="s">
        <v>5189</v>
      </c>
      <c r="B6545" s="218">
        <v>1</v>
      </c>
      <c r="C6545" s="220" t="s">
        <v>5190</v>
      </c>
      <c r="D6545" s="220" t="s">
        <v>78</v>
      </c>
      <c r="E6545" s="165">
        <v>82</v>
      </c>
    </row>
    <row r="6546" spans="1:5" x14ac:dyDescent="0.25">
      <c r="A6546" s="216" t="s">
        <v>7092</v>
      </c>
      <c r="B6546" s="218">
        <v>1</v>
      </c>
      <c r="C6546" s="220" t="s">
        <v>2643</v>
      </c>
      <c r="D6546" s="220" t="s">
        <v>139</v>
      </c>
      <c r="E6546" s="165">
        <v>82</v>
      </c>
    </row>
    <row r="6547" spans="1:5" x14ac:dyDescent="0.25">
      <c r="A6547" s="216" t="s">
        <v>11596</v>
      </c>
      <c r="B6547" s="218">
        <v>1</v>
      </c>
      <c r="C6547" s="220" t="s">
        <v>3973</v>
      </c>
      <c r="D6547" s="220" t="s">
        <v>192</v>
      </c>
      <c r="E6547" s="165">
        <v>82</v>
      </c>
    </row>
    <row r="6548" spans="1:5" x14ac:dyDescent="0.25">
      <c r="A6548" s="216" t="s">
        <v>9706</v>
      </c>
      <c r="B6548" s="218" t="s">
        <v>48</v>
      </c>
      <c r="C6548" s="220" t="s">
        <v>9707</v>
      </c>
      <c r="D6548" s="220" t="s">
        <v>82</v>
      </c>
      <c r="E6548" s="165">
        <v>82</v>
      </c>
    </row>
    <row r="6549" spans="1:5" x14ac:dyDescent="0.25">
      <c r="A6549" s="216" t="s">
        <v>11597</v>
      </c>
      <c r="B6549" s="218" t="s">
        <v>48</v>
      </c>
      <c r="C6549" s="220" t="s">
        <v>831</v>
      </c>
      <c r="D6549" s="220" t="s">
        <v>378</v>
      </c>
      <c r="E6549" s="165">
        <v>82</v>
      </c>
    </row>
    <row r="6550" spans="1:5" x14ac:dyDescent="0.25">
      <c r="A6550" s="216" t="s">
        <v>11598</v>
      </c>
      <c r="B6550" s="218">
        <v>1</v>
      </c>
      <c r="C6550" s="220" t="s">
        <v>1032</v>
      </c>
      <c r="D6550" s="220" t="s">
        <v>139</v>
      </c>
      <c r="E6550" s="165">
        <v>82</v>
      </c>
    </row>
    <row r="6551" spans="1:5" x14ac:dyDescent="0.25">
      <c r="A6551" s="216" t="s">
        <v>11599</v>
      </c>
      <c r="B6551" s="218">
        <v>1</v>
      </c>
      <c r="C6551" s="220" t="s">
        <v>11600</v>
      </c>
      <c r="D6551" s="220" t="s">
        <v>87</v>
      </c>
      <c r="E6551" s="165">
        <v>82</v>
      </c>
    </row>
    <row r="6552" spans="1:5" x14ac:dyDescent="0.25">
      <c r="A6552" s="216" t="s">
        <v>9185</v>
      </c>
      <c r="B6552" s="218">
        <v>1</v>
      </c>
      <c r="C6552" s="220" t="s">
        <v>3149</v>
      </c>
      <c r="D6552" s="220" t="s">
        <v>69</v>
      </c>
      <c r="E6552" s="165">
        <v>82</v>
      </c>
    </row>
    <row r="6553" spans="1:5" x14ac:dyDescent="0.25">
      <c r="A6553" s="216" t="s">
        <v>11601</v>
      </c>
      <c r="B6553" s="218">
        <v>1</v>
      </c>
      <c r="C6553" s="220" t="s">
        <v>11602</v>
      </c>
      <c r="D6553" s="220" t="s">
        <v>63</v>
      </c>
      <c r="E6553" s="165">
        <v>82</v>
      </c>
    </row>
    <row r="6554" spans="1:5" x14ac:dyDescent="0.25">
      <c r="A6554" s="216" t="s">
        <v>9063</v>
      </c>
      <c r="B6554" s="218">
        <v>1</v>
      </c>
      <c r="C6554" s="220" t="s">
        <v>9064</v>
      </c>
      <c r="D6554" s="220" t="s">
        <v>188</v>
      </c>
      <c r="E6554" s="165">
        <v>82</v>
      </c>
    </row>
    <row r="6555" spans="1:5" x14ac:dyDescent="0.25">
      <c r="A6555" s="216" t="s">
        <v>8961</v>
      </c>
      <c r="B6555" s="218" t="s">
        <v>48</v>
      </c>
      <c r="C6555" s="220" t="s">
        <v>2370</v>
      </c>
      <c r="D6555" s="220" t="s">
        <v>710</v>
      </c>
      <c r="E6555" s="165">
        <v>82</v>
      </c>
    </row>
    <row r="6556" spans="1:5" x14ac:dyDescent="0.25">
      <c r="A6556" s="216" t="s">
        <v>5959</v>
      </c>
      <c r="B6556" s="218" t="s">
        <v>48</v>
      </c>
      <c r="C6556" s="220" t="s">
        <v>5960</v>
      </c>
      <c r="D6556" s="220" t="s">
        <v>53</v>
      </c>
      <c r="E6556" s="165">
        <v>81</v>
      </c>
    </row>
    <row r="6557" spans="1:5" x14ac:dyDescent="0.25">
      <c r="A6557" s="216" t="s">
        <v>8837</v>
      </c>
      <c r="B6557" s="218" t="s">
        <v>48</v>
      </c>
      <c r="C6557" s="220" t="s">
        <v>925</v>
      </c>
      <c r="D6557" s="220" t="s">
        <v>166</v>
      </c>
      <c r="E6557" s="165">
        <v>81</v>
      </c>
    </row>
    <row r="6558" spans="1:5" x14ac:dyDescent="0.25">
      <c r="A6558" s="216" t="s">
        <v>8188</v>
      </c>
      <c r="B6558" s="218" t="s">
        <v>48</v>
      </c>
      <c r="C6558" s="220" t="s">
        <v>5079</v>
      </c>
      <c r="D6558" s="220" t="s">
        <v>53</v>
      </c>
      <c r="E6558" s="165">
        <v>81</v>
      </c>
    </row>
    <row r="6559" spans="1:5" x14ac:dyDescent="0.25">
      <c r="A6559" s="216" t="s">
        <v>8753</v>
      </c>
      <c r="B6559" s="218">
        <v>1</v>
      </c>
      <c r="C6559" s="220" t="s">
        <v>6217</v>
      </c>
      <c r="D6559" s="220" t="s">
        <v>139</v>
      </c>
      <c r="E6559" s="165">
        <v>81</v>
      </c>
    </row>
    <row r="6560" spans="1:5" x14ac:dyDescent="0.25">
      <c r="A6560" s="216" t="s">
        <v>9100</v>
      </c>
      <c r="B6560" s="218">
        <v>1</v>
      </c>
      <c r="C6560" s="220" t="s">
        <v>3713</v>
      </c>
      <c r="D6560" s="220" t="s">
        <v>63</v>
      </c>
      <c r="E6560" s="165">
        <v>81</v>
      </c>
    </row>
    <row r="6561" spans="1:5" x14ac:dyDescent="0.25">
      <c r="A6561" s="216" t="s">
        <v>7954</v>
      </c>
      <c r="B6561" s="218" t="s">
        <v>48</v>
      </c>
      <c r="C6561" s="220" t="s">
        <v>7955</v>
      </c>
      <c r="D6561" s="220" t="s">
        <v>90</v>
      </c>
      <c r="E6561" s="165">
        <v>81</v>
      </c>
    </row>
    <row r="6562" spans="1:5" x14ac:dyDescent="0.25">
      <c r="A6562" s="216" t="s">
        <v>10823</v>
      </c>
      <c r="B6562" s="218">
        <v>1</v>
      </c>
      <c r="C6562" s="220" t="s">
        <v>1429</v>
      </c>
      <c r="D6562" s="220" t="s">
        <v>264</v>
      </c>
      <c r="E6562" s="165">
        <v>81</v>
      </c>
    </row>
    <row r="6563" spans="1:5" x14ac:dyDescent="0.25">
      <c r="A6563" s="216" t="s">
        <v>9107</v>
      </c>
      <c r="B6563" s="218">
        <v>1</v>
      </c>
      <c r="C6563" s="220" t="s">
        <v>2049</v>
      </c>
      <c r="D6563" s="220" t="s">
        <v>63</v>
      </c>
      <c r="E6563" s="165">
        <v>81</v>
      </c>
    </row>
    <row r="6564" spans="1:5" x14ac:dyDescent="0.25">
      <c r="A6564" s="216" t="s">
        <v>8883</v>
      </c>
      <c r="B6564" s="218">
        <v>1</v>
      </c>
      <c r="C6564" s="220" t="s">
        <v>8230</v>
      </c>
      <c r="D6564" s="220" t="s">
        <v>201</v>
      </c>
      <c r="E6564" s="165">
        <v>80</v>
      </c>
    </row>
    <row r="6565" spans="1:5" x14ac:dyDescent="0.25">
      <c r="A6565" s="216" t="s">
        <v>8888</v>
      </c>
      <c r="B6565" s="218">
        <v>1</v>
      </c>
      <c r="C6565" s="220" t="s">
        <v>801</v>
      </c>
      <c r="D6565" s="220" t="s">
        <v>802</v>
      </c>
      <c r="E6565" s="165">
        <v>80</v>
      </c>
    </row>
    <row r="6566" spans="1:5" x14ac:dyDescent="0.25">
      <c r="A6566" s="216" t="s">
        <v>11603</v>
      </c>
      <c r="B6566" s="218">
        <v>1</v>
      </c>
      <c r="C6566" s="220" t="s">
        <v>9083</v>
      </c>
      <c r="D6566" s="220" t="s">
        <v>69</v>
      </c>
      <c r="E6566" s="165">
        <v>80</v>
      </c>
    </row>
    <row r="6567" spans="1:5" x14ac:dyDescent="0.25">
      <c r="A6567" s="216" t="s">
        <v>9147</v>
      </c>
      <c r="B6567" s="218" t="s">
        <v>48</v>
      </c>
      <c r="C6567" s="220" t="s">
        <v>285</v>
      </c>
      <c r="D6567" s="220" t="s">
        <v>59</v>
      </c>
      <c r="E6567" s="165">
        <v>80</v>
      </c>
    </row>
    <row r="6568" spans="1:5" x14ac:dyDescent="0.25">
      <c r="A6568" s="216" t="s">
        <v>8952</v>
      </c>
      <c r="B6568" s="218">
        <v>1</v>
      </c>
      <c r="C6568" s="220" t="s">
        <v>8345</v>
      </c>
      <c r="D6568" s="220" t="s">
        <v>98</v>
      </c>
      <c r="E6568" s="165">
        <v>80</v>
      </c>
    </row>
    <row r="6569" spans="1:5" x14ac:dyDescent="0.25">
      <c r="A6569" s="216" t="s">
        <v>11604</v>
      </c>
      <c r="B6569" s="218" t="s">
        <v>48</v>
      </c>
      <c r="C6569" s="220" t="s">
        <v>8484</v>
      </c>
      <c r="D6569" s="220" t="s">
        <v>90</v>
      </c>
      <c r="E6569" s="165">
        <v>80</v>
      </c>
    </row>
    <row r="6570" spans="1:5" x14ac:dyDescent="0.25">
      <c r="A6570" s="216" t="s">
        <v>8638</v>
      </c>
      <c r="B6570" s="218">
        <v>1</v>
      </c>
      <c r="C6570" s="220" t="s">
        <v>1164</v>
      </c>
      <c r="D6570" s="220" t="s">
        <v>277</v>
      </c>
      <c r="E6570" s="165">
        <v>80</v>
      </c>
    </row>
    <row r="6571" spans="1:5" x14ac:dyDescent="0.25">
      <c r="A6571" s="216" t="s">
        <v>11605</v>
      </c>
      <c r="B6571" s="218" t="s">
        <v>48</v>
      </c>
      <c r="C6571" s="220" t="s">
        <v>102</v>
      </c>
      <c r="D6571" s="220" t="s">
        <v>93</v>
      </c>
      <c r="E6571" s="165">
        <v>80</v>
      </c>
    </row>
    <row r="6572" spans="1:5" x14ac:dyDescent="0.25">
      <c r="A6572" s="216" t="s">
        <v>9309</v>
      </c>
      <c r="B6572" s="218" t="s">
        <v>48</v>
      </c>
      <c r="C6572" s="220" t="s">
        <v>426</v>
      </c>
      <c r="D6572" s="220" t="s">
        <v>93</v>
      </c>
      <c r="E6572" s="165">
        <v>80</v>
      </c>
    </row>
    <row r="6573" spans="1:5" x14ac:dyDescent="0.25">
      <c r="A6573" s="216" t="s">
        <v>8899</v>
      </c>
      <c r="B6573" s="218">
        <v>1</v>
      </c>
      <c r="C6573" s="220" t="s">
        <v>279</v>
      </c>
      <c r="D6573" s="220" t="s">
        <v>127</v>
      </c>
      <c r="E6573" s="165">
        <v>80</v>
      </c>
    </row>
    <row r="6574" spans="1:5" x14ac:dyDescent="0.25">
      <c r="A6574" s="216" t="s">
        <v>8822</v>
      </c>
      <c r="B6574" s="218" t="s">
        <v>48</v>
      </c>
      <c r="C6574" s="220" t="s">
        <v>8823</v>
      </c>
      <c r="D6574" s="220" t="s">
        <v>188</v>
      </c>
      <c r="E6574" s="165">
        <v>80</v>
      </c>
    </row>
    <row r="6575" spans="1:5" x14ac:dyDescent="0.25">
      <c r="A6575" s="216" t="s">
        <v>9102</v>
      </c>
      <c r="B6575" s="218">
        <v>1</v>
      </c>
      <c r="C6575" s="220" t="s">
        <v>2423</v>
      </c>
      <c r="D6575" s="220" t="s">
        <v>188</v>
      </c>
      <c r="E6575" s="165">
        <v>80</v>
      </c>
    </row>
    <row r="6576" spans="1:5" x14ac:dyDescent="0.25">
      <c r="A6576" s="216" t="s">
        <v>8900</v>
      </c>
      <c r="B6576" s="218">
        <v>1</v>
      </c>
      <c r="C6576" s="220" t="s">
        <v>1882</v>
      </c>
      <c r="D6576" s="220" t="s">
        <v>1200</v>
      </c>
      <c r="E6576" s="165">
        <v>80</v>
      </c>
    </row>
    <row r="6577" spans="1:5" x14ac:dyDescent="0.25">
      <c r="A6577" s="216" t="s">
        <v>8936</v>
      </c>
      <c r="B6577" s="218">
        <v>1</v>
      </c>
      <c r="C6577" s="220" t="s">
        <v>259</v>
      </c>
      <c r="D6577" s="220" t="s">
        <v>50</v>
      </c>
      <c r="E6577" s="165">
        <v>80</v>
      </c>
    </row>
    <row r="6578" spans="1:5" x14ac:dyDescent="0.25">
      <c r="A6578" s="216" t="s">
        <v>8903</v>
      </c>
      <c r="B6578" s="218">
        <v>1</v>
      </c>
      <c r="C6578" s="220" t="s">
        <v>5259</v>
      </c>
      <c r="D6578" s="220" t="s">
        <v>201</v>
      </c>
      <c r="E6578" s="165">
        <v>80</v>
      </c>
    </row>
    <row r="6579" spans="1:5" x14ac:dyDescent="0.25">
      <c r="A6579" s="216" t="s">
        <v>9470</v>
      </c>
      <c r="B6579" s="218" t="s">
        <v>48</v>
      </c>
      <c r="C6579" s="220" t="s">
        <v>9471</v>
      </c>
      <c r="D6579" s="220" t="s">
        <v>201</v>
      </c>
      <c r="E6579" s="165">
        <v>80</v>
      </c>
    </row>
    <row r="6580" spans="1:5" x14ac:dyDescent="0.25">
      <c r="A6580" s="216" t="s">
        <v>6808</v>
      </c>
      <c r="B6580" s="218" t="s">
        <v>48</v>
      </c>
      <c r="C6580" s="220" t="s">
        <v>6809</v>
      </c>
      <c r="D6580" s="220" t="s">
        <v>90</v>
      </c>
      <c r="E6580" s="165">
        <v>80</v>
      </c>
    </row>
    <row r="6581" spans="1:5" x14ac:dyDescent="0.25">
      <c r="A6581" s="216" t="s">
        <v>9106</v>
      </c>
      <c r="B6581" s="218" t="s">
        <v>48</v>
      </c>
      <c r="C6581" s="220" t="s">
        <v>323</v>
      </c>
      <c r="D6581" s="220" t="s">
        <v>166</v>
      </c>
      <c r="E6581" s="165">
        <v>80</v>
      </c>
    </row>
    <row r="6582" spans="1:5" x14ac:dyDescent="0.25">
      <c r="A6582" s="216" t="s">
        <v>9049</v>
      </c>
      <c r="B6582" s="218">
        <v>1</v>
      </c>
      <c r="C6582" s="220" t="s">
        <v>4294</v>
      </c>
      <c r="D6582" s="220" t="s">
        <v>63</v>
      </c>
      <c r="E6582" s="165">
        <v>80</v>
      </c>
    </row>
    <row r="6583" spans="1:5" x14ac:dyDescent="0.25">
      <c r="A6583" s="216" t="s">
        <v>11606</v>
      </c>
      <c r="B6583" s="218" t="s">
        <v>48</v>
      </c>
      <c r="C6583" s="220" t="s">
        <v>9346</v>
      </c>
      <c r="D6583" s="220" t="s">
        <v>575</v>
      </c>
      <c r="E6583" s="165">
        <v>80</v>
      </c>
    </row>
    <row r="6584" spans="1:5" x14ac:dyDescent="0.25">
      <c r="A6584" s="216" t="s">
        <v>11607</v>
      </c>
      <c r="B6584" s="218">
        <v>1</v>
      </c>
      <c r="C6584" s="220" t="s">
        <v>640</v>
      </c>
      <c r="D6584" s="220" t="s">
        <v>69</v>
      </c>
      <c r="E6584" s="165">
        <v>80</v>
      </c>
    </row>
    <row r="6585" spans="1:5" x14ac:dyDescent="0.25">
      <c r="A6585" s="216" t="s">
        <v>8144</v>
      </c>
      <c r="B6585" s="218">
        <v>1</v>
      </c>
      <c r="C6585" s="220" t="s">
        <v>2102</v>
      </c>
      <c r="D6585" s="220" t="s">
        <v>69</v>
      </c>
      <c r="E6585" s="165">
        <v>79</v>
      </c>
    </row>
    <row r="6586" spans="1:5" x14ac:dyDescent="0.25">
      <c r="A6586" s="216" t="s">
        <v>8701</v>
      </c>
      <c r="B6586" s="218">
        <v>1</v>
      </c>
      <c r="C6586" s="220" t="s">
        <v>6042</v>
      </c>
      <c r="D6586" s="220" t="s">
        <v>108</v>
      </c>
      <c r="E6586" s="165">
        <v>79</v>
      </c>
    </row>
    <row r="6587" spans="1:5" x14ac:dyDescent="0.25">
      <c r="A6587" s="216" t="s">
        <v>8649</v>
      </c>
      <c r="B6587" s="218">
        <v>1</v>
      </c>
      <c r="C6587" s="220" t="s">
        <v>8650</v>
      </c>
      <c r="D6587" s="220" t="s">
        <v>277</v>
      </c>
      <c r="E6587" s="165">
        <v>79</v>
      </c>
    </row>
    <row r="6588" spans="1:5" x14ac:dyDescent="0.25">
      <c r="A6588" s="216" t="s">
        <v>8833</v>
      </c>
      <c r="B6588" s="218" t="s">
        <v>48</v>
      </c>
      <c r="C6588" s="220" t="s">
        <v>7483</v>
      </c>
      <c r="D6588" s="220" t="s">
        <v>59</v>
      </c>
      <c r="E6588" s="165">
        <v>79</v>
      </c>
    </row>
    <row r="6589" spans="1:5" x14ac:dyDescent="0.25">
      <c r="A6589" s="216" t="s">
        <v>8821</v>
      </c>
      <c r="B6589" s="218">
        <v>1</v>
      </c>
      <c r="C6589" s="220" t="s">
        <v>2802</v>
      </c>
      <c r="D6589" s="220" t="s">
        <v>93</v>
      </c>
      <c r="E6589" s="165">
        <v>79</v>
      </c>
    </row>
    <row r="6590" spans="1:5" x14ac:dyDescent="0.25">
      <c r="A6590" s="216" t="s">
        <v>8984</v>
      </c>
      <c r="B6590" s="218">
        <v>1</v>
      </c>
      <c r="C6590" s="220" t="s">
        <v>8540</v>
      </c>
      <c r="D6590" s="220" t="s">
        <v>56</v>
      </c>
      <c r="E6590" s="165">
        <v>79</v>
      </c>
    </row>
    <row r="6591" spans="1:5" x14ac:dyDescent="0.25">
      <c r="A6591" s="216" t="s">
        <v>8653</v>
      </c>
      <c r="B6591" s="218">
        <v>1</v>
      </c>
      <c r="C6591" s="220" t="s">
        <v>1290</v>
      </c>
      <c r="D6591" s="220" t="s">
        <v>277</v>
      </c>
      <c r="E6591" s="165">
        <v>79</v>
      </c>
    </row>
    <row r="6592" spans="1:5" x14ac:dyDescent="0.25">
      <c r="A6592" s="216" t="s">
        <v>9061</v>
      </c>
      <c r="B6592" s="218">
        <v>1</v>
      </c>
      <c r="C6592" s="220" t="s">
        <v>2277</v>
      </c>
      <c r="D6592" s="220" t="s">
        <v>50</v>
      </c>
      <c r="E6592" s="165">
        <v>79</v>
      </c>
    </row>
    <row r="6593" spans="1:5" x14ac:dyDescent="0.25">
      <c r="A6593" s="216" t="s">
        <v>11608</v>
      </c>
      <c r="B6593" s="218">
        <v>1</v>
      </c>
      <c r="C6593" s="220" t="s">
        <v>11609</v>
      </c>
      <c r="D6593" s="220" t="s">
        <v>222</v>
      </c>
      <c r="E6593" s="165">
        <v>79</v>
      </c>
    </row>
    <row r="6594" spans="1:5" x14ac:dyDescent="0.25">
      <c r="A6594" s="216" t="s">
        <v>8135</v>
      </c>
      <c r="B6594" s="218" t="s">
        <v>48</v>
      </c>
      <c r="C6594" s="220" t="s">
        <v>8136</v>
      </c>
      <c r="D6594" s="220" t="s">
        <v>710</v>
      </c>
      <c r="E6594" s="165">
        <v>79</v>
      </c>
    </row>
    <row r="6595" spans="1:5" x14ac:dyDescent="0.25">
      <c r="A6595" s="216" t="s">
        <v>11610</v>
      </c>
      <c r="B6595" s="218">
        <v>1</v>
      </c>
      <c r="C6595" s="220" t="s">
        <v>868</v>
      </c>
      <c r="D6595" s="220" t="s">
        <v>69</v>
      </c>
      <c r="E6595" s="165">
        <v>79</v>
      </c>
    </row>
    <row r="6596" spans="1:5" x14ac:dyDescent="0.25">
      <c r="A6596" s="216" t="s">
        <v>11611</v>
      </c>
      <c r="B6596" s="218" t="s">
        <v>48</v>
      </c>
      <c r="C6596" s="220" t="s">
        <v>4341</v>
      </c>
      <c r="D6596" s="220" t="s">
        <v>166</v>
      </c>
      <c r="E6596" s="165">
        <v>79</v>
      </c>
    </row>
    <row r="6597" spans="1:5" x14ac:dyDescent="0.25">
      <c r="A6597" s="216" t="s">
        <v>8944</v>
      </c>
      <c r="B6597" s="218">
        <v>1</v>
      </c>
      <c r="C6597" s="220" t="s">
        <v>271</v>
      </c>
      <c r="D6597" s="220" t="s">
        <v>272</v>
      </c>
      <c r="E6597" s="165">
        <v>79</v>
      </c>
    </row>
    <row r="6598" spans="1:5" x14ac:dyDescent="0.25">
      <c r="A6598" s="216" t="s">
        <v>11612</v>
      </c>
      <c r="B6598" s="218" t="s">
        <v>48</v>
      </c>
      <c r="C6598" s="220" t="s">
        <v>7478</v>
      </c>
      <c r="D6598" s="220" t="s">
        <v>53</v>
      </c>
      <c r="E6598" s="165">
        <v>78</v>
      </c>
    </row>
    <row r="6599" spans="1:5" x14ac:dyDescent="0.25">
      <c r="A6599" s="216" t="s">
        <v>9111</v>
      </c>
      <c r="B6599" s="218" t="s">
        <v>48</v>
      </c>
      <c r="C6599" s="220" t="s">
        <v>9112</v>
      </c>
      <c r="D6599" s="220" t="s">
        <v>378</v>
      </c>
      <c r="E6599" s="165">
        <v>78</v>
      </c>
    </row>
    <row r="6600" spans="1:5" x14ac:dyDescent="0.25">
      <c r="A6600" s="216" t="s">
        <v>9067</v>
      </c>
      <c r="B6600" s="218">
        <v>1</v>
      </c>
      <c r="C6600" s="220" t="s">
        <v>9068</v>
      </c>
      <c r="D6600" s="220" t="s">
        <v>63</v>
      </c>
      <c r="E6600" s="165">
        <v>78</v>
      </c>
    </row>
    <row r="6601" spans="1:5" x14ac:dyDescent="0.25">
      <c r="A6601" s="216" t="s">
        <v>8797</v>
      </c>
      <c r="B6601" s="218">
        <v>1</v>
      </c>
      <c r="C6601" s="220" t="s">
        <v>4934</v>
      </c>
      <c r="D6601" s="220" t="s">
        <v>177</v>
      </c>
      <c r="E6601" s="165">
        <v>78</v>
      </c>
    </row>
    <row r="6602" spans="1:5" x14ac:dyDescent="0.25">
      <c r="A6602" s="216" t="s">
        <v>10177</v>
      </c>
      <c r="B6602" s="218" t="s">
        <v>48</v>
      </c>
      <c r="C6602" s="220" t="s">
        <v>3703</v>
      </c>
      <c r="D6602" s="220" t="s">
        <v>585</v>
      </c>
      <c r="E6602" s="165">
        <v>78</v>
      </c>
    </row>
    <row r="6603" spans="1:5" x14ac:dyDescent="0.25">
      <c r="A6603" s="216" t="s">
        <v>8542</v>
      </c>
      <c r="B6603" s="218" t="s">
        <v>48</v>
      </c>
      <c r="C6603" s="220" t="s">
        <v>2039</v>
      </c>
      <c r="D6603" s="220" t="s">
        <v>59</v>
      </c>
      <c r="E6603" s="165">
        <v>78</v>
      </c>
    </row>
    <row r="6604" spans="1:5" x14ac:dyDescent="0.25">
      <c r="A6604" s="216" t="s">
        <v>9038</v>
      </c>
      <c r="B6604" s="218">
        <v>1</v>
      </c>
      <c r="C6604" s="220" t="s">
        <v>9039</v>
      </c>
      <c r="D6604" s="220" t="s">
        <v>78</v>
      </c>
      <c r="E6604" s="165">
        <v>78</v>
      </c>
    </row>
    <row r="6605" spans="1:5" x14ac:dyDescent="0.25">
      <c r="A6605" s="216" t="s">
        <v>9117</v>
      </c>
      <c r="B6605" s="218">
        <v>1</v>
      </c>
      <c r="C6605" s="220" t="s">
        <v>396</v>
      </c>
      <c r="D6605" s="220" t="s">
        <v>188</v>
      </c>
      <c r="E6605" s="165">
        <v>78</v>
      </c>
    </row>
    <row r="6606" spans="1:5" x14ac:dyDescent="0.25">
      <c r="A6606" s="216" t="s">
        <v>9180</v>
      </c>
      <c r="B6606" s="218" t="s">
        <v>48</v>
      </c>
      <c r="C6606" s="220" t="s">
        <v>6177</v>
      </c>
      <c r="D6606" s="220" t="s">
        <v>75</v>
      </c>
      <c r="E6606" s="165">
        <v>78</v>
      </c>
    </row>
    <row r="6607" spans="1:5" x14ac:dyDescent="0.25">
      <c r="A6607" s="216" t="s">
        <v>9073</v>
      </c>
      <c r="B6607" s="218">
        <v>1</v>
      </c>
      <c r="C6607" s="220" t="s">
        <v>2557</v>
      </c>
      <c r="D6607" s="220" t="s">
        <v>63</v>
      </c>
      <c r="E6607" s="165">
        <v>78</v>
      </c>
    </row>
    <row r="6608" spans="1:5" x14ac:dyDescent="0.25">
      <c r="A6608" s="216" t="s">
        <v>11613</v>
      </c>
      <c r="B6608" s="218">
        <v>1</v>
      </c>
      <c r="C6608" s="220" t="s">
        <v>6907</v>
      </c>
      <c r="D6608" s="220" t="s">
        <v>72</v>
      </c>
      <c r="E6608" s="165">
        <v>78</v>
      </c>
    </row>
    <row r="6609" spans="1:5" x14ac:dyDescent="0.25">
      <c r="A6609" s="216" t="s">
        <v>8896</v>
      </c>
      <c r="B6609" s="218">
        <v>1</v>
      </c>
      <c r="C6609" s="220" t="s">
        <v>4047</v>
      </c>
      <c r="D6609" s="220" t="s">
        <v>130</v>
      </c>
      <c r="E6609" s="165">
        <v>78</v>
      </c>
    </row>
    <row r="6610" spans="1:5" x14ac:dyDescent="0.25">
      <c r="A6610" s="216" t="s">
        <v>8303</v>
      </c>
      <c r="B6610" s="218" t="s">
        <v>48</v>
      </c>
      <c r="C6610" s="220" t="s">
        <v>55</v>
      </c>
      <c r="D6610" s="220" t="s">
        <v>56</v>
      </c>
      <c r="E6610" s="165">
        <v>78</v>
      </c>
    </row>
    <row r="6611" spans="1:5" x14ac:dyDescent="0.25">
      <c r="A6611" s="216" t="s">
        <v>9007</v>
      </c>
      <c r="B6611" s="218">
        <v>1</v>
      </c>
      <c r="C6611" s="220" t="s">
        <v>4830</v>
      </c>
      <c r="D6611" s="220" t="s">
        <v>69</v>
      </c>
      <c r="E6611" s="165">
        <v>78</v>
      </c>
    </row>
    <row r="6612" spans="1:5" x14ac:dyDescent="0.25">
      <c r="A6612" s="216" t="s">
        <v>5700</v>
      </c>
      <c r="B6612" s="218">
        <v>1</v>
      </c>
      <c r="C6612" s="220" t="s">
        <v>4504</v>
      </c>
      <c r="D6612" s="220" t="s">
        <v>56</v>
      </c>
      <c r="E6612" s="165">
        <v>78</v>
      </c>
    </row>
    <row r="6613" spans="1:5" x14ac:dyDescent="0.25">
      <c r="A6613" s="216" t="s">
        <v>8957</v>
      </c>
      <c r="B6613" s="218">
        <v>1</v>
      </c>
      <c r="C6613" s="220" t="s">
        <v>3296</v>
      </c>
      <c r="D6613" s="220" t="s">
        <v>277</v>
      </c>
      <c r="E6613" s="165">
        <v>78</v>
      </c>
    </row>
    <row r="6614" spans="1:5" x14ac:dyDescent="0.25">
      <c r="A6614" s="216" t="s">
        <v>9086</v>
      </c>
      <c r="B6614" s="218">
        <v>1</v>
      </c>
      <c r="C6614" s="220" t="s">
        <v>3544</v>
      </c>
      <c r="D6614" s="220" t="s">
        <v>50</v>
      </c>
      <c r="E6614" s="165">
        <v>78</v>
      </c>
    </row>
    <row r="6615" spans="1:5" x14ac:dyDescent="0.25">
      <c r="A6615" s="216" t="s">
        <v>9087</v>
      </c>
      <c r="B6615" s="218">
        <v>1</v>
      </c>
      <c r="C6615" s="220" t="s">
        <v>9088</v>
      </c>
      <c r="D6615" s="220" t="s">
        <v>63</v>
      </c>
      <c r="E6615" s="165">
        <v>78</v>
      </c>
    </row>
    <row r="6616" spans="1:5" x14ac:dyDescent="0.25">
      <c r="A6616" s="216" t="s">
        <v>9009</v>
      </c>
      <c r="B6616" s="218">
        <v>1</v>
      </c>
      <c r="C6616" s="220" t="s">
        <v>4616</v>
      </c>
      <c r="D6616" s="220" t="s">
        <v>56</v>
      </c>
      <c r="E6616" s="165">
        <v>78</v>
      </c>
    </row>
    <row r="6617" spans="1:5" x14ac:dyDescent="0.25">
      <c r="A6617" s="216" t="s">
        <v>9026</v>
      </c>
      <c r="B6617" s="218">
        <v>1</v>
      </c>
      <c r="C6617" s="220" t="s">
        <v>9027</v>
      </c>
      <c r="D6617" s="220" t="s">
        <v>66</v>
      </c>
      <c r="E6617" s="165">
        <v>78</v>
      </c>
    </row>
    <row r="6618" spans="1:5" x14ac:dyDescent="0.25">
      <c r="A6618" s="216" t="s">
        <v>9381</v>
      </c>
      <c r="B6618" s="218" t="s">
        <v>48</v>
      </c>
      <c r="C6618" s="220" t="s">
        <v>5749</v>
      </c>
      <c r="D6618" s="220" t="s">
        <v>59</v>
      </c>
      <c r="E6618" s="165">
        <v>78</v>
      </c>
    </row>
    <row r="6619" spans="1:5" x14ac:dyDescent="0.25">
      <c r="A6619" s="216" t="s">
        <v>8422</v>
      </c>
      <c r="B6619" s="218" t="s">
        <v>48</v>
      </c>
      <c r="C6619" s="220" t="s">
        <v>2417</v>
      </c>
      <c r="D6619" s="220" t="s">
        <v>53</v>
      </c>
      <c r="E6619" s="165">
        <v>78</v>
      </c>
    </row>
    <row r="6620" spans="1:5" x14ac:dyDescent="0.25">
      <c r="A6620" s="216" t="s">
        <v>8910</v>
      </c>
      <c r="B6620" s="218">
        <v>1</v>
      </c>
      <c r="C6620" s="220" t="s">
        <v>8911</v>
      </c>
      <c r="D6620" s="220" t="s">
        <v>87</v>
      </c>
      <c r="E6620" s="165">
        <v>77</v>
      </c>
    </row>
    <row r="6621" spans="1:5" x14ac:dyDescent="0.25">
      <c r="A6621" s="216" t="s">
        <v>8963</v>
      </c>
      <c r="B6621" s="218">
        <v>1</v>
      </c>
      <c r="C6621" s="220" t="s">
        <v>7203</v>
      </c>
      <c r="D6621" s="220" t="s">
        <v>78</v>
      </c>
      <c r="E6621" s="165">
        <v>77</v>
      </c>
    </row>
    <row r="6622" spans="1:5" x14ac:dyDescent="0.25">
      <c r="A6622" s="216" t="s">
        <v>11614</v>
      </c>
      <c r="B6622" s="218">
        <v>1</v>
      </c>
      <c r="C6622" s="220" t="s">
        <v>11615</v>
      </c>
      <c r="D6622" s="220" t="s">
        <v>192</v>
      </c>
      <c r="E6622" s="165">
        <v>77</v>
      </c>
    </row>
    <row r="6623" spans="1:5" x14ac:dyDescent="0.25">
      <c r="A6623" s="216" t="s">
        <v>8814</v>
      </c>
      <c r="B6623" s="218">
        <v>1</v>
      </c>
      <c r="C6623" s="220" t="s">
        <v>2505</v>
      </c>
      <c r="D6623" s="220" t="s">
        <v>575</v>
      </c>
      <c r="E6623" s="165">
        <v>77</v>
      </c>
    </row>
    <row r="6624" spans="1:5" x14ac:dyDescent="0.25">
      <c r="A6624" s="216" t="s">
        <v>9153</v>
      </c>
      <c r="B6624" s="218">
        <v>1</v>
      </c>
      <c r="C6624" s="220" t="s">
        <v>169</v>
      </c>
      <c r="D6624" s="220" t="s">
        <v>56</v>
      </c>
      <c r="E6624" s="165">
        <v>77</v>
      </c>
    </row>
    <row r="6625" spans="1:5" x14ac:dyDescent="0.25">
      <c r="A6625" s="216" t="s">
        <v>9108</v>
      </c>
      <c r="B6625" s="218" t="s">
        <v>48</v>
      </c>
      <c r="C6625" s="220" t="s">
        <v>7948</v>
      </c>
      <c r="D6625" s="220" t="s">
        <v>90</v>
      </c>
      <c r="E6625" s="165">
        <v>77</v>
      </c>
    </row>
    <row r="6626" spans="1:5" x14ac:dyDescent="0.25">
      <c r="A6626" s="216" t="s">
        <v>9013</v>
      </c>
      <c r="B6626" s="218">
        <v>1</v>
      </c>
      <c r="C6626" s="220" t="s">
        <v>6659</v>
      </c>
      <c r="D6626" s="220" t="s">
        <v>56</v>
      </c>
      <c r="E6626" s="165">
        <v>76</v>
      </c>
    </row>
    <row r="6627" spans="1:5" x14ac:dyDescent="0.25">
      <c r="A6627" s="216" t="s">
        <v>9976</v>
      </c>
      <c r="B6627" s="218" t="s">
        <v>48</v>
      </c>
      <c r="C6627" s="220" t="s">
        <v>144</v>
      </c>
      <c r="D6627" s="220" t="s">
        <v>59</v>
      </c>
      <c r="E6627" s="165">
        <v>76</v>
      </c>
    </row>
    <row r="6628" spans="1:5" x14ac:dyDescent="0.25">
      <c r="A6628" s="216" t="s">
        <v>9339</v>
      </c>
      <c r="B6628" s="218" t="s">
        <v>48</v>
      </c>
      <c r="C6628" s="220" t="s">
        <v>681</v>
      </c>
      <c r="D6628" s="220" t="s">
        <v>90</v>
      </c>
      <c r="E6628" s="165">
        <v>76</v>
      </c>
    </row>
    <row r="6629" spans="1:5" x14ac:dyDescent="0.25">
      <c r="A6629" s="216" t="s">
        <v>8980</v>
      </c>
      <c r="B6629" s="218">
        <v>1</v>
      </c>
      <c r="C6629" s="220" t="s">
        <v>8981</v>
      </c>
      <c r="D6629" s="220" t="s">
        <v>50</v>
      </c>
      <c r="E6629" s="165">
        <v>76</v>
      </c>
    </row>
    <row r="6630" spans="1:5" x14ac:dyDescent="0.25">
      <c r="A6630" s="216" t="s">
        <v>8892</v>
      </c>
      <c r="B6630" s="218">
        <v>1</v>
      </c>
      <c r="C6630" s="220" t="s">
        <v>4689</v>
      </c>
      <c r="D6630" s="220" t="s">
        <v>272</v>
      </c>
      <c r="E6630" s="165">
        <v>76</v>
      </c>
    </row>
    <row r="6631" spans="1:5" x14ac:dyDescent="0.25">
      <c r="A6631" s="216" t="s">
        <v>8596</v>
      </c>
      <c r="B6631" s="218" t="s">
        <v>48</v>
      </c>
      <c r="C6631" s="220" t="s">
        <v>8597</v>
      </c>
      <c r="D6631" s="220" t="s">
        <v>59</v>
      </c>
      <c r="E6631" s="165">
        <v>76</v>
      </c>
    </row>
    <row r="6632" spans="1:5" x14ac:dyDescent="0.25">
      <c r="A6632" s="216" t="s">
        <v>8722</v>
      </c>
      <c r="B6632" s="218">
        <v>1</v>
      </c>
      <c r="C6632" s="220" t="s">
        <v>8723</v>
      </c>
      <c r="D6632" s="220" t="s">
        <v>50</v>
      </c>
      <c r="E6632" s="165">
        <v>76</v>
      </c>
    </row>
    <row r="6633" spans="1:5" x14ac:dyDescent="0.25">
      <c r="A6633" s="216" t="s">
        <v>9464</v>
      </c>
      <c r="B6633" s="218" t="s">
        <v>48</v>
      </c>
      <c r="C6633" s="220" t="s">
        <v>9465</v>
      </c>
      <c r="D6633" s="220" t="s">
        <v>82</v>
      </c>
      <c r="E6633" s="165">
        <v>76</v>
      </c>
    </row>
    <row r="6634" spans="1:5" x14ac:dyDescent="0.25">
      <c r="A6634" s="216" t="s">
        <v>8675</v>
      </c>
      <c r="B6634" s="218">
        <v>1</v>
      </c>
      <c r="C6634" s="220" t="s">
        <v>1416</v>
      </c>
      <c r="D6634" s="220" t="s">
        <v>523</v>
      </c>
      <c r="E6634" s="165">
        <v>76</v>
      </c>
    </row>
    <row r="6635" spans="1:5" x14ac:dyDescent="0.25">
      <c r="A6635" s="216" t="s">
        <v>10725</v>
      </c>
      <c r="B6635" s="218" t="s">
        <v>48</v>
      </c>
      <c r="C6635" s="220" t="s">
        <v>11616</v>
      </c>
      <c r="D6635" s="220" t="s">
        <v>63</v>
      </c>
      <c r="E6635" s="165">
        <v>76</v>
      </c>
    </row>
    <row r="6636" spans="1:5" x14ac:dyDescent="0.25">
      <c r="A6636" s="216" t="s">
        <v>8802</v>
      </c>
      <c r="B6636" s="218">
        <v>1</v>
      </c>
      <c r="C6636" s="220" t="s">
        <v>582</v>
      </c>
      <c r="D6636" s="220" t="s">
        <v>59</v>
      </c>
      <c r="E6636" s="165">
        <v>76</v>
      </c>
    </row>
    <row r="6637" spans="1:5" x14ac:dyDescent="0.25">
      <c r="A6637" s="216" t="s">
        <v>8734</v>
      </c>
      <c r="B6637" s="218">
        <v>1</v>
      </c>
      <c r="C6637" s="220" t="s">
        <v>3137</v>
      </c>
      <c r="D6637" s="220" t="s">
        <v>50</v>
      </c>
      <c r="E6637" s="165">
        <v>76</v>
      </c>
    </row>
    <row r="6638" spans="1:5" x14ac:dyDescent="0.25">
      <c r="A6638" s="216" t="s">
        <v>8993</v>
      </c>
      <c r="B6638" s="218">
        <v>1</v>
      </c>
      <c r="C6638" s="220" t="s">
        <v>841</v>
      </c>
      <c r="D6638" s="220" t="s">
        <v>50</v>
      </c>
      <c r="E6638" s="165">
        <v>76</v>
      </c>
    </row>
    <row r="6639" spans="1:5" x14ac:dyDescent="0.25">
      <c r="A6639" s="216" t="s">
        <v>9023</v>
      </c>
      <c r="B6639" s="218">
        <v>1</v>
      </c>
      <c r="C6639" s="220" t="s">
        <v>3973</v>
      </c>
      <c r="D6639" s="220" t="s">
        <v>56</v>
      </c>
      <c r="E6639" s="165">
        <v>76</v>
      </c>
    </row>
    <row r="6640" spans="1:5" x14ac:dyDescent="0.25">
      <c r="A6640" s="216" t="s">
        <v>9155</v>
      </c>
      <c r="B6640" s="218" t="s">
        <v>48</v>
      </c>
      <c r="C6640" s="220" t="s">
        <v>5149</v>
      </c>
      <c r="D6640" s="220" t="s">
        <v>277</v>
      </c>
      <c r="E6640" s="165">
        <v>76</v>
      </c>
    </row>
    <row r="6641" spans="1:5" x14ac:dyDescent="0.25">
      <c r="A6641" s="216" t="s">
        <v>7520</v>
      </c>
      <c r="B6641" s="218" t="s">
        <v>48</v>
      </c>
      <c r="C6641" s="220" t="s">
        <v>605</v>
      </c>
      <c r="D6641" s="220" t="s">
        <v>585</v>
      </c>
      <c r="E6641" s="165">
        <v>76</v>
      </c>
    </row>
    <row r="6642" spans="1:5" x14ac:dyDescent="0.25">
      <c r="A6642" s="216" t="s">
        <v>9024</v>
      </c>
      <c r="B6642" s="218">
        <v>1</v>
      </c>
      <c r="C6642" s="220" t="s">
        <v>5582</v>
      </c>
      <c r="D6642" s="220" t="s">
        <v>56</v>
      </c>
      <c r="E6642" s="165">
        <v>76</v>
      </c>
    </row>
    <row r="6643" spans="1:5" x14ac:dyDescent="0.25">
      <c r="A6643" s="216" t="s">
        <v>8140</v>
      </c>
      <c r="B6643" s="218" t="s">
        <v>48</v>
      </c>
      <c r="C6643" s="220" t="s">
        <v>1717</v>
      </c>
      <c r="D6643" s="220" t="s">
        <v>1200</v>
      </c>
      <c r="E6643" s="165">
        <v>75</v>
      </c>
    </row>
    <row r="6644" spans="1:5" x14ac:dyDescent="0.25">
      <c r="A6644" s="216" t="s">
        <v>9014</v>
      </c>
      <c r="B6644" s="218" t="s">
        <v>48</v>
      </c>
      <c r="C6644" s="220" t="s">
        <v>2017</v>
      </c>
      <c r="D6644" s="220" t="s">
        <v>166</v>
      </c>
      <c r="E6644" s="165">
        <v>75</v>
      </c>
    </row>
    <row r="6645" spans="1:5" x14ac:dyDescent="0.25">
      <c r="A6645" s="216" t="s">
        <v>8889</v>
      </c>
      <c r="B6645" s="218" t="s">
        <v>48</v>
      </c>
      <c r="C6645" s="220" t="s">
        <v>65</v>
      </c>
      <c r="D6645" s="220" t="s">
        <v>166</v>
      </c>
      <c r="E6645" s="165">
        <v>75</v>
      </c>
    </row>
    <row r="6646" spans="1:5" x14ac:dyDescent="0.25">
      <c r="A6646" s="216" t="s">
        <v>9043</v>
      </c>
      <c r="B6646" s="218">
        <v>1</v>
      </c>
      <c r="C6646" s="220" t="s">
        <v>1418</v>
      </c>
      <c r="D6646" s="220" t="s">
        <v>188</v>
      </c>
      <c r="E6646" s="165">
        <v>75</v>
      </c>
    </row>
    <row r="6647" spans="1:5" x14ac:dyDescent="0.25">
      <c r="A6647" s="216" t="s">
        <v>8652</v>
      </c>
      <c r="B6647" s="218" t="s">
        <v>48</v>
      </c>
      <c r="C6647" s="220" t="s">
        <v>4172</v>
      </c>
      <c r="D6647" s="220" t="s">
        <v>53</v>
      </c>
      <c r="E6647" s="165">
        <v>75</v>
      </c>
    </row>
    <row r="6648" spans="1:5" x14ac:dyDescent="0.25">
      <c r="A6648" s="216" t="s">
        <v>11617</v>
      </c>
      <c r="B6648" s="218">
        <v>1</v>
      </c>
      <c r="C6648" s="220" t="s">
        <v>11618</v>
      </c>
      <c r="D6648" s="220" t="s">
        <v>59</v>
      </c>
      <c r="E6648" s="165">
        <v>75</v>
      </c>
    </row>
    <row r="6649" spans="1:5" x14ac:dyDescent="0.25">
      <c r="A6649" s="216" t="s">
        <v>9165</v>
      </c>
      <c r="B6649" s="218">
        <v>1</v>
      </c>
      <c r="C6649" s="220" t="s">
        <v>3961</v>
      </c>
      <c r="D6649" s="220" t="s">
        <v>56</v>
      </c>
      <c r="E6649" s="165">
        <v>75</v>
      </c>
    </row>
    <row r="6650" spans="1:5" x14ac:dyDescent="0.25">
      <c r="A6650" s="216" t="s">
        <v>8897</v>
      </c>
      <c r="B6650" s="218">
        <v>1</v>
      </c>
      <c r="C6650" s="220" t="s">
        <v>8898</v>
      </c>
      <c r="D6650" s="220" t="s">
        <v>93</v>
      </c>
      <c r="E6650" s="165">
        <v>75</v>
      </c>
    </row>
    <row r="6651" spans="1:5" x14ac:dyDescent="0.25">
      <c r="A6651" s="216" t="s">
        <v>9139</v>
      </c>
      <c r="B6651" s="218">
        <v>1</v>
      </c>
      <c r="C6651" s="220" t="s">
        <v>9140</v>
      </c>
      <c r="D6651" s="220" t="s">
        <v>63</v>
      </c>
      <c r="E6651" s="165">
        <v>75</v>
      </c>
    </row>
    <row r="6652" spans="1:5" x14ac:dyDescent="0.25">
      <c r="A6652" s="216" t="s">
        <v>9169</v>
      </c>
      <c r="B6652" s="218" t="s">
        <v>48</v>
      </c>
      <c r="C6652" s="220" t="s">
        <v>2265</v>
      </c>
      <c r="D6652" s="220" t="s">
        <v>56</v>
      </c>
      <c r="E6652" s="165">
        <v>75</v>
      </c>
    </row>
    <row r="6653" spans="1:5" x14ac:dyDescent="0.25">
      <c r="A6653" s="216" t="s">
        <v>10818</v>
      </c>
      <c r="B6653" s="218" t="s">
        <v>48</v>
      </c>
      <c r="C6653" s="220" t="s">
        <v>657</v>
      </c>
      <c r="D6653" s="220" t="s">
        <v>264</v>
      </c>
      <c r="E6653" s="165">
        <v>75</v>
      </c>
    </row>
    <row r="6654" spans="1:5" x14ac:dyDescent="0.25">
      <c r="A6654" s="216" t="s">
        <v>8472</v>
      </c>
      <c r="B6654" s="218" t="s">
        <v>48</v>
      </c>
      <c r="C6654" s="220" t="s">
        <v>8473</v>
      </c>
      <c r="D6654" s="220" t="s">
        <v>82</v>
      </c>
      <c r="E6654" s="165">
        <v>75</v>
      </c>
    </row>
    <row r="6655" spans="1:5" x14ac:dyDescent="0.25">
      <c r="A6655" s="216" t="s">
        <v>8908</v>
      </c>
      <c r="B6655" s="218">
        <v>1</v>
      </c>
      <c r="C6655" s="220" t="s">
        <v>4985</v>
      </c>
      <c r="D6655" s="220" t="s">
        <v>93</v>
      </c>
      <c r="E6655" s="165">
        <v>75</v>
      </c>
    </row>
    <row r="6656" spans="1:5" x14ac:dyDescent="0.25">
      <c r="A6656" s="216" t="s">
        <v>9552</v>
      </c>
      <c r="B6656" s="218" t="s">
        <v>48</v>
      </c>
      <c r="C6656" s="220" t="s">
        <v>9553</v>
      </c>
      <c r="D6656" s="220" t="s">
        <v>82</v>
      </c>
      <c r="E6656" s="165">
        <v>74</v>
      </c>
    </row>
    <row r="6657" spans="1:5" x14ac:dyDescent="0.25">
      <c r="A6657" s="216" t="s">
        <v>11619</v>
      </c>
      <c r="B6657" s="218" t="s">
        <v>48</v>
      </c>
      <c r="C6657" s="220" t="s">
        <v>1017</v>
      </c>
      <c r="D6657" s="220" t="s">
        <v>337</v>
      </c>
      <c r="E6657" s="165">
        <v>74</v>
      </c>
    </row>
    <row r="6658" spans="1:5" x14ac:dyDescent="0.25">
      <c r="A6658" s="216" t="s">
        <v>9436</v>
      </c>
      <c r="B6658" s="218" t="s">
        <v>48</v>
      </c>
      <c r="C6658" s="220" t="s">
        <v>9437</v>
      </c>
      <c r="D6658" s="220" t="s">
        <v>166</v>
      </c>
      <c r="E6658" s="165">
        <v>74</v>
      </c>
    </row>
    <row r="6659" spans="1:5" x14ac:dyDescent="0.25">
      <c r="A6659" s="216" t="s">
        <v>9146</v>
      </c>
      <c r="B6659" s="218">
        <v>1</v>
      </c>
      <c r="C6659" s="220" t="s">
        <v>1111</v>
      </c>
      <c r="D6659" s="220" t="s">
        <v>63</v>
      </c>
      <c r="E6659" s="165">
        <v>74</v>
      </c>
    </row>
    <row r="6660" spans="1:5" x14ac:dyDescent="0.25">
      <c r="A6660" s="216" t="s">
        <v>9070</v>
      </c>
      <c r="B6660" s="218">
        <v>1</v>
      </c>
      <c r="C6660" s="220" t="s">
        <v>121</v>
      </c>
      <c r="D6660" s="220" t="s">
        <v>56</v>
      </c>
      <c r="E6660" s="165">
        <v>74</v>
      </c>
    </row>
    <row r="6661" spans="1:5" x14ac:dyDescent="0.25">
      <c r="A6661" s="216" t="s">
        <v>8890</v>
      </c>
      <c r="B6661" s="218">
        <v>1</v>
      </c>
      <c r="C6661" s="220" t="s">
        <v>2639</v>
      </c>
      <c r="D6661" s="220" t="s">
        <v>139</v>
      </c>
      <c r="E6661" s="165">
        <v>74</v>
      </c>
    </row>
    <row r="6662" spans="1:5" x14ac:dyDescent="0.25">
      <c r="A6662" s="216" t="s">
        <v>9132</v>
      </c>
      <c r="B6662" s="218">
        <v>1</v>
      </c>
      <c r="C6662" s="220" t="s">
        <v>9133</v>
      </c>
      <c r="D6662" s="220" t="s">
        <v>63</v>
      </c>
      <c r="E6662" s="165">
        <v>74</v>
      </c>
    </row>
    <row r="6663" spans="1:5" x14ac:dyDescent="0.25">
      <c r="A6663" s="216" t="s">
        <v>9076</v>
      </c>
      <c r="B6663" s="218">
        <v>1</v>
      </c>
      <c r="C6663" s="220" t="s">
        <v>1991</v>
      </c>
      <c r="D6663" s="220" t="s">
        <v>78</v>
      </c>
      <c r="E6663" s="165">
        <v>74</v>
      </c>
    </row>
    <row r="6664" spans="1:5" x14ac:dyDescent="0.25">
      <c r="A6664" s="216" t="s">
        <v>8598</v>
      </c>
      <c r="B6664" s="218" t="s">
        <v>48</v>
      </c>
      <c r="C6664" s="220" t="s">
        <v>3201</v>
      </c>
      <c r="D6664" s="220" t="s">
        <v>75</v>
      </c>
      <c r="E6664" s="165">
        <v>74</v>
      </c>
    </row>
    <row r="6665" spans="1:5" x14ac:dyDescent="0.25">
      <c r="A6665" s="216" t="s">
        <v>8599</v>
      </c>
      <c r="B6665" s="218" t="s">
        <v>48</v>
      </c>
      <c r="C6665" s="220" t="s">
        <v>8600</v>
      </c>
      <c r="D6665" s="220" t="s">
        <v>82</v>
      </c>
      <c r="E6665" s="165">
        <v>74</v>
      </c>
    </row>
    <row r="6666" spans="1:5" x14ac:dyDescent="0.25">
      <c r="A6666" s="216" t="s">
        <v>9081</v>
      </c>
      <c r="B6666" s="218">
        <v>1</v>
      </c>
      <c r="C6666" s="220" t="s">
        <v>9082</v>
      </c>
      <c r="D6666" s="220" t="s">
        <v>192</v>
      </c>
      <c r="E6666" s="165">
        <v>74</v>
      </c>
    </row>
    <row r="6667" spans="1:5" x14ac:dyDescent="0.25">
      <c r="A6667" s="216" t="s">
        <v>8991</v>
      </c>
      <c r="B6667" s="218">
        <v>1</v>
      </c>
      <c r="C6667" s="220" t="s">
        <v>8992</v>
      </c>
      <c r="D6667" s="220" t="s">
        <v>93</v>
      </c>
      <c r="E6667" s="165">
        <v>74</v>
      </c>
    </row>
    <row r="6668" spans="1:5" x14ac:dyDescent="0.25">
      <c r="A6668" s="216" t="s">
        <v>3104</v>
      </c>
      <c r="B6668" s="218" t="s">
        <v>48</v>
      </c>
      <c r="C6668" s="220" t="s">
        <v>962</v>
      </c>
      <c r="D6668" s="220" t="s">
        <v>93</v>
      </c>
      <c r="E6668" s="165">
        <v>74</v>
      </c>
    </row>
    <row r="6669" spans="1:5" x14ac:dyDescent="0.25">
      <c r="A6669" s="216" t="s">
        <v>9156</v>
      </c>
      <c r="B6669" s="218">
        <v>1</v>
      </c>
      <c r="C6669" s="220" t="s">
        <v>1094</v>
      </c>
      <c r="D6669" s="220" t="s">
        <v>63</v>
      </c>
      <c r="E6669" s="165">
        <v>74</v>
      </c>
    </row>
    <row r="6670" spans="1:5" x14ac:dyDescent="0.25">
      <c r="A6670" s="216" t="s">
        <v>11620</v>
      </c>
      <c r="B6670" s="218" t="s">
        <v>48</v>
      </c>
      <c r="C6670" s="220" t="s">
        <v>11153</v>
      </c>
      <c r="D6670" s="220" t="s">
        <v>108</v>
      </c>
      <c r="E6670" s="165">
        <v>74</v>
      </c>
    </row>
    <row r="6671" spans="1:5" x14ac:dyDescent="0.25">
      <c r="A6671" s="216" t="s">
        <v>9325</v>
      </c>
      <c r="B6671" s="218" t="s">
        <v>48</v>
      </c>
      <c r="C6671" s="220" t="s">
        <v>1705</v>
      </c>
      <c r="D6671" s="220" t="s">
        <v>166</v>
      </c>
      <c r="E6671" s="165">
        <v>73</v>
      </c>
    </row>
    <row r="6672" spans="1:5" x14ac:dyDescent="0.25">
      <c r="A6672" s="216" t="s">
        <v>7803</v>
      </c>
      <c r="B6672" s="218" t="s">
        <v>48</v>
      </c>
      <c r="C6672" s="220" t="s">
        <v>4162</v>
      </c>
      <c r="D6672" s="220" t="s">
        <v>53</v>
      </c>
      <c r="E6672" s="165">
        <v>73</v>
      </c>
    </row>
    <row r="6673" spans="1:5" x14ac:dyDescent="0.25">
      <c r="A6673" s="216" t="s">
        <v>8874</v>
      </c>
      <c r="B6673" s="218" t="s">
        <v>48</v>
      </c>
      <c r="C6673" s="220" t="s">
        <v>5319</v>
      </c>
      <c r="D6673" s="220" t="s">
        <v>59</v>
      </c>
      <c r="E6673" s="165">
        <v>73</v>
      </c>
    </row>
    <row r="6674" spans="1:5" x14ac:dyDescent="0.25">
      <c r="A6674" s="216" t="s">
        <v>8968</v>
      </c>
      <c r="B6674" s="218">
        <v>1</v>
      </c>
      <c r="C6674" s="220" t="s">
        <v>8969</v>
      </c>
      <c r="D6674" s="220" t="s">
        <v>87</v>
      </c>
      <c r="E6674" s="165">
        <v>73</v>
      </c>
    </row>
    <row r="6675" spans="1:5" x14ac:dyDescent="0.25">
      <c r="A6675" s="216" t="s">
        <v>9172</v>
      </c>
      <c r="B6675" s="218">
        <v>1</v>
      </c>
      <c r="C6675" s="220" t="s">
        <v>9173</v>
      </c>
      <c r="D6675" s="220" t="s">
        <v>63</v>
      </c>
      <c r="E6675" s="165">
        <v>73</v>
      </c>
    </row>
    <row r="6676" spans="1:5" x14ac:dyDescent="0.25">
      <c r="A6676" s="216" t="s">
        <v>9109</v>
      </c>
      <c r="B6676" s="218">
        <v>1</v>
      </c>
      <c r="C6676" s="220" t="s">
        <v>9110</v>
      </c>
      <c r="D6676" s="220" t="s">
        <v>98</v>
      </c>
      <c r="E6676" s="165">
        <v>72</v>
      </c>
    </row>
    <row r="6677" spans="1:5" x14ac:dyDescent="0.25">
      <c r="A6677" s="216" t="s">
        <v>9097</v>
      </c>
      <c r="B6677" s="218">
        <v>1</v>
      </c>
      <c r="C6677" s="220" t="s">
        <v>2834</v>
      </c>
      <c r="D6677" s="220" t="s">
        <v>56</v>
      </c>
      <c r="E6677" s="165">
        <v>72</v>
      </c>
    </row>
    <row r="6678" spans="1:5" x14ac:dyDescent="0.25">
      <c r="A6678" s="216" t="s">
        <v>8560</v>
      </c>
      <c r="B6678" s="218" t="s">
        <v>48</v>
      </c>
      <c r="C6678" s="220" t="s">
        <v>665</v>
      </c>
      <c r="D6678" s="220" t="s">
        <v>378</v>
      </c>
      <c r="E6678" s="165">
        <v>72</v>
      </c>
    </row>
    <row r="6679" spans="1:5" x14ac:dyDescent="0.25">
      <c r="A6679" s="216" t="s">
        <v>9986</v>
      </c>
      <c r="B6679" s="218" t="s">
        <v>48</v>
      </c>
      <c r="C6679" s="220" t="s">
        <v>4444</v>
      </c>
      <c r="D6679" s="220" t="s">
        <v>56</v>
      </c>
      <c r="E6679" s="165">
        <v>72</v>
      </c>
    </row>
    <row r="6680" spans="1:5" x14ac:dyDescent="0.25">
      <c r="A6680" s="216" t="s">
        <v>9015</v>
      </c>
      <c r="B6680" s="218">
        <v>1</v>
      </c>
      <c r="C6680" s="220" t="s">
        <v>527</v>
      </c>
      <c r="D6680" s="220" t="s">
        <v>69</v>
      </c>
      <c r="E6680" s="165">
        <v>72</v>
      </c>
    </row>
    <row r="6681" spans="1:5" x14ac:dyDescent="0.25">
      <c r="A6681" s="216" t="s">
        <v>9115</v>
      </c>
      <c r="B6681" s="218">
        <v>1</v>
      </c>
      <c r="C6681" s="220" t="s">
        <v>2660</v>
      </c>
      <c r="D6681" s="220" t="s">
        <v>98</v>
      </c>
      <c r="E6681" s="165">
        <v>72</v>
      </c>
    </row>
    <row r="6682" spans="1:5" x14ac:dyDescent="0.25">
      <c r="A6682" s="216" t="s">
        <v>9040</v>
      </c>
      <c r="B6682" s="218">
        <v>1</v>
      </c>
      <c r="C6682" s="220" t="s">
        <v>9041</v>
      </c>
      <c r="D6682" s="220" t="s">
        <v>348</v>
      </c>
      <c r="E6682" s="165">
        <v>72</v>
      </c>
    </row>
    <row r="6683" spans="1:5" x14ac:dyDescent="0.25">
      <c r="A6683" s="216" t="s">
        <v>11621</v>
      </c>
      <c r="B6683" s="218" t="s">
        <v>48</v>
      </c>
      <c r="C6683" s="220" t="s">
        <v>6935</v>
      </c>
      <c r="D6683" s="220" t="s">
        <v>90</v>
      </c>
      <c r="E6683" s="165">
        <v>72</v>
      </c>
    </row>
    <row r="6684" spans="1:5" x14ac:dyDescent="0.25">
      <c r="A6684" s="216" t="s">
        <v>9098</v>
      </c>
      <c r="B6684" s="218">
        <v>1</v>
      </c>
      <c r="C6684" s="220" t="s">
        <v>9099</v>
      </c>
      <c r="D6684" s="220" t="s">
        <v>56</v>
      </c>
      <c r="E6684" s="165">
        <v>72</v>
      </c>
    </row>
    <row r="6685" spans="1:5" x14ac:dyDescent="0.25">
      <c r="A6685" s="216" t="s">
        <v>9521</v>
      </c>
      <c r="B6685" s="218" t="s">
        <v>48</v>
      </c>
      <c r="C6685" s="220" t="s">
        <v>9522</v>
      </c>
      <c r="D6685" s="220" t="s">
        <v>90</v>
      </c>
      <c r="E6685" s="165">
        <v>72</v>
      </c>
    </row>
    <row r="6686" spans="1:5" x14ac:dyDescent="0.25">
      <c r="A6686" s="216" t="s">
        <v>7393</v>
      </c>
      <c r="B6686" s="218" t="s">
        <v>48</v>
      </c>
      <c r="C6686" s="220" t="s">
        <v>6755</v>
      </c>
      <c r="D6686" s="220" t="s">
        <v>59</v>
      </c>
      <c r="E6686" s="165">
        <v>72</v>
      </c>
    </row>
    <row r="6687" spans="1:5" x14ac:dyDescent="0.25">
      <c r="A6687" s="216" t="s">
        <v>9008</v>
      </c>
      <c r="B6687" s="218">
        <v>1</v>
      </c>
      <c r="C6687" s="220" t="s">
        <v>86</v>
      </c>
      <c r="D6687" s="220" t="s">
        <v>87</v>
      </c>
      <c r="E6687" s="165">
        <v>72</v>
      </c>
    </row>
    <row r="6688" spans="1:5" x14ac:dyDescent="0.25">
      <c r="A6688" s="216" t="s">
        <v>7073</v>
      </c>
      <c r="B6688" s="218">
        <v>1</v>
      </c>
      <c r="C6688" s="220" t="s">
        <v>640</v>
      </c>
      <c r="D6688" s="220" t="s">
        <v>69</v>
      </c>
      <c r="E6688" s="165">
        <v>72</v>
      </c>
    </row>
    <row r="6689" spans="1:5" x14ac:dyDescent="0.25">
      <c r="A6689" s="216" t="s">
        <v>9025</v>
      </c>
      <c r="B6689" s="218">
        <v>1</v>
      </c>
      <c r="C6689" s="220" t="s">
        <v>988</v>
      </c>
      <c r="D6689" s="220" t="s">
        <v>69</v>
      </c>
      <c r="E6689" s="165">
        <v>72</v>
      </c>
    </row>
    <row r="6690" spans="1:5" x14ac:dyDescent="0.25">
      <c r="A6690" s="216" t="s">
        <v>11622</v>
      </c>
      <c r="B6690" s="218" t="s">
        <v>48</v>
      </c>
      <c r="C6690" s="220" t="s">
        <v>8698</v>
      </c>
      <c r="D6690" s="220" t="s">
        <v>108</v>
      </c>
      <c r="E6690" s="165">
        <v>71</v>
      </c>
    </row>
    <row r="6691" spans="1:5" x14ac:dyDescent="0.25">
      <c r="A6691" s="216" t="s">
        <v>8632</v>
      </c>
      <c r="B6691" s="218">
        <v>1</v>
      </c>
      <c r="C6691" s="220" t="s">
        <v>640</v>
      </c>
      <c r="D6691" s="220" t="s">
        <v>69</v>
      </c>
      <c r="E6691" s="165">
        <v>71</v>
      </c>
    </row>
    <row r="6692" spans="1:5" x14ac:dyDescent="0.25">
      <c r="A6692" s="216" t="s">
        <v>8868</v>
      </c>
      <c r="B6692" s="218" t="s">
        <v>48</v>
      </c>
      <c r="C6692" s="220" t="s">
        <v>6887</v>
      </c>
      <c r="D6692" s="220" t="s">
        <v>166</v>
      </c>
      <c r="E6692" s="165">
        <v>71</v>
      </c>
    </row>
    <row r="6693" spans="1:5" x14ac:dyDescent="0.25">
      <c r="A6693" s="216" t="s">
        <v>9326</v>
      </c>
      <c r="B6693" s="218" t="s">
        <v>48</v>
      </c>
      <c r="C6693" s="220" t="s">
        <v>9327</v>
      </c>
      <c r="D6693" s="220" t="s">
        <v>59</v>
      </c>
      <c r="E6693" s="165">
        <v>71</v>
      </c>
    </row>
    <row r="6694" spans="1:5" x14ac:dyDescent="0.25">
      <c r="A6694" s="216" t="s">
        <v>6550</v>
      </c>
      <c r="B6694" s="218">
        <v>1</v>
      </c>
      <c r="C6694" s="220" t="s">
        <v>4537</v>
      </c>
      <c r="D6694" s="220" t="s">
        <v>192</v>
      </c>
      <c r="E6694" s="165">
        <v>71</v>
      </c>
    </row>
    <row r="6695" spans="1:5" x14ac:dyDescent="0.25">
      <c r="A6695" s="216" t="s">
        <v>9954</v>
      </c>
      <c r="B6695" s="218" t="s">
        <v>48</v>
      </c>
      <c r="C6695" s="220" t="s">
        <v>319</v>
      </c>
      <c r="D6695" s="220" t="s">
        <v>53</v>
      </c>
      <c r="E6695" s="165">
        <v>71</v>
      </c>
    </row>
    <row r="6696" spans="1:5" x14ac:dyDescent="0.25">
      <c r="A6696" s="216" t="s">
        <v>9239</v>
      </c>
      <c r="B6696" s="218" t="s">
        <v>48</v>
      </c>
      <c r="C6696" s="220" t="s">
        <v>4979</v>
      </c>
      <c r="D6696" s="220" t="s">
        <v>82</v>
      </c>
      <c r="E6696" s="165">
        <v>71</v>
      </c>
    </row>
    <row r="6697" spans="1:5" x14ac:dyDescent="0.25">
      <c r="A6697" s="216" t="s">
        <v>9240</v>
      </c>
      <c r="B6697" s="218" t="s">
        <v>48</v>
      </c>
      <c r="C6697" s="220" t="s">
        <v>1849</v>
      </c>
      <c r="D6697" s="220" t="s">
        <v>93</v>
      </c>
      <c r="E6697" s="165">
        <v>71</v>
      </c>
    </row>
    <row r="6698" spans="1:5" x14ac:dyDescent="0.25">
      <c r="A6698" s="216" t="s">
        <v>9077</v>
      </c>
      <c r="B6698" s="218">
        <v>1</v>
      </c>
      <c r="C6698" s="220" t="s">
        <v>9078</v>
      </c>
      <c r="D6698" s="220" t="s">
        <v>1200</v>
      </c>
      <c r="E6698" s="165">
        <v>71</v>
      </c>
    </row>
    <row r="6699" spans="1:5" x14ac:dyDescent="0.25">
      <c r="A6699" s="216" t="s">
        <v>9080</v>
      </c>
      <c r="B6699" s="218">
        <v>1</v>
      </c>
      <c r="C6699" s="220" t="s">
        <v>86</v>
      </c>
      <c r="D6699" s="220" t="s">
        <v>78</v>
      </c>
      <c r="E6699" s="165">
        <v>71</v>
      </c>
    </row>
    <row r="6700" spans="1:5" x14ac:dyDescent="0.25">
      <c r="A6700" s="216" t="s">
        <v>8656</v>
      </c>
      <c r="B6700" s="218">
        <v>1</v>
      </c>
      <c r="C6700" s="220" t="s">
        <v>8657</v>
      </c>
      <c r="D6700" s="220" t="s">
        <v>166</v>
      </c>
      <c r="E6700" s="165">
        <v>71</v>
      </c>
    </row>
    <row r="6701" spans="1:5" x14ac:dyDescent="0.25">
      <c r="A6701" s="216" t="s">
        <v>9250</v>
      </c>
      <c r="B6701" s="218">
        <v>1</v>
      </c>
      <c r="C6701" s="220" t="s">
        <v>4654</v>
      </c>
      <c r="D6701" s="220" t="s">
        <v>188</v>
      </c>
      <c r="E6701" s="165">
        <v>71</v>
      </c>
    </row>
    <row r="6702" spans="1:5" x14ac:dyDescent="0.25">
      <c r="A6702" s="216" t="s">
        <v>9170</v>
      </c>
      <c r="B6702" s="218">
        <v>1</v>
      </c>
      <c r="C6702" s="220" t="s">
        <v>5382</v>
      </c>
      <c r="D6702" s="220" t="s">
        <v>66</v>
      </c>
      <c r="E6702" s="165">
        <v>71</v>
      </c>
    </row>
    <row r="6703" spans="1:5" x14ac:dyDescent="0.25">
      <c r="A6703" s="216" t="s">
        <v>9090</v>
      </c>
      <c r="B6703" s="218">
        <v>1</v>
      </c>
      <c r="C6703" s="220" t="s">
        <v>2953</v>
      </c>
      <c r="D6703" s="220" t="s">
        <v>78</v>
      </c>
      <c r="E6703" s="165">
        <v>71</v>
      </c>
    </row>
    <row r="6704" spans="1:5" x14ac:dyDescent="0.25">
      <c r="A6704" s="216" t="s">
        <v>8970</v>
      </c>
      <c r="B6704" s="218" t="s">
        <v>48</v>
      </c>
      <c r="C6704" s="220" t="s">
        <v>8971</v>
      </c>
      <c r="D6704" s="220" t="s">
        <v>75</v>
      </c>
      <c r="E6704" s="165">
        <v>71</v>
      </c>
    </row>
    <row r="6705" spans="1:5" x14ac:dyDescent="0.25">
      <c r="A6705" s="216" t="s">
        <v>8644</v>
      </c>
      <c r="B6705" s="218">
        <v>1</v>
      </c>
      <c r="C6705" s="220" t="s">
        <v>1817</v>
      </c>
      <c r="D6705" s="220" t="s">
        <v>188</v>
      </c>
      <c r="E6705" s="165">
        <v>71</v>
      </c>
    </row>
    <row r="6706" spans="1:5" x14ac:dyDescent="0.25">
      <c r="A6706" s="216" t="s">
        <v>11623</v>
      </c>
      <c r="B6706" s="218">
        <v>1</v>
      </c>
      <c r="C6706" s="220" t="s">
        <v>10258</v>
      </c>
      <c r="D6706" s="220" t="s">
        <v>69</v>
      </c>
      <c r="E6706" s="165">
        <v>71</v>
      </c>
    </row>
    <row r="6707" spans="1:5" x14ac:dyDescent="0.25">
      <c r="A6707" s="216" t="s">
        <v>9228</v>
      </c>
      <c r="B6707" s="218">
        <v>1</v>
      </c>
      <c r="C6707" s="220" t="s">
        <v>9229</v>
      </c>
      <c r="D6707" s="220" t="s">
        <v>56</v>
      </c>
      <c r="E6707" s="165">
        <v>71</v>
      </c>
    </row>
    <row r="6708" spans="1:5" x14ac:dyDescent="0.25">
      <c r="A6708" s="216" t="s">
        <v>9142</v>
      </c>
      <c r="B6708" s="218">
        <v>1</v>
      </c>
      <c r="C6708" s="220" t="s">
        <v>9143</v>
      </c>
      <c r="D6708" s="220" t="s">
        <v>78</v>
      </c>
      <c r="E6708" s="165">
        <v>70</v>
      </c>
    </row>
    <row r="6709" spans="1:5" x14ac:dyDescent="0.25">
      <c r="A6709" s="216" t="s">
        <v>9145</v>
      </c>
      <c r="B6709" s="218">
        <v>1</v>
      </c>
      <c r="C6709" s="220" t="s">
        <v>150</v>
      </c>
      <c r="D6709" s="220" t="s">
        <v>78</v>
      </c>
      <c r="E6709" s="165">
        <v>70</v>
      </c>
    </row>
    <row r="6710" spans="1:5" x14ac:dyDescent="0.25">
      <c r="A6710" s="216" t="s">
        <v>11624</v>
      </c>
      <c r="B6710" s="218" t="s">
        <v>48</v>
      </c>
      <c r="C6710" s="220" t="s">
        <v>5849</v>
      </c>
      <c r="D6710" s="220" t="s">
        <v>105</v>
      </c>
      <c r="E6710" s="165">
        <v>70</v>
      </c>
    </row>
    <row r="6711" spans="1:5" x14ac:dyDescent="0.25">
      <c r="A6711" s="216" t="s">
        <v>9237</v>
      </c>
      <c r="B6711" s="218" t="s">
        <v>48</v>
      </c>
      <c r="C6711" s="220" t="s">
        <v>9238</v>
      </c>
      <c r="D6711" s="220" t="s">
        <v>142</v>
      </c>
      <c r="E6711" s="165">
        <v>70</v>
      </c>
    </row>
    <row r="6712" spans="1:5" x14ac:dyDescent="0.25">
      <c r="A6712" s="216" t="s">
        <v>9193</v>
      </c>
      <c r="B6712" s="218">
        <v>1</v>
      </c>
      <c r="C6712" s="220" t="s">
        <v>721</v>
      </c>
      <c r="D6712" s="220" t="s">
        <v>78</v>
      </c>
      <c r="E6712" s="165">
        <v>70</v>
      </c>
    </row>
    <row r="6713" spans="1:5" x14ac:dyDescent="0.25">
      <c r="A6713" s="216" t="s">
        <v>9272</v>
      </c>
      <c r="B6713" s="218" t="s">
        <v>48</v>
      </c>
      <c r="C6713" s="220" t="s">
        <v>1405</v>
      </c>
      <c r="D6713" s="220" t="s">
        <v>710</v>
      </c>
      <c r="E6713" s="165">
        <v>70</v>
      </c>
    </row>
    <row r="6714" spans="1:5" x14ac:dyDescent="0.25">
      <c r="A6714" s="216" t="s">
        <v>7525</v>
      </c>
      <c r="B6714" s="218" t="s">
        <v>48</v>
      </c>
      <c r="C6714" s="220" t="s">
        <v>7526</v>
      </c>
      <c r="D6714" s="220" t="s">
        <v>802</v>
      </c>
      <c r="E6714" s="165">
        <v>70</v>
      </c>
    </row>
    <row r="6715" spans="1:5" x14ac:dyDescent="0.25">
      <c r="A6715" s="216" t="s">
        <v>8390</v>
      </c>
      <c r="B6715" s="218">
        <v>1</v>
      </c>
      <c r="C6715" s="220" t="s">
        <v>8391</v>
      </c>
      <c r="D6715" s="220" t="s">
        <v>142</v>
      </c>
      <c r="E6715" s="165">
        <v>70</v>
      </c>
    </row>
    <row r="6716" spans="1:5" x14ac:dyDescent="0.25">
      <c r="A6716" s="216" t="s">
        <v>8901</v>
      </c>
      <c r="B6716" s="218">
        <v>1</v>
      </c>
      <c r="C6716" s="220" t="s">
        <v>2856</v>
      </c>
      <c r="D6716" s="220" t="s">
        <v>486</v>
      </c>
      <c r="E6716" s="165">
        <v>70</v>
      </c>
    </row>
    <row r="6717" spans="1:5" x14ac:dyDescent="0.25">
      <c r="A6717" s="216" t="s">
        <v>11625</v>
      </c>
      <c r="B6717" s="218">
        <v>1</v>
      </c>
      <c r="C6717" s="220" t="s">
        <v>8521</v>
      </c>
      <c r="D6717" s="220" t="s">
        <v>63</v>
      </c>
      <c r="E6717" s="165">
        <v>70</v>
      </c>
    </row>
    <row r="6718" spans="1:5" x14ac:dyDescent="0.25">
      <c r="A6718" s="216" t="s">
        <v>8462</v>
      </c>
      <c r="B6718" s="218" t="s">
        <v>48</v>
      </c>
      <c r="C6718" s="220" t="s">
        <v>8463</v>
      </c>
      <c r="D6718" s="220" t="s">
        <v>59</v>
      </c>
      <c r="E6718" s="165">
        <v>70</v>
      </c>
    </row>
    <row r="6719" spans="1:5" x14ac:dyDescent="0.25">
      <c r="A6719" s="216" t="s">
        <v>6481</v>
      </c>
      <c r="B6719" s="218">
        <v>1</v>
      </c>
      <c r="C6719" s="220" t="s">
        <v>289</v>
      </c>
      <c r="D6719" s="220" t="s">
        <v>69</v>
      </c>
      <c r="E6719" s="165">
        <v>70</v>
      </c>
    </row>
    <row r="6720" spans="1:5" x14ac:dyDescent="0.25">
      <c r="A6720" s="216" t="s">
        <v>9252</v>
      </c>
      <c r="B6720" s="218">
        <v>1</v>
      </c>
      <c r="C6720" s="220" t="s">
        <v>2256</v>
      </c>
      <c r="D6720" s="220" t="s">
        <v>69</v>
      </c>
      <c r="E6720" s="165">
        <v>70</v>
      </c>
    </row>
    <row r="6721" spans="1:5" x14ac:dyDescent="0.25">
      <c r="A6721" s="216" t="s">
        <v>8741</v>
      </c>
      <c r="B6721" s="218" t="s">
        <v>48</v>
      </c>
      <c r="C6721" s="220" t="s">
        <v>8742</v>
      </c>
      <c r="D6721" s="220" t="s">
        <v>50</v>
      </c>
      <c r="E6721" s="165">
        <v>70</v>
      </c>
    </row>
    <row r="6722" spans="1:5" x14ac:dyDescent="0.25">
      <c r="A6722" s="216" t="s">
        <v>9266</v>
      </c>
      <c r="B6722" s="218">
        <v>1</v>
      </c>
      <c r="C6722" s="220" t="s">
        <v>9267</v>
      </c>
      <c r="D6722" s="220" t="s">
        <v>188</v>
      </c>
      <c r="E6722" s="165">
        <v>70</v>
      </c>
    </row>
    <row r="6723" spans="1:5" x14ac:dyDescent="0.25">
      <c r="A6723" s="216" t="s">
        <v>8860</v>
      </c>
      <c r="B6723" s="218">
        <v>1</v>
      </c>
      <c r="C6723" s="220" t="s">
        <v>1504</v>
      </c>
      <c r="D6723" s="220" t="s">
        <v>523</v>
      </c>
      <c r="E6723" s="165">
        <v>70</v>
      </c>
    </row>
    <row r="6724" spans="1:5" x14ac:dyDescent="0.25">
      <c r="A6724" s="216" t="s">
        <v>8881</v>
      </c>
      <c r="B6724" s="218" t="s">
        <v>48</v>
      </c>
      <c r="C6724" s="220" t="s">
        <v>213</v>
      </c>
      <c r="D6724" s="220" t="s">
        <v>75</v>
      </c>
      <c r="E6724" s="165">
        <v>70</v>
      </c>
    </row>
    <row r="6725" spans="1:5" x14ac:dyDescent="0.25">
      <c r="A6725" s="216" t="s">
        <v>8945</v>
      </c>
      <c r="B6725" s="218" t="s">
        <v>48</v>
      </c>
      <c r="C6725" s="220" t="s">
        <v>5937</v>
      </c>
      <c r="D6725" s="220" t="s">
        <v>75</v>
      </c>
      <c r="E6725" s="165">
        <v>69</v>
      </c>
    </row>
    <row r="6726" spans="1:5" x14ac:dyDescent="0.25">
      <c r="A6726" s="216" t="s">
        <v>9432</v>
      </c>
      <c r="B6726" s="218" t="s">
        <v>48</v>
      </c>
      <c r="C6726" s="220" t="s">
        <v>9433</v>
      </c>
      <c r="D6726" s="220" t="s">
        <v>166</v>
      </c>
      <c r="E6726" s="165">
        <v>69</v>
      </c>
    </row>
    <row r="6727" spans="1:5" x14ac:dyDescent="0.25">
      <c r="A6727" s="216" t="s">
        <v>6754</v>
      </c>
      <c r="B6727" s="218" t="s">
        <v>48</v>
      </c>
      <c r="C6727" s="220" t="s">
        <v>6755</v>
      </c>
      <c r="D6727" s="220" t="s">
        <v>90</v>
      </c>
      <c r="E6727" s="165">
        <v>69</v>
      </c>
    </row>
    <row r="6728" spans="1:5" x14ac:dyDescent="0.25">
      <c r="A6728" s="216" t="s">
        <v>9786</v>
      </c>
      <c r="B6728" s="218" t="s">
        <v>48</v>
      </c>
      <c r="C6728" s="220" t="s">
        <v>6613</v>
      </c>
      <c r="D6728" s="220" t="s">
        <v>166</v>
      </c>
      <c r="E6728" s="165">
        <v>69</v>
      </c>
    </row>
    <row r="6729" spans="1:5" x14ac:dyDescent="0.25">
      <c r="A6729" s="216" t="s">
        <v>9257</v>
      </c>
      <c r="B6729" s="218" t="s">
        <v>48</v>
      </c>
      <c r="C6729" s="220" t="s">
        <v>5128</v>
      </c>
      <c r="D6729" s="220" t="s">
        <v>63</v>
      </c>
      <c r="E6729" s="165">
        <v>69</v>
      </c>
    </row>
    <row r="6730" spans="1:5" x14ac:dyDescent="0.25">
      <c r="A6730" s="216" t="s">
        <v>8976</v>
      </c>
      <c r="B6730" s="218">
        <v>1</v>
      </c>
      <c r="C6730" s="220" t="s">
        <v>8977</v>
      </c>
      <c r="D6730" s="220" t="s">
        <v>139</v>
      </c>
      <c r="E6730" s="165">
        <v>69</v>
      </c>
    </row>
    <row r="6731" spans="1:5" x14ac:dyDescent="0.25">
      <c r="A6731" s="216" t="s">
        <v>9161</v>
      </c>
      <c r="B6731" s="218">
        <v>1</v>
      </c>
      <c r="C6731" s="220" t="s">
        <v>3736</v>
      </c>
      <c r="D6731" s="220" t="s">
        <v>188</v>
      </c>
      <c r="E6731" s="165">
        <v>69</v>
      </c>
    </row>
    <row r="6732" spans="1:5" x14ac:dyDescent="0.25">
      <c r="A6732" s="216" t="s">
        <v>9042</v>
      </c>
      <c r="B6732" s="218">
        <v>1</v>
      </c>
      <c r="C6732" s="220" t="s">
        <v>627</v>
      </c>
      <c r="D6732" s="220" t="s">
        <v>272</v>
      </c>
      <c r="E6732" s="165">
        <v>69</v>
      </c>
    </row>
    <row r="6733" spans="1:5" x14ac:dyDescent="0.25">
      <c r="A6733" s="216" t="s">
        <v>8682</v>
      </c>
      <c r="B6733" s="218" t="s">
        <v>48</v>
      </c>
      <c r="C6733" s="220" t="s">
        <v>313</v>
      </c>
      <c r="D6733" s="220" t="s">
        <v>90</v>
      </c>
      <c r="E6733" s="165">
        <v>69</v>
      </c>
    </row>
    <row r="6734" spans="1:5" x14ac:dyDescent="0.25">
      <c r="A6734" s="216" t="s">
        <v>9675</v>
      </c>
      <c r="B6734" s="218" t="s">
        <v>48</v>
      </c>
      <c r="C6734" s="220" t="s">
        <v>313</v>
      </c>
      <c r="D6734" s="220" t="s">
        <v>90</v>
      </c>
      <c r="E6734" s="165">
        <v>69</v>
      </c>
    </row>
    <row r="6735" spans="1:5" x14ac:dyDescent="0.25">
      <c r="A6735" s="216" t="s">
        <v>2990</v>
      </c>
      <c r="B6735" s="218">
        <v>1</v>
      </c>
      <c r="C6735" s="220" t="s">
        <v>511</v>
      </c>
      <c r="D6735" s="220" t="s">
        <v>523</v>
      </c>
      <c r="E6735" s="165">
        <v>69</v>
      </c>
    </row>
    <row r="6736" spans="1:5" x14ac:dyDescent="0.25">
      <c r="A6736" s="216" t="s">
        <v>9219</v>
      </c>
      <c r="B6736" s="218" t="s">
        <v>48</v>
      </c>
      <c r="C6736" s="220" t="s">
        <v>3652</v>
      </c>
      <c r="D6736" s="220" t="s">
        <v>63</v>
      </c>
      <c r="E6736" s="165">
        <v>69</v>
      </c>
    </row>
    <row r="6737" spans="1:5" x14ac:dyDescent="0.25">
      <c r="A6737" s="216" t="s">
        <v>6233</v>
      </c>
      <c r="B6737" s="218">
        <v>1</v>
      </c>
      <c r="C6737" s="220" t="s">
        <v>4754</v>
      </c>
      <c r="D6737" s="220" t="s">
        <v>50</v>
      </c>
      <c r="E6737" s="165">
        <v>69</v>
      </c>
    </row>
    <row r="6738" spans="1:5" x14ac:dyDescent="0.25">
      <c r="A6738" s="216" t="s">
        <v>8466</v>
      </c>
      <c r="B6738" s="218" t="s">
        <v>48</v>
      </c>
      <c r="C6738" s="220" t="s">
        <v>6611</v>
      </c>
      <c r="D6738" s="220" t="s">
        <v>66</v>
      </c>
      <c r="E6738" s="165">
        <v>69</v>
      </c>
    </row>
    <row r="6739" spans="1:5" x14ac:dyDescent="0.25">
      <c r="A6739" s="216" t="s">
        <v>9709</v>
      </c>
      <c r="B6739" s="218" t="s">
        <v>48</v>
      </c>
      <c r="C6739" s="220" t="s">
        <v>426</v>
      </c>
      <c r="D6739" s="220" t="s">
        <v>130</v>
      </c>
      <c r="E6739" s="165">
        <v>69</v>
      </c>
    </row>
    <row r="6740" spans="1:5" x14ac:dyDescent="0.25">
      <c r="A6740" s="216" t="s">
        <v>1933</v>
      </c>
      <c r="B6740" s="218" t="s">
        <v>48</v>
      </c>
      <c r="C6740" s="220" t="s">
        <v>605</v>
      </c>
      <c r="D6740" s="220" t="s">
        <v>585</v>
      </c>
      <c r="E6740" s="165">
        <v>69</v>
      </c>
    </row>
    <row r="6741" spans="1:5" x14ac:dyDescent="0.25">
      <c r="A6741" s="216" t="s">
        <v>9166</v>
      </c>
      <c r="B6741" s="218">
        <v>1</v>
      </c>
      <c r="C6741" s="220" t="s">
        <v>689</v>
      </c>
      <c r="D6741" s="220" t="s">
        <v>124</v>
      </c>
      <c r="E6741" s="165">
        <v>69</v>
      </c>
    </row>
    <row r="6742" spans="1:5" x14ac:dyDescent="0.25">
      <c r="A6742" s="216" t="s">
        <v>9167</v>
      </c>
      <c r="B6742" s="218">
        <v>1</v>
      </c>
      <c r="C6742" s="220" t="s">
        <v>2958</v>
      </c>
      <c r="D6742" s="220" t="s">
        <v>124</v>
      </c>
      <c r="E6742" s="165">
        <v>69</v>
      </c>
    </row>
    <row r="6743" spans="1:5" x14ac:dyDescent="0.25">
      <c r="A6743" s="216" t="s">
        <v>9282</v>
      </c>
      <c r="B6743" s="218">
        <v>1</v>
      </c>
      <c r="C6743" s="220" t="s">
        <v>185</v>
      </c>
      <c r="D6743" s="220" t="s">
        <v>188</v>
      </c>
      <c r="E6743" s="165">
        <v>69</v>
      </c>
    </row>
    <row r="6744" spans="1:5" x14ac:dyDescent="0.25">
      <c r="A6744" s="216" t="s">
        <v>9168</v>
      </c>
      <c r="B6744" s="218">
        <v>1</v>
      </c>
      <c r="C6744" s="220" t="s">
        <v>483</v>
      </c>
      <c r="D6744" s="220" t="s">
        <v>56</v>
      </c>
      <c r="E6744" s="165">
        <v>69</v>
      </c>
    </row>
    <row r="6745" spans="1:5" x14ac:dyDescent="0.25">
      <c r="A6745" s="216" t="s">
        <v>8374</v>
      </c>
      <c r="B6745" s="218" t="s">
        <v>48</v>
      </c>
      <c r="C6745" s="220" t="s">
        <v>7239</v>
      </c>
      <c r="D6745" s="220" t="s">
        <v>166</v>
      </c>
      <c r="E6745" s="165">
        <v>69</v>
      </c>
    </row>
    <row r="6746" spans="1:5" x14ac:dyDescent="0.25">
      <c r="A6746" s="216" t="s">
        <v>9314</v>
      </c>
      <c r="B6746" s="218" t="s">
        <v>48</v>
      </c>
      <c r="C6746" s="220" t="s">
        <v>7621</v>
      </c>
      <c r="D6746" s="220" t="s">
        <v>53</v>
      </c>
      <c r="E6746" s="165">
        <v>69</v>
      </c>
    </row>
    <row r="6747" spans="1:5" x14ac:dyDescent="0.25">
      <c r="A6747" s="216" t="s">
        <v>8923</v>
      </c>
      <c r="B6747" s="218">
        <v>1</v>
      </c>
      <c r="C6747" s="220" t="s">
        <v>1429</v>
      </c>
      <c r="D6747" s="220" t="s">
        <v>264</v>
      </c>
      <c r="E6747" s="165">
        <v>69</v>
      </c>
    </row>
    <row r="6748" spans="1:5" x14ac:dyDescent="0.25">
      <c r="A6748" s="216" t="s">
        <v>9198</v>
      </c>
      <c r="B6748" s="218">
        <v>1</v>
      </c>
      <c r="C6748" s="220" t="s">
        <v>7493</v>
      </c>
      <c r="D6748" s="220" t="s">
        <v>66</v>
      </c>
      <c r="E6748" s="165">
        <v>69</v>
      </c>
    </row>
    <row r="6749" spans="1:5" x14ac:dyDescent="0.25">
      <c r="A6749" s="216" t="s">
        <v>9189</v>
      </c>
      <c r="B6749" s="218">
        <v>1</v>
      </c>
      <c r="C6749" s="220" t="s">
        <v>1994</v>
      </c>
      <c r="D6749" s="220" t="s">
        <v>56</v>
      </c>
      <c r="E6749" s="165">
        <v>69</v>
      </c>
    </row>
    <row r="6750" spans="1:5" x14ac:dyDescent="0.25">
      <c r="A6750" s="216" t="s">
        <v>9702</v>
      </c>
      <c r="B6750" s="218" t="s">
        <v>48</v>
      </c>
      <c r="C6750" s="220" t="s">
        <v>2559</v>
      </c>
      <c r="D6750" s="220" t="s">
        <v>98</v>
      </c>
      <c r="E6750" s="165">
        <v>68</v>
      </c>
    </row>
    <row r="6751" spans="1:5" x14ac:dyDescent="0.25">
      <c r="A6751" s="216" t="s">
        <v>7298</v>
      </c>
      <c r="B6751" s="218" t="s">
        <v>48</v>
      </c>
      <c r="C6751" s="220" t="s">
        <v>7299</v>
      </c>
      <c r="D6751" s="220" t="s">
        <v>710</v>
      </c>
      <c r="E6751" s="165">
        <v>68</v>
      </c>
    </row>
    <row r="6752" spans="1:5" x14ac:dyDescent="0.25">
      <c r="A6752" s="216" t="s">
        <v>9125</v>
      </c>
      <c r="B6752" s="218">
        <v>1</v>
      </c>
      <c r="C6752" s="220" t="s">
        <v>3520</v>
      </c>
      <c r="D6752" s="220" t="s">
        <v>201</v>
      </c>
      <c r="E6752" s="165">
        <v>68</v>
      </c>
    </row>
    <row r="6753" spans="1:5" x14ac:dyDescent="0.25">
      <c r="A6753" s="216" t="s">
        <v>7143</v>
      </c>
      <c r="B6753" s="218">
        <v>1</v>
      </c>
      <c r="C6753" s="220" t="s">
        <v>7144</v>
      </c>
      <c r="D6753" s="220" t="s">
        <v>93</v>
      </c>
      <c r="E6753" s="165">
        <v>68</v>
      </c>
    </row>
    <row r="6754" spans="1:5" x14ac:dyDescent="0.25">
      <c r="A6754" s="216" t="s">
        <v>9647</v>
      </c>
      <c r="B6754" s="218" t="s">
        <v>48</v>
      </c>
      <c r="C6754" s="220" t="s">
        <v>1130</v>
      </c>
      <c r="D6754" s="220" t="s">
        <v>93</v>
      </c>
      <c r="E6754" s="165">
        <v>68</v>
      </c>
    </row>
    <row r="6755" spans="1:5" x14ac:dyDescent="0.25">
      <c r="A6755" s="216" t="s">
        <v>10308</v>
      </c>
      <c r="B6755" s="218" t="s">
        <v>48</v>
      </c>
      <c r="C6755" s="220" t="s">
        <v>4188</v>
      </c>
      <c r="D6755" s="220" t="s">
        <v>98</v>
      </c>
      <c r="E6755" s="165">
        <v>68</v>
      </c>
    </row>
    <row r="6756" spans="1:5" x14ac:dyDescent="0.25">
      <c r="A6756" s="216" t="s">
        <v>9136</v>
      </c>
      <c r="B6756" s="218">
        <v>1</v>
      </c>
      <c r="C6756" s="220" t="s">
        <v>841</v>
      </c>
      <c r="D6756" s="220" t="s">
        <v>93</v>
      </c>
      <c r="E6756" s="165">
        <v>68</v>
      </c>
    </row>
    <row r="6757" spans="1:5" x14ac:dyDescent="0.25">
      <c r="A6757" s="216" t="s">
        <v>8988</v>
      </c>
      <c r="B6757" s="218">
        <v>1</v>
      </c>
      <c r="C6757" s="220" t="s">
        <v>8989</v>
      </c>
      <c r="D6757" s="220" t="s">
        <v>142</v>
      </c>
      <c r="E6757" s="165">
        <v>68</v>
      </c>
    </row>
    <row r="6758" spans="1:5" x14ac:dyDescent="0.25">
      <c r="A6758" s="216" t="s">
        <v>9868</v>
      </c>
      <c r="B6758" s="218" t="s">
        <v>48</v>
      </c>
      <c r="C6758" s="220" t="s">
        <v>9869</v>
      </c>
      <c r="D6758" s="220" t="s">
        <v>75</v>
      </c>
      <c r="E6758" s="165">
        <v>68</v>
      </c>
    </row>
    <row r="6759" spans="1:5" x14ac:dyDescent="0.25">
      <c r="A6759" s="216" t="s">
        <v>8659</v>
      </c>
      <c r="B6759" s="218" t="s">
        <v>48</v>
      </c>
      <c r="C6759" s="220" t="s">
        <v>8660</v>
      </c>
      <c r="D6759" s="220" t="s">
        <v>82</v>
      </c>
      <c r="E6759" s="165">
        <v>67</v>
      </c>
    </row>
    <row r="6760" spans="1:5" x14ac:dyDescent="0.25">
      <c r="A6760" s="216" t="s">
        <v>8999</v>
      </c>
      <c r="B6760" s="218" t="s">
        <v>48</v>
      </c>
      <c r="C6760" s="220" t="s">
        <v>58</v>
      </c>
      <c r="D6760" s="220" t="s">
        <v>59</v>
      </c>
      <c r="E6760" s="165">
        <v>67</v>
      </c>
    </row>
    <row r="6761" spans="1:5" x14ac:dyDescent="0.25">
      <c r="A6761" s="216" t="s">
        <v>9357</v>
      </c>
      <c r="B6761" s="218">
        <v>1</v>
      </c>
      <c r="C6761" s="220" t="s">
        <v>9358</v>
      </c>
      <c r="D6761" s="220" t="s">
        <v>118</v>
      </c>
      <c r="E6761" s="165">
        <v>67</v>
      </c>
    </row>
    <row r="6762" spans="1:5" x14ac:dyDescent="0.25">
      <c r="A6762" s="216" t="s">
        <v>9177</v>
      </c>
      <c r="B6762" s="218">
        <v>1</v>
      </c>
      <c r="C6762" s="220" t="s">
        <v>8316</v>
      </c>
      <c r="D6762" s="220" t="s">
        <v>272</v>
      </c>
      <c r="E6762" s="165">
        <v>67</v>
      </c>
    </row>
    <row r="6763" spans="1:5" x14ac:dyDescent="0.25">
      <c r="A6763" s="216" t="s">
        <v>6728</v>
      </c>
      <c r="B6763" s="218">
        <v>1</v>
      </c>
      <c r="C6763" s="220" t="s">
        <v>1991</v>
      </c>
      <c r="D6763" s="220" t="s">
        <v>78</v>
      </c>
      <c r="E6763" s="165">
        <v>67</v>
      </c>
    </row>
    <row r="6764" spans="1:5" x14ac:dyDescent="0.25">
      <c r="A6764" s="216" t="s">
        <v>11626</v>
      </c>
      <c r="B6764" s="218">
        <v>1</v>
      </c>
      <c r="C6764" s="220" t="s">
        <v>727</v>
      </c>
      <c r="D6764" s="220" t="s">
        <v>628</v>
      </c>
      <c r="E6764" s="165">
        <v>67</v>
      </c>
    </row>
    <row r="6765" spans="1:5" x14ac:dyDescent="0.25">
      <c r="A6765" s="216" t="s">
        <v>9302</v>
      </c>
      <c r="B6765" s="218">
        <v>1</v>
      </c>
      <c r="C6765" s="220" t="s">
        <v>9303</v>
      </c>
      <c r="D6765" s="220" t="s">
        <v>63</v>
      </c>
      <c r="E6765" s="165">
        <v>67</v>
      </c>
    </row>
    <row r="6766" spans="1:5" x14ac:dyDescent="0.25">
      <c r="A6766" s="216" t="s">
        <v>7161</v>
      </c>
      <c r="B6766" s="218">
        <v>1</v>
      </c>
      <c r="C6766" s="220" t="s">
        <v>6056</v>
      </c>
      <c r="D6766" s="220" t="s">
        <v>98</v>
      </c>
      <c r="E6766" s="165">
        <v>67</v>
      </c>
    </row>
    <row r="6767" spans="1:5" x14ac:dyDescent="0.25">
      <c r="A6767" s="216" t="s">
        <v>8954</v>
      </c>
      <c r="B6767" s="218">
        <v>1</v>
      </c>
      <c r="C6767" s="220" t="s">
        <v>622</v>
      </c>
      <c r="D6767" s="220" t="s">
        <v>124</v>
      </c>
      <c r="E6767" s="165">
        <v>67</v>
      </c>
    </row>
    <row r="6768" spans="1:5" x14ac:dyDescent="0.25">
      <c r="A6768" s="216" t="s">
        <v>9004</v>
      </c>
      <c r="B6768" s="218" t="s">
        <v>48</v>
      </c>
      <c r="C6768" s="220" t="s">
        <v>9005</v>
      </c>
      <c r="D6768" s="220" t="s">
        <v>82</v>
      </c>
      <c r="E6768" s="165">
        <v>67</v>
      </c>
    </row>
    <row r="6769" spans="1:5" x14ac:dyDescent="0.25">
      <c r="A6769" s="216" t="s">
        <v>4258</v>
      </c>
      <c r="B6769" s="218">
        <v>1</v>
      </c>
      <c r="C6769" s="220" t="s">
        <v>1113</v>
      </c>
      <c r="D6769" s="220" t="s">
        <v>50</v>
      </c>
      <c r="E6769" s="165">
        <v>67</v>
      </c>
    </row>
    <row r="6770" spans="1:5" x14ac:dyDescent="0.25">
      <c r="A6770" s="216" t="s">
        <v>9310</v>
      </c>
      <c r="B6770" s="218">
        <v>1</v>
      </c>
      <c r="C6770" s="220" t="s">
        <v>9311</v>
      </c>
      <c r="D6770" s="220" t="s">
        <v>63</v>
      </c>
      <c r="E6770" s="165">
        <v>67</v>
      </c>
    </row>
    <row r="6771" spans="1:5" x14ac:dyDescent="0.25">
      <c r="A6771" s="216" t="s">
        <v>8990</v>
      </c>
      <c r="B6771" s="218" t="s">
        <v>48</v>
      </c>
      <c r="C6771" s="220" t="s">
        <v>597</v>
      </c>
      <c r="D6771" s="220" t="s">
        <v>56</v>
      </c>
      <c r="E6771" s="165">
        <v>67</v>
      </c>
    </row>
    <row r="6772" spans="1:5" x14ac:dyDescent="0.25">
      <c r="A6772" s="216" t="s">
        <v>8643</v>
      </c>
      <c r="B6772" s="218" t="s">
        <v>48</v>
      </c>
      <c r="C6772" s="220" t="s">
        <v>313</v>
      </c>
      <c r="D6772" s="220" t="s">
        <v>90</v>
      </c>
      <c r="E6772" s="165">
        <v>67</v>
      </c>
    </row>
    <row r="6773" spans="1:5" x14ac:dyDescent="0.25">
      <c r="A6773" s="216" t="s">
        <v>9227</v>
      </c>
      <c r="B6773" s="218">
        <v>1</v>
      </c>
      <c r="C6773" s="220" t="s">
        <v>6452</v>
      </c>
      <c r="D6773" s="220" t="s">
        <v>172</v>
      </c>
      <c r="E6773" s="165">
        <v>67</v>
      </c>
    </row>
    <row r="6774" spans="1:5" x14ac:dyDescent="0.25">
      <c r="A6774" s="216" t="s">
        <v>11627</v>
      </c>
      <c r="B6774" s="218">
        <v>1</v>
      </c>
      <c r="C6774" s="220" t="s">
        <v>4830</v>
      </c>
      <c r="D6774" s="220" t="s">
        <v>69</v>
      </c>
      <c r="E6774" s="165">
        <v>67</v>
      </c>
    </row>
    <row r="6775" spans="1:5" x14ac:dyDescent="0.25">
      <c r="A6775" s="216" t="s">
        <v>11628</v>
      </c>
      <c r="B6775" s="218">
        <v>1</v>
      </c>
      <c r="C6775" s="220" t="s">
        <v>219</v>
      </c>
      <c r="D6775" s="220" t="s">
        <v>56</v>
      </c>
      <c r="E6775" s="165">
        <v>67</v>
      </c>
    </row>
    <row r="6776" spans="1:5" x14ac:dyDescent="0.25">
      <c r="A6776" s="216" t="s">
        <v>9159</v>
      </c>
      <c r="B6776" s="218" t="s">
        <v>48</v>
      </c>
      <c r="C6776" s="220" t="s">
        <v>2875</v>
      </c>
      <c r="D6776" s="220" t="s">
        <v>523</v>
      </c>
      <c r="E6776" s="165">
        <v>66</v>
      </c>
    </row>
    <row r="6777" spans="1:5" x14ac:dyDescent="0.25">
      <c r="A6777" s="216" t="s">
        <v>9191</v>
      </c>
      <c r="B6777" s="218" t="s">
        <v>48</v>
      </c>
      <c r="C6777" s="220" t="s">
        <v>9192</v>
      </c>
      <c r="D6777" s="220" t="s">
        <v>710</v>
      </c>
      <c r="E6777" s="165">
        <v>66</v>
      </c>
    </row>
    <row r="6778" spans="1:5" x14ac:dyDescent="0.25">
      <c r="A6778" s="216" t="s">
        <v>6679</v>
      </c>
      <c r="B6778" s="218" t="s">
        <v>48</v>
      </c>
      <c r="C6778" s="220" t="s">
        <v>1788</v>
      </c>
      <c r="D6778" s="220" t="s">
        <v>59</v>
      </c>
      <c r="E6778" s="165">
        <v>66</v>
      </c>
    </row>
    <row r="6779" spans="1:5" x14ac:dyDescent="0.25">
      <c r="A6779" s="216" t="s">
        <v>9516</v>
      </c>
      <c r="B6779" s="218" t="s">
        <v>48</v>
      </c>
      <c r="C6779" s="220" t="s">
        <v>5416</v>
      </c>
      <c r="D6779" s="220" t="s">
        <v>277</v>
      </c>
      <c r="E6779" s="165">
        <v>66</v>
      </c>
    </row>
    <row r="6780" spans="1:5" x14ac:dyDescent="0.25">
      <c r="A6780" s="216" t="s">
        <v>9036</v>
      </c>
      <c r="B6780" s="218">
        <v>1</v>
      </c>
      <c r="C6780" s="220" t="s">
        <v>9037</v>
      </c>
      <c r="D6780" s="220" t="s">
        <v>206</v>
      </c>
      <c r="E6780" s="165">
        <v>66</v>
      </c>
    </row>
    <row r="6781" spans="1:5" x14ac:dyDescent="0.25">
      <c r="A6781" s="216" t="s">
        <v>11629</v>
      </c>
      <c r="B6781" s="218">
        <v>1</v>
      </c>
      <c r="C6781" s="220" t="s">
        <v>11630</v>
      </c>
      <c r="D6781" s="220" t="s">
        <v>523</v>
      </c>
      <c r="E6781" s="165">
        <v>66</v>
      </c>
    </row>
    <row r="6782" spans="1:5" x14ac:dyDescent="0.25">
      <c r="A6782" s="216" t="s">
        <v>9126</v>
      </c>
      <c r="B6782" s="218" t="s">
        <v>48</v>
      </c>
      <c r="C6782" s="220" t="s">
        <v>5543</v>
      </c>
      <c r="D6782" s="220" t="s">
        <v>166</v>
      </c>
      <c r="E6782" s="165">
        <v>66</v>
      </c>
    </row>
    <row r="6783" spans="1:5" x14ac:dyDescent="0.25">
      <c r="A6783" s="216" t="s">
        <v>9539</v>
      </c>
      <c r="B6783" s="218" t="s">
        <v>48</v>
      </c>
      <c r="C6783" s="220" t="s">
        <v>9540</v>
      </c>
      <c r="D6783" s="220" t="s">
        <v>139</v>
      </c>
      <c r="E6783" s="165">
        <v>66</v>
      </c>
    </row>
    <row r="6784" spans="1:5" x14ac:dyDescent="0.25">
      <c r="A6784" s="216" t="s">
        <v>7975</v>
      </c>
      <c r="B6784" s="218" t="s">
        <v>48</v>
      </c>
      <c r="C6784" s="220" t="s">
        <v>287</v>
      </c>
      <c r="D6784" s="220" t="s">
        <v>82</v>
      </c>
      <c r="E6784" s="165">
        <v>66</v>
      </c>
    </row>
    <row r="6785" spans="1:5" x14ac:dyDescent="0.25">
      <c r="A6785" s="216" t="s">
        <v>5839</v>
      </c>
      <c r="B6785" s="218">
        <v>1</v>
      </c>
      <c r="C6785" s="220" t="s">
        <v>86</v>
      </c>
      <c r="D6785" s="220" t="s">
        <v>87</v>
      </c>
      <c r="E6785" s="165">
        <v>66</v>
      </c>
    </row>
    <row r="6786" spans="1:5" x14ac:dyDescent="0.25">
      <c r="A6786" s="216" t="s">
        <v>9312</v>
      </c>
      <c r="B6786" s="218">
        <v>1</v>
      </c>
      <c r="C6786" s="220" t="s">
        <v>61</v>
      </c>
      <c r="D6786" s="220" t="s">
        <v>56</v>
      </c>
      <c r="E6786" s="165">
        <v>66</v>
      </c>
    </row>
    <row r="6787" spans="1:5" x14ac:dyDescent="0.25">
      <c r="A6787" s="216" t="s">
        <v>9317</v>
      </c>
      <c r="B6787" s="218">
        <v>1</v>
      </c>
      <c r="C6787" s="220" t="s">
        <v>891</v>
      </c>
      <c r="D6787" s="220" t="s">
        <v>56</v>
      </c>
      <c r="E6787" s="165">
        <v>66</v>
      </c>
    </row>
    <row r="6788" spans="1:5" x14ac:dyDescent="0.25">
      <c r="A6788" s="216" t="s">
        <v>9285</v>
      </c>
      <c r="B6788" s="218">
        <v>1</v>
      </c>
      <c r="C6788" s="220" t="s">
        <v>8637</v>
      </c>
      <c r="D6788" s="220" t="s">
        <v>63</v>
      </c>
      <c r="E6788" s="165">
        <v>65</v>
      </c>
    </row>
    <row r="6789" spans="1:5" x14ac:dyDescent="0.25">
      <c r="A6789" s="216" t="s">
        <v>8561</v>
      </c>
      <c r="B6789" s="218">
        <v>1</v>
      </c>
      <c r="C6789" s="220" t="s">
        <v>1071</v>
      </c>
      <c r="D6789" s="220" t="s">
        <v>50</v>
      </c>
      <c r="E6789" s="165">
        <v>65</v>
      </c>
    </row>
    <row r="6790" spans="1:5" x14ac:dyDescent="0.25">
      <c r="A6790" s="216" t="s">
        <v>9289</v>
      </c>
      <c r="B6790" s="218" t="s">
        <v>48</v>
      </c>
      <c r="C6790" s="220" t="s">
        <v>120</v>
      </c>
      <c r="D6790" s="220" t="s">
        <v>75</v>
      </c>
      <c r="E6790" s="165">
        <v>65</v>
      </c>
    </row>
    <row r="6791" spans="1:5" x14ac:dyDescent="0.25">
      <c r="A6791" s="216" t="s">
        <v>8748</v>
      </c>
      <c r="B6791" s="218" t="s">
        <v>48</v>
      </c>
      <c r="C6791" s="220" t="s">
        <v>8749</v>
      </c>
      <c r="D6791" s="220" t="s">
        <v>59</v>
      </c>
      <c r="E6791" s="165">
        <v>65</v>
      </c>
    </row>
    <row r="6792" spans="1:5" x14ac:dyDescent="0.25">
      <c r="A6792" s="216" t="s">
        <v>9293</v>
      </c>
      <c r="B6792" s="218">
        <v>1</v>
      </c>
      <c r="C6792" s="220" t="s">
        <v>9294</v>
      </c>
      <c r="D6792" s="220" t="s">
        <v>63</v>
      </c>
      <c r="E6792" s="165">
        <v>65</v>
      </c>
    </row>
    <row r="6793" spans="1:5" x14ac:dyDescent="0.25">
      <c r="A6793" s="216" t="s">
        <v>8134</v>
      </c>
      <c r="B6793" s="218" t="s">
        <v>48</v>
      </c>
      <c r="C6793" s="220" t="s">
        <v>203</v>
      </c>
      <c r="D6793" s="220" t="s">
        <v>166</v>
      </c>
      <c r="E6793" s="165">
        <v>65</v>
      </c>
    </row>
    <row r="6794" spans="1:5" x14ac:dyDescent="0.25">
      <c r="A6794" s="216" t="s">
        <v>11631</v>
      </c>
      <c r="B6794" s="218">
        <v>1</v>
      </c>
      <c r="C6794" s="220" t="s">
        <v>11632</v>
      </c>
      <c r="D6794" s="220" t="s">
        <v>177</v>
      </c>
      <c r="E6794" s="165">
        <v>65</v>
      </c>
    </row>
    <row r="6795" spans="1:5" x14ac:dyDescent="0.25">
      <c r="A6795" s="216" t="s">
        <v>9275</v>
      </c>
      <c r="B6795" s="218">
        <v>1</v>
      </c>
      <c r="C6795" s="220" t="s">
        <v>2240</v>
      </c>
      <c r="D6795" s="220" t="s">
        <v>98</v>
      </c>
      <c r="E6795" s="165">
        <v>65</v>
      </c>
    </row>
    <row r="6796" spans="1:5" x14ac:dyDescent="0.25">
      <c r="A6796" s="216" t="s">
        <v>9410</v>
      </c>
      <c r="B6796" s="218" t="s">
        <v>48</v>
      </c>
      <c r="C6796" s="220" t="s">
        <v>2992</v>
      </c>
      <c r="D6796" s="220" t="s">
        <v>59</v>
      </c>
      <c r="E6796" s="165">
        <v>65</v>
      </c>
    </row>
    <row r="6797" spans="1:5" x14ac:dyDescent="0.25">
      <c r="A6797" s="216" t="s">
        <v>11633</v>
      </c>
      <c r="B6797" s="218">
        <v>1</v>
      </c>
      <c r="C6797" s="220" t="s">
        <v>522</v>
      </c>
      <c r="D6797" s="220" t="s">
        <v>523</v>
      </c>
      <c r="E6797" s="165">
        <v>65</v>
      </c>
    </row>
    <row r="6798" spans="1:5" x14ac:dyDescent="0.25">
      <c r="A6798" s="216" t="s">
        <v>9137</v>
      </c>
      <c r="B6798" s="218">
        <v>1</v>
      </c>
      <c r="C6798" s="220" t="s">
        <v>9138</v>
      </c>
      <c r="D6798" s="220" t="s">
        <v>272</v>
      </c>
      <c r="E6798" s="165">
        <v>65</v>
      </c>
    </row>
    <row r="6799" spans="1:5" x14ac:dyDescent="0.25">
      <c r="A6799" s="216" t="s">
        <v>4260</v>
      </c>
      <c r="B6799" s="218">
        <v>1</v>
      </c>
      <c r="C6799" s="220" t="s">
        <v>161</v>
      </c>
      <c r="D6799" s="220" t="s">
        <v>201</v>
      </c>
      <c r="E6799" s="165">
        <v>65</v>
      </c>
    </row>
    <row r="6800" spans="1:5" x14ac:dyDescent="0.25">
      <c r="A6800" s="216" t="s">
        <v>9103</v>
      </c>
      <c r="B6800" s="218">
        <v>1</v>
      </c>
      <c r="C6800" s="220" t="s">
        <v>9104</v>
      </c>
      <c r="D6800" s="220" t="s">
        <v>87</v>
      </c>
      <c r="E6800" s="165">
        <v>65</v>
      </c>
    </row>
    <row r="6801" spans="1:5" x14ac:dyDescent="0.25">
      <c r="A6801" s="216" t="s">
        <v>5024</v>
      </c>
      <c r="B6801" s="218" t="s">
        <v>48</v>
      </c>
      <c r="C6801" s="220" t="s">
        <v>5025</v>
      </c>
      <c r="D6801" s="220" t="s">
        <v>82</v>
      </c>
      <c r="E6801" s="165">
        <v>65</v>
      </c>
    </row>
    <row r="6802" spans="1:5" x14ac:dyDescent="0.25">
      <c r="A6802" s="216" t="s">
        <v>9323</v>
      </c>
      <c r="B6802" s="218">
        <v>1</v>
      </c>
      <c r="C6802" s="220" t="s">
        <v>2529</v>
      </c>
      <c r="D6802" s="220" t="s">
        <v>69</v>
      </c>
      <c r="E6802" s="165">
        <v>65</v>
      </c>
    </row>
    <row r="6803" spans="1:5" x14ac:dyDescent="0.25">
      <c r="A6803" s="216" t="s">
        <v>9253</v>
      </c>
      <c r="B6803" s="218">
        <v>1</v>
      </c>
      <c r="C6803" s="220" t="s">
        <v>9254</v>
      </c>
      <c r="D6803" s="220" t="s">
        <v>78</v>
      </c>
      <c r="E6803" s="165">
        <v>65</v>
      </c>
    </row>
    <row r="6804" spans="1:5" x14ac:dyDescent="0.25">
      <c r="A6804" s="216" t="s">
        <v>8844</v>
      </c>
      <c r="B6804" s="218" t="s">
        <v>48</v>
      </c>
      <c r="C6804" s="220" t="s">
        <v>1999</v>
      </c>
      <c r="D6804" s="220" t="s">
        <v>93</v>
      </c>
      <c r="E6804" s="165">
        <v>65</v>
      </c>
    </row>
    <row r="6805" spans="1:5" x14ac:dyDescent="0.25">
      <c r="A6805" s="216" t="s">
        <v>11634</v>
      </c>
      <c r="B6805" s="218">
        <v>1</v>
      </c>
      <c r="C6805" s="220" t="s">
        <v>11635</v>
      </c>
      <c r="D6805" s="220" t="s">
        <v>87</v>
      </c>
      <c r="E6805" s="165">
        <v>65</v>
      </c>
    </row>
    <row r="6806" spans="1:5" x14ac:dyDescent="0.25">
      <c r="A6806" s="216" t="s">
        <v>9202</v>
      </c>
      <c r="B6806" s="218">
        <v>1</v>
      </c>
      <c r="C6806" s="220" t="s">
        <v>9203</v>
      </c>
      <c r="D6806" s="220" t="s">
        <v>166</v>
      </c>
      <c r="E6806" s="165">
        <v>65</v>
      </c>
    </row>
    <row r="6807" spans="1:5" x14ac:dyDescent="0.25">
      <c r="A6807" s="216" t="s">
        <v>9860</v>
      </c>
      <c r="B6807" s="218" t="s">
        <v>48</v>
      </c>
      <c r="C6807" s="220" t="s">
        <v>743</v>
      </c>
      <c r="D6807" s="220" t="s">
        <v>277</v>
      </c>
      <c r="E6807" s="165">
        <v>65</v>
      </c>
    </row>
    <row r="6808" spans="1:5" x14ac:dyDescent="0.25">
      <c r="A6808" s="216" t="s">
        <v>7963</v>
      </c>
      <c r="B6808" s="218" t="s">
        <v>48</v>
      </c>
      <c r="C6808" s="220" t="s">
        <v>1641</v>
      </c>
      <c r="D6808" s="220" t="s">
        <v>90</v>
      </c>
      <c r="E6808" s="165">
        <v>64</v>
      </c>
    </row>
    <row r="6809" spans="1:5" x14ac:dyDescent="0.25">
      <c r="A6809" s="216" t="s">
        <v>9095</v>
      </c>
      <c r="B6809" s="218">
        <v>1</v>
      </c>
      <c r="C6809" s="220" t="s">
        <v>4220</v>
      </c>
      <c r="D6809" s="220" t="s">
        <v>348</v>
      </c>
      <c r="E6809" s="165">
        <v>64</v>
      </c>
    </row>
    <row r="6810" spans="1:5" x14ac:dyDescent="0.25">
      <c r="A6810" s="216" t="s">
        <v>9320</v>
      </c>
      <c r="B6810" s="218">
        <v>1</v>
      </c>
      <c r="C6810" s="220" t="s">
        <v>7390</v>
      </c>
      <c r="D6810" s="220" t="s">
        <v>177</v>
      </c>
      <c r="E6810" s="165">
        <v>64</v>
      </c>
    </row>
    <row r="6811" spans="1:5" x14ac:dyDescent="0.25">
      <c r="A6811" s="216" t="s">
        <v>9321</v>
      </c>
      <c r="B6811" s="218">
        <v>1</v>
      </c>
      <c r="C6811" s="220" t="s">
        <v>9322</v>
      </c>
      <c r="D6811" s="220" t="s">
        <v>59</v>
      </c>
      <c r="E6811" s="165">
        <v>64</v>
      </c>
    </row>
    <row r="6812" spans="1:5" x14ac:dyDescent="0.25">
      <c r="A6812" s="216" t="s">
        <v>9001</v>
      </c>
      <c r="B6812" s="218">
        <v>1</v>
      </c>
      <c r="C6812" s="220" t="s">
        <v>323</v>
      </c>
      <c r="D6812" s="220" t="s">
        <v>277</v>
      </c>
      <c r="E6812" s="165">
        <v>64</v>
      </c>
    </row>
    <row r="6813" spans="1:5" x14ac:dyDescent="0.25">
      <c r="A6813" s="216" t="s">
        <v>8773</v>
      </c>
      <c r="B6813" s="218" t="s">
        <v>48</v>
      </c>
      <c r="C6813" s="220" t="s">
        <v>8774</v>
      </c>
      <c r="D6813" s="220" t="s">
        <v>53</v>
      </c>
      <c r="E6813" s="165">
        <v>64</v>
      </c>
    </row>
    <row r="6814" spans="1:5" x14ac:dyDescent="0.25">
      <c r="A6814" s="216" t="s">
        <v>9340</v>
      </c>
      <c r="B6814" s="218">
        <v>1</v>
      </c>
      <c r="C6814" s="220" t="s">
        <v>652</v>
      </c>
      <c r="D6814" s="220" t="s">
        <v>188</v>
      </c>
      <c r="E6814" s="165">
        <v>64</v>
      </c>
    </row>
    <row r="6815" spans="1:5" x14ac:dyDescent="0.25">
      <c r="A6815" s="216" t="s">
        <v>9306</v>
      </c>
      <c r="B6815" s="218">
        <v>1</v>
      </c>
      <c r="C6815" s="220" t="s">
        <v>841</v>
      </c>
      <c r="D6815" s="220" t="s">
        <v>50</v>
      </c>
      <c r="E6815" s="165">
        <v>64</v>
      </c>
    </row>
    <row r="6816" spans="1:5" x14ac:dyDescent="0.25">
      <c r="A6816" s="216" t="s">
        <v>8849</v>
      </c>
      <c r="B6816" s="218">
        <v>1</v>
      </c>
      <c r="C6816" s="220" t="s">
        <v>8850</v>
      </c>
      <c r="D6816" s="220" t="s">
        <v>130</v>
      </c>
      <c r="E6816" s="165">
        <v>64</v>
      </c>
    </row>
    <row r="6817" spans="1:5" x14ac:dyDescent="0.25">
      <c r="A6817" s="216" t="s">
        <v>8433</v>
      </c>
      <c r="B6817" s="218" t="s">
        <v>48</v>
      </c>
      <c r="C6817" s="220" t="s">
        <v>1025</v>
      </c>
      <c r="D6817" s="220" t="s">
        <v>75</v>
      </c>
      <c r="E6817" s="165">
        <v>64</v>
      </c>
    </row>
    <row r="6818" spans="1:5" x14ac:dyDescent="0.25">
      <c r="A6818" s="216" t="s">
        <v>11636</v>
      </c>
      <c r="B6818" s="218" t="s">
        <v>48</v>
      </c>
      <c r="C6818" s="220" t="s">
        <v>4056</v>
      </c>
      <c r="D6818" s="220" t="s">
        <v>98</v>
      </c>
      <c r="E6818" s="165">
        <v>64</v>
      </c>
    </row>
    <row r="6819" spans="1:5" x14ac:dyDescent="0.25">
      <c r="A6819" s="216" t="s">
        <v>11637</v>
      </c>
      <c r="B6819" s="218">
        <v>1</v>
      </c>
      <c r="C6819" s="220" t="s">
        <v>11638</v>
      </c>
      <c r="D6819" s="220" t="s">
        <v>802</v>
      </c>
      <c r="E6819" s="165">
        <v>64</v>
      </c>
    </row>
    <row r="6820" spans="1:5" x14ac:dyDescent="0.25">
      <c r="A6820" s="216" t="s">
        <v>9264</v>
      </c>
      <c r="B6820" s="218">
        <v>1</v>
      </c>
      <c r="C6820" s="220" t="s">
        <v>7579</v>
      </c>
      <c r="D6820" s="220" t="s">
        <v>53</v>
      </c>
      <c r="E6820" s="165">
        <v>64</v>
      </c>
    </row>
    <row r="6821" spans="1:5" x14ac:dyDescent="0.25">
      <c r="A6821" s="216" t="s">
        <v>8278</v>
      </c>
      <c r="B6821" s="218">
        <v>1</v>
      </c>
      <c r="C6821" s="220" t="s">
        <v>2623</v>
      </c>
      <c r="D6821" s="220" t="s">
        <v>50</v>
      </c>
      <c r="E6821" s="165">
        <v>64</v>
      </c>
    </row>
    <row r="6822" spans="1:5" x14ac:dyDescent="0.25">
      <c r="A6822" s="216" t="s">
        <v>9251</v>
      </c>
      <c r="B6822" s="218">
        <v>1</v>
      </c>
      <c r="C6822" s="220" t="s">
        <v>4369</v>
      </c>
      <c r="D6822" s="220" t="s">
        <v>98</v>
      </c>
      <c r="E6822" s="165">
        <v>64</v>
      </c>
    </row>
    <row r="6823" spans="1:5" x14ac:dyDescent="0.25">
      <c r="A6823" s="216" t="s">
        <v>8904</v>
      </c>
      <c r="B6823" s="218" t="s">
        <v>48</v>
      </c>
      <c r="C6823" s="220" t="s">
        <v>8905</v>
      </c>
      <c r="D6823" s="220" t="s">
        <v>90</v>
      </c>
      <c r="E6823" s="165">
        <v>64</v>
      </c>
    </row>
    <row r="6824" spans="1:5" x14ac:dyDescent="0.25">
      <c r="A6824" s="216" t="s">
        <v>9230</v>
      </c>
      <c r="B6824" s="218">
        <v>1</v>
      </c>
      <c r="C6824" s="220" t="s">
        <v>9231</v>
      </c>
      <c r="D6824" s="220" t="s">
        <v>50</v>
      </c>
      <c r="E6824" s="165">
        <v>64</v>
      </c>
    </row>
    <row r="6825" spans="1:5" x14ac:dyDescent="0.25">
      <c r="A6825" s="216" t="s">
        <v>8099</v>
      </c>
      <c r="B6825" s="218" t="s">
        <v>48</v>
      </c>
      <c r="C6825" s="220" t="s">
        <v>2017</v>
      </c>
      <c r="D6825" s="220" t="s">
        <v>166</v>
      </c>
      <c r="E6825" s="165">
        <v>63</v>
      </c>
    </row>
    <row r="6826" spans="1:5" x14ac:dyDescent="0.25">
      <c r="A6826" s="216" t="s">
        <v>9268</v>
      </c>
      <c r="B6826" s="218">
        <v>1</v>
      </c>
      <c r="C6826" s="220" t="s">
        <v>154</v>
      </c>
      <c r="D6826" s="220" t="s">
        <v>56</v>
      </c>
      <c r="E6826" s="165">
        <v>63</v>
      </c>
    </row>
    <row r="6827" spans="1:5" x14ac:dyDescent="0.25">
      <c r="A6827" s="216" t="s">
        <v>9337</v>
      </c>
      <c r="B6827" s="218">
        <v>1</v>
      </c>
      <c r="C6827" s="220" t="s">
        <v>1345</v>
      </c>
      <c r="D6827" s="220" t="s">
        <v>177</v>
      </c>
      <c r="E6827" s="165">
        <v>63</v>
      </c>
    </row>
    <row r="6828" spans="1:5" x14ac:dyDescent="0.25">
      <c r="A6828" s="216" t="s">
        <v>9287</v>
      </c>
      <c r="B6828" s="218">
        <v>1</v>
      </c>
      <c r="C6828" s="220" t="s">
        <v>9288</v>
      </c>
      <c r="D6828" s="220" t="s">
        <v>192</v>
      </c>
      <c r="E6828" s="165">
        <v>63</v>
      </c>
    </row>
    <row r="6829" spans="1:5" x14ac:dyDescent="0.25">
      <c r="A6829" s="216" t="s">
        <v>9359</v>
      </c>
      <c r="B6829" s="218">
        <v>1</v>
      </c>
      <c r="C6829" s="220" t="s">
        <v>1164</v>
      </c>
      <c r="D6829" s="220" t="s">
        <v>188</v>
      </c>
      <c r="E6829" s="165">
        <v>63</v>
      </c>
    </row>
    <row r="6830" spans="1:5" x14ac:dyDescent="0.25">
      <c r="A6830" s="216" t="s">
        <v>1871</v>
      </c>
      <c r="B6830" s="218" t="s">
        <v>48</v>
      </c>
      <c r="C6830" s="220" t="s">
        <v>1705</v>
      </c>
      <c r="D6830" s="220" t="s">
        <v>166</v>
      </c>
      <c r="E6830" s="165">
        <v>63</v>
      </c>
    </row>
    <row r="6831" spans="1:5" x14ac:dyDescent="0.25">
      <c r="A6831" s="216" t="s">
        <v>9447</v>
      </c>
      <c r="B6831" s="218" t="s">
        <v>48</v>
      </c>
      <c r="C6831" s="220" t="s">
        <v>2167</v>
      </c>
      <c r="D6831" s="220" t="s">
        <v>90</v>
      </c>
      <c r="E6831" s="165">
        <v>63</v>
      </c>
    </row>
    <row r="6832" spans="1:5" x14ac:dyDescent="0.25">
      <c r="A6832" s="216" t="s">
        <v>9278</v>
      </c>
      <c r="B6832" s="218">
        <v>1</v>
      </c>
      <c r="C6832" s="220" t="s">
        <v>9279</v>
      </c>
      <c r="D6832" s="220" t="s">
        <v>188</v>
      </c>
      <c r="E6832" s="165">
        <v>63</v>
      </c>
    </row>
    <row r="6833" spans="1:5" x14ac:dyDescent="0.25">
      <c r="A6833" s="216" t="s">
        <v>9280</v>
      </c>
      <c r="B6833" s="218">
        <v>1</v>
      </c>
      <c r="C6833" s="220" t="s">
        <v>274</v>
      </c>
      <c r="D6833" s="220" t="s">
        <v>188</v>
      </c>
      <c r="E6833" s="165">
        <v>63</v>
      </c>
    </row>
    <row r="6834" spans="1:5" x14ac:dyDescent="0.25">
      <c r="A6834" s="216" t="s">
        <v>9196</v>
      </c>
      <c r="B6834" s="218" t="s">
        <v>48</v>
      </c>
      <c r="C6834" s="220" t="s">
        <v>6306</v>
      </c>
      <c r="D6834" s="220" t="s">
        <v>166</v>
      </c>
      <c r="E6834" s="165">
        <v>63</v>
      </c>
    </row>
    <row r="6835" spans="1:5" x14ac:dyDescent="0.25">
      <c r="A6835" s="216" t="s">
        <v>8919</v>
      </c>
      <c r="B6835" s="218" t="s">
        <v>48</v>
      </c>
      <c r="C6835" s="220" t="s">
        <v>8920</v>
      </c>
      <c r="D6835" s="220" t="s">
        <v>277</v>
      </c>
      <c r="E6835" s="165">
        <v>63</v>
      </c>
    </row>
    <row r="6836" spans="1:5" x14ac:dyDescent="0.25">
      <c r="A6836" s="216" t="s">
        <v>7771</v>
      </c>
      <c r="B6836" s="218">
        <v>1</v>
      </c>
      <c r="C6836" s="220" t="s">
        <v>2277</v>
      </c>
      <c r="D6836" s="220" t="s">
        <v>272</v>
      </c>
      <c r="E6836" s="165">
        <v>63</v>
      </c>
    </row>
    <row r="6837" spans="1:5" x14ac:dyDescent="0.25">
      <c r="A6837" s="216" t="s">
        <v>9402</v>
      </c>
      <c r="B6837" s="218" t="s">
        <v>48</v>
      </c>
      <c r="C6837" s="220" t="s">
        <v>9403</v>
      </c>
      <c r="D6837" s="220" t="s">
        <v>378</v>
      </c>
      <c r="E6837" s="165">
        <v>63</v>
      </c>
    </row>
    <row r="6838" spans="1:5" x14ac:dyDescent="0.25">
      <c r="A6838" s="216" t="s">
        <v>9050</v>
      </c>
      <c r="B6838" s="218" t="s">
        <v>48</v>
      </c>
      <c r="C6838" s="220" t="s">
        <v>3094</v>
      </c>
      <c r="D6838" s="220" t="s">
        <v>59</v>
      </c>
      <c r="E6838" s="165">
        <v>63</v>
      </c>
    </row>
    <row r="6839" spans="1:5" x14ac:dyDescent="0.25">
      <c r="A6839" s="216" t="s">
        <v>9233</v>
      </c>
      <c r="B6839" s="218">
        <v>1</v>
      </c>
      <c r="C6839" s="220" t="s">
        <v>9234</v>
      </c>
      <c r="D6839" s="220" t="s">
        <v>93</v>
      </c>
      <c r="E6839" s="165">
        <v>63</v>
      </c>
    </row>
    <row r="6840" spans="1:5" x14ac:dyDescent="0.25">
      <c r="A6840" s="216" t="s">
        <v>8493</v>
      </c>
      <c r="B6840" s="218" t="s">
        <v>48</v>
      </c>
      <c r="C6840" s="220" t="s">
        <v>1518</v>
      </c>
      <c r="D6840" s="220" t="s">
        <v>53</v>
      </c>
      <c r="E6840" s="165">
        <v>62</v>
      </c>
    </row>
    <row r="6841" spans="1:5" x14ac:dyDescent="0.25">
      <c r="A6841" s="216" t="s">
        <v>9269</v>
      </c>
      <c r="B6841" s="218">
        <v>1</v>
      </c>
      <c r="C6841" s="220" t="s">
        <v>123</v>
      </c>
      <c r="D6841" s="220" t="s">
        <v>124</v>
      </c>
      <c r="E6841" s="165">
        <v>62</v>
      </c>
    </row>
    <row r="6842" spans="1:5" x14ac:dyDescent="0.25">
      <c r="A6842" s="216" t="s">
        <v>9291</v>
      </c>
      <c r="B6842" s="218">
        <v>1</v>
      </c>
      <c r="C6842" s="220" t="s">
        <v>8353</v>
      </c>
      <c r="D6842" s="220" t="s">
        <v>188</v>
      </c>
      <c r="E6842" s="165">
        <v>62</v>
      </c>
    </row>
    <row r="6843" spans="1:5" x14ac:dyDescent="0.25">
      <c r="A6843" s="216" t="s">
        <v>8949</v>
      </c>
      <c r="B6843" s="218" t="s">
        <v>48</v>
      </c>
      <c r="C6843" s="220" t="s">
        <v>8950</v>
      </c>
      <c r="D6843" s="220" t="s">
        <v>90</v>
      </c>
      <c r="E6843" s="165">
        <v>62</v>
      </c>
    </row>
    <row r="6844" spans="1:5" x14ac:dyDescent="0.25">
      <c r="A6844" s="216" t="s">
        <v>11639</v>
      </c>
      <c r="B6844" s="218">
        <v>1</v>
      </c>
      <c r="C6844" s="220" t="s">
        <v>11640</v>
      </c>
      <c r="D6844" s="220" t="s">
        <v>127</v>
      </c>
      <c r="E6844" s="165">
        <v>62</v>
      </c>
    </row>
    <row r="6845" spans="1:5" x14ac:dyDescent="0.25">
      <c r="A6845" s="216" t="s">
        <v>9258</v>
      </c>
      <c r="B6845" s="218">
        <v>1</v>
      </c>
      <c r="C6845" s="220" t="s">
        <v>855</v>
      </c>
      <c r="D6845" s="220" t="s">
        <v>75</v>
      </c>
      <c r="E6845" s="165">
        <v>62</v>
      </c>
    </row>
    <row r="6846" spans="1:5" x14ac:dyDescent="0.25">
      <c r="A6846" s="216" t="s">
        <v>11641</v>
      </c>
      <c r="B6846" s="218">
        <v>1</v>
      </c>
      <c r="C6846" s="220" t="s">
        <v>4039</v>
      </c>
      <c r="D6846" s="220" t="s">
        <v>63</v>
      </c>
      <c r="E6846" s="165">
        <v>62</v>
      </c>
    </row>
    <row r="6847" spans="1:5" x14ac:dyDescent="0.25">
      <c r="A6847" s="216" t="s">
        <v>9411</v>
      </c>
      <c r="B6847" s="218" t="s">
        <v>48</v>
      </c>
      <c r="C6847" s="220" t="s">
        <v>9412</v>
      </c>
      <c r="D6847" s="220" t="s">
        <v>139</v>
      </c>
      <c r="E6847" s="165">
        <v>62</v>
      </c>
    </row>
    <row r="6848" spans="1:5" x14ac:dyDescent="0.25">
      <c r="A6848" s="216" t="s">
        <v>8410</v>
      </c>
      <c r="B6848" s="218" t="s">
        <v>48</v>
      </c>
      <c r="C6848" s="220" t="s">
        <v>58</v>
      </c>
      <c r="D6848" s="220" t="s">
        <v>59</v>
      </c>
      <c r="E6848" s="165">
        <v>62</v>
      </c>
    </row>
    <row r="6849" spans="1:5" x14ac:dyDescent="0.25">
      <c r="A6849" s="216" t="s">
        <v>11642</v>
      </c>
      <c r="B6849" s="218">
        <v>1</v>
      </c>
      <c r="C6849" s="220" t="s">
        <v>144</v>
      </c>
      <c r="D6849" s="220" t="s">
        <v>59</v>
      </c>
      <c r="E6849" s="165">
        <v>62</v>
      </c>
    </row>
    <row r="6850" spans="1:5" x14ac:dyDescent="0.25">
      <c r="A6850" s="216" t="s">
        <v>7780</v>
      </c>
      <c r="B6850" s="218">
        <v>1</v>
      </c>
      <c r="C6850" s="220" t="s">
        <v>7781</v>
      </c>
      <c r="D6850" s="220" t="s">
        <v>118</v>
      </c>
      <c r="E6850" s="165">
        <v>62</v>
      </c>
    </row>
    <row r="6851" spans="1:5" x14ac:dyDescent="0.25">
      <c r="A6851" s="216" t="s">
        <v>9212</v>
      </c>
      <c r="B6851" s="218">
        <v>1</v>
      </c>
      <c r="C6851" s="220" t="s">
        <v>1887</v>
      </c>
      <c r="D6851" s="220" t="s">
        <v>87</v>
      </c>
      <c r="E6851" s="165">
        <v>61</v>
      </c>
    </row>
    <row r="6852" spans="1:5" x14ac:dyDescent="0.25">
      <c r="A6852" s="216" t="s">
        <v>9355</v>
      </c>
      <c r="B6852" s="218">
        <v>1</v>
      </c>
      <c r="C6852" s="220" t="s">
        <v>9356</v>
      </c>
      <c r="D6852" s="220" t="s">
        <v>63</v>
      </c>
      <c r="E6852" s="165">
        <v>61</v>
      </c>
    </row>
    <row r="6853" spans="1:5" x14ac:dyDescent="0.25">
      <c r="A6853" s="216" t="s">
        <v>9178</v>
      </c>
      <c r="B6853" s="218">
        <v>1</v>
      </c>
      <c r="C6853" s="220" t="s">
        <v>2487</v>
      </c>
      <c r="D6853" s="220" t="s">
        <v>139</v>
      </c>
      <c r="E6853" s="165">
        <v>61</v>
      </c>
    </row>
    <row r="6854" spans="1:5" x14ac:dyDescent="0.25">
      <c r="A6854" s="216" t="s">
        <v>11643</v>
      </c>
      <c r="B6854" s="218">
        <v>1</v>
      </c>
      <c r="C6854" s="220" t="s">
        <v>11644</v>
      </c>
      <c r="D6854" s="220" t="s">
        <v>50</v>
      </c>
      <c r="E6854" s="165">
        <v>61</v>
      </c>
    </row>
    <row r="6855" spans="1:5" x14ac:dyDescent="0.25">
      <c r="A6855" s="216" t="s">
        <v>7630</v>
      </c>
      <c r="B6855" s="218" t="s">
        <v>48</v>
      </c>
      <c r="C6855" s="220" t="s">
        <v>7631</v>
      </c>
      <c r="D6855" s="220" t="s">
        <v>90</v>
      </c>
      <c r="E6855" s="165">
        <v>61</v>
      </c>
    </row>
    <row r="6856" spans="1:5" x14ac:dyDescent="0.25">
      <c r="A6856" s="216" t="s">
        <v>9304</v>
      </c>
      <c r="B6856" s="218">
        <v>1</v>
      </c>
      <c r="C6856" s="220" t="s">
        <v>5111</v>
      </c>
      <c r="D6856" s="220" t="s">
        <v>98</v>
      </c>
      <c r="E6856" s="165">
        <v>61</v>
      </c>
    </row>
    <row r="6857" spans="1:5" x14ac:dyDescent="0.25">
      <c r="A6857" s="216" t="s">
        <v>11645</v>
      </c>
      <c r="B6857" s="218" t="s">
        <v>48</v>
      </c>
      <c r="C6857" s="220" t="s">
        <v>9171</v>
      </c>
      <c r="D6857" s="220" t="s">
        <v>93</v>
      </c>
      <c r="E6857" s="165">
        <v>61</v>
      </c>
    </row>
    <row r="6858" spans="1:5" x14ac:dyDescent="0.25">
      <c r="A6858" s="216" t="s">
        <v>6127</v>
      </c>
      <c r="B6858" s="218">
        <v>1</v>
      </c>
      <c r="C6858" s="220" t="s">
        <v>2136</v>
      </c>
      <c r="D6858" s="220" t="s">
        <v>236</v>
      </c>
      <c r="E6858" s="165">
        <v>61</v>
      </c>
    </row>
    <row r="6859" spans="1:5" x14ac:dyDescent="0.25">
      <c r="A6859" s="216" t="s">
        <v>9148</v>
      </c>
      <c r="B6859" s="218">
        <v>1</v>
      </c>
      <c r="C6859" s="220" t="s">
        <v>3827</v>
      </c>
      <c r="D6859" s="220" t="s">
        <v>59</v>
      </c>
      <c r="E6859" s="165">
        <v>61</v>
      </c>
    </row>
    <row r="6860" spans="1:5" x14ac:dyDescent="0.25">
      <c r="A6860" s="216" t="s">
        <v>9373</v>
      </c>
      <c r="B6860" s="218">
        <v>1</v>
      </c>
      <c r="C6860" s="220" t="s">
        <v>8036</v>
      </c>
      <c r="D6860" s="220" t="s">
        <v>56</v>
      </c>
      <c r="E6860" s="165">
        <v>61</v>
      </c>
    </row>
    <row r="6861" spans="1:5" x14ac:dyDescent="0.25">
      <c r="A6861" s="216" t="s">
        <v>9342</v>
      </c>
      <c r="B6861" s="218">
        <v>1</v>
      </c>
      <c r="C6861" s="220" t="s">
        <v>9343</v>
      </c>
      <c r="D6861" s="220" t="s">
        <v>78</v>
      </c>
      <c r="E6861" s="165">
        <v>61</v>
      </c>
    </row>
    <row r="6862" spans="1:5" x14ac:dyDescent="0.25">
      <c r="A6862" s="216" t="s">
        <v>9512</v>
      </c>
      <c r="B6862" s="218">
        <v>1</v>
      </c>
      <c r="C6862" s="220" t="s">
        <v>9513</v>
      </c>
      <c r="D6862" s="220" t="s">
        <v>264</v>
      </c>
      <c r="E6862" s="165">
        <v>61</v>
      </c>
    </row>
    <row r="6863" spans="1:5" x14ac:dyDescent="0.25">
      <c r="A6863" s="216" t="s">
        <v>9380</v>
      </c>
      <c r="B6863" s="218">
        <v>1</v>
      </c>
      <c r="C6863" s="220" t="s">
        <v>261</v>
      </c>
      <c r="D6863" s="220" t="s">
        <v>56</v>
      </c>
      <c r="E6863" s="165">
        <v>61</v>
      </c>
    </row>
    <row r="6864" spans="1:5" x14ac:dyDescent="0.25">
      <c r="A6864" s="216" t="s">
        <v>11646</v>
      </c>
      <c r="B6864" s="218">
        <v>1</v>
      </c>
      <c r="C6864" s="220" t="s">
        <v>11647</v>
      </c>
      <c r="D6864" s="220" t="s">
        <v>90</v>
      </c>
      <c r="E6864" s="165">
        <v>61</v>
      </c>
    </row>
    <row r="6865" spans="1:5" x14ac:dyDescent="0.25">
      <c r="A6865" s="216" t="s">
        <v>9174</v>
      </c>
      <c r="B6865" s="218">
        <v>1</v>
      </c>
      <c r="C6865" s="220" t="s">
        <v>283</v>
      </c>
      <c r="D6865" s="220" t="s">
        <v>59</v>
      </c>
      <c r="E6865" s="165">
        <v>61</v>
      </c>
    </row>
    <row r="6866" spans="1:5" x14ac:dyDescent="0.25">
      <c r="A6866" s="216" t="s">
        <v>7929</v>
      </c>
      <c r="B6866" s="218" t="s">
        <v>48</v>
      </c>
      <c r="C6866" s="220" t="s">
        <v>4376</v>
      </c>
      <c r="D6866" s="220" t="s">
        <v>93</v>
      </c>
      <c r="E6866" s="165">
        <v>60</v>
      </c>
    </row>
    <row r="6867" spans="1:5" x14ac:dyDescent="0.25">
      <c r="A6867" s="216" t="s">
        <v>9301</v>
      </c>
      <c r="B6867" s="218">
        <v>1</v>
      </c>
      <c r="C6867" s="220" t="s">
        <v>877</v>
      </c>
      <c r="D6867" s="220" t="s">
        <v>272</v>
      </c>
      <c r="E6867" s="165">
        <v>60</v>
      </c>
    </row>
    <row r="6868" spans="1:5" x14ac:dyDescent="0.25">
      <c r="A6868" s="216" t="s">
        <v>9561</v>
      </c>
      <c r="B6868" s="218">
        <v>1</v>
      </c>
      <c r="C6868" s="220" t="s">
        <v>261</v>
      </c>
      <c r="D6868" s="220" t="s">
        <v>56</v>
      </c>
      <c r="E6868" s="165">
        <v>60</v>
      </c>
    </row>
    <row r="6869" spans="1:5" x14ac:dyDescent="0.25">
      <c r="A6869" s="216" t="s">
        <v>9000</v>
      </c>
      <c r="B6869" s="218" t="s">
        <v>48</v>
      </c>
      <c r="C6869" s="220" t="s">
        <v>8209</v>
      </c>
      <c r="D6869" s="220" t="s">
        <v>264</v>
      </c>
      <c r="E6869" s="165">
        <v>60</v>
      </c>
    </row>
    <row r="6870" spans="1:5" x14ac:dyDescent="0.25">
      <c r="A6870" s="216" t="s">
        <v>8594</v>
      </c>
      <c r="B6870" s="218" t="s">
        <v>48</v>
      </c>
      <c r="C6870" s="220" t="s">
        <v>213</v>
      </c>
      <c r="D6870" s="220" t="s">
        <v>75</v>
      </c>
      <c r="E6870" s="165">
        <v>60</v>
      </c>
    </row>
    <row r="6871" spans="1:5" x14ac:dyDescent="0.25">
      <c r="A6871" s="216" t="s">
        <v>9290</v>
      </c>
      <c r="B6871" s="218">
        <v>1</v>
      </c>
      <c r="C6871" s="220" t="s">
        <v>86</v>
      </c>
      <c r="D6871" s="220" t="s">
        <v>78</v>
      </c>
      <c r="E6871" s="165">
        <v>60</v>
      </c>
    </row>
    <row r="6872" spans="1:5" x14ac:dyDescent="0.25">
      <c r="A6872" s="216" t="s">
        <v>11648</v>
      </c>
      <c r="B6872" s="218">
        <v>1</v>
      </c>
      <c r="C6872" s="220" t="s">
        <v>11649</v>
      </c>
      <c r="D6872" s="220" t="s">
        <v>56</v>
      </c>
      <c r="E6872" s="165">
        <v>60</v>
      </c>
    </row>
    <row r="6873" spans="1:5" x14ac:dyDescent="0.25">
      <c r="A6873" s="216" t="s">
        <v>5818</v>
      </c>
      <c r="B6873" s="218" t="s">
        <v>48</v>
      </c>
      <c r="C6873" s="220" t="s">
        <v>473</v>
      </c>
      <c r="D6873" s="220" t="s">
        <v>82</v>
      </c>
      <c r="E6873" s="165">
        <v>60</v>
      </c>
    </row>
    <row r="6874" spans="1:5" x14ac:dyDescent="0.25">
      <c r="A6874" s="216" t="s">
        <v>9292</v>
      </c>
      <c r="B6874" s="218">
        <v>1</v>
      </c>
      <c r="C6874" s="220" t="s">
        <v>2740</v>
      </c>
      <c r="D6874" s="220" t="s">
        <v>78</v>
      </c>
      <c r="E6874" s="165">
        <v>60</v>
      </c>
    </row>
    <row r="6875" spans="1:5" x14ac:dyDescent="0.25">
      <c r="A6875" s="216" t="s">
        <v>7013</v>
      </c>
      <c r="B6875" s="218" t="s">
        <v>48</v>
      </c>
      <c r="C6875" s="220" t="s">
        <v>1628</v>
      </c>
      <c r="D6875" s="220" t="s">
        <v>56</v>
      </c>
      <c r="E6875" s="165">
        <v>60</v>
      </c>
    </row>
    <row r="6876" spans="1:5" x14ac:dyDescent="0.25">
      <c r="A6876" s="216" t="s">
        <v>8982</v>
      </c>
      <c r="B6876" s="218" t="s">
        <v>48</v>
      </c>
      <c r="C6876" s="220" t="s">
        <v>313</v>
      </c>
      <c r="D6876" s="220" t="s">
        <v>90</v>
      </c>
      <c r="E6876" s="165">
        <v>60</v>
      </c>
    </row>
    <row r="6877" spans="1:5" x14ac:dyDescent="0.25">
      <c r="A6877" s="216" t="s">
        <v>9296</v>
      </c>
      <c r="B6877" s="218">
        <v>1</v>
      </c>
      <c r="C6877" s="220" t="s">
        <v>4144</v>
      </c>
      <c r="D6877" s="220" t="s">
        <v>78</v>
      </c>
      <c r="E6877" s="165">
        <v>60</v>
      </c>
    </row>
    <row r="6878" spans="1:5" x14ac:dyDescent="0.25">
      <c r="A6878" s="216" t="s">
        <v>9445</v>
      </c>
      <c r="B6878" s="218">
        <v>1</v>
      </c>
      <c r="C6878" s="220" t="s">
        <v>9446</v>
      </c>
      <c r="D6878" s="220" t="s">
        <v>201</v>
      </c>
      <c r="E6878" s="165">
        <v>60</v>
      </c>
    </row>
    <row r="6879" spans="1:5" x14ac:dyDescent="0.25">
      <c r="A6879" s="216" t="s">
        <v>4428</v>
      </c>
      <c r="B6879" s="218" t="s">
        <v>48</v>
      </c>
      <c r="C6879" s="220" t="s">
        <v>4429</v>
      </c>
      <c r="D6879" s="220" t="s">
        <v>585</v>
      </c>
      <c r="E6879" s="165">
        <v>60</v>
      </c>
    </row>
    <row r="6880" spans="1:5" x14ac:dyDescent="0.25">
      <c r="A6880" s="216" t="s">
        <v>9222</v>
      </c>
      <c r="B6880" s="218">
        <v>1</v>
      </c>
      <c r="C6880" s="220" t="s">
        <v>9223</v>
      </c>
      <c r="D6880" s="220" t="s">
        <v>272</v>
      </c>
      <c r="E6880" s="165">
        <v>60</v>
      </c>
    </row>
    <row r="6881" spans="1:5" x14ac:dyDescent="0.25">
      <c r="A6881" s="216" t="s">
        <v>9489</v>
      </c>
      <c r="B6881" s="218" t="s">
        <v>48</v>
      </c>
      <c r="C6881" s="220" t="s">
        <v>2025</v>
      </c>
      <c r="D6881" s="220" t="s">
        <v>575</v>
      </c>
      <c r="E6881" s="165">
        <v>60</v>
      </c>
    </row>
    <row r="6882" spans="1:5" x14ac:dyDescent="0.25">
      <c r="A6882" s="216" t="s">
        <v>7676</v>
      </c>
      <c r="B6882" s="218">
        <v>1</v>
      </c>
      <c r="C6882" s="220" t="s">
        <v>3799</v>
      </c>
      <c r="D6882" s="220" t="s">
        <v>56</v>
      </c>
      <c r="E6882" s="165">
        <v>60</v>
      </c>
    </row>
    <row r="6883" spans="1:5" x14ac:dyDescent="0.25">
      <c r="A6883" s="216" t="s">
        <v>9389</v>
      </c>
      <c r="B6883" s="218" t="s">
        <v>48</v>
      </c>
      <c r="C6883" s="220" t="s">
        <v>9390</v>
      </c>
      <c r="D6883" s="220" t="s">
        <v>50</v>
      </c>
      <c r="E6883" s="165">
        <v>60</v>
      </c>
    </row>
    <row r="6884" spans="1:5" x14ac:dyDescent="0.25">
      <c r="A6884" s="216" t="s">
        <v>9498</v>
      </c>
      <c r="B6884" s="218">
        <v>1</v>
      </c>
      <c r="C6884" s="220" t="s">
        <v>2777</v>
      </c>
      <c r="D6884" s="220" t="s">
        <v>78</v>
      </c>
      <c r="E6884" s="165">
        <v>60</v>
      </c>
    </row>
    <row r="6885" spans="1:5" x14ac:dyDescent="0.25">
      <c r="A6885" s="216" t="s">
        <v>8972</v>
      </c>
      <c r="B6885" s="218" t="s">
        <v>48</v>
      </c>
      <c r="C6885" s="220" t="s">
        <v>8973</v>
      </c>
      <c r="D6885" s="220" t="s">
        <v>53</v>
      </c>
      <c r="E6885" s="165">
        <v>60</v>
      </c>
    </row>
    <row r="6886" spans="1:5" x14ac:dyDescent="0.25">
      <c r="A6886" s="216" t="s">
        <v>9653</v>
      </c>
      <c r="B6886" s="218" t="s">
        <v>48</v>
      </c>
      <c r="C6886" s="220" t="s">
        <v>9654</v>
      </c>
      <c r="D6886" s="220" t="s">
        <v>82</v>
      </c>
      <c r="E6886" s="165">
        <v>59</v>
      </c>
    </row>
    <row r="6887" spans="1:5" x14ac:dyDescent="0.25">
      <c r="A6887" s="216" t="s">
        <v>7961</v>
      </c>
      <c r="B6887" s="218" t="s">
        <v>48</v>
      </c>
      <c r="C6887" s="220" t="s">
        <v>7962</v>
      </c>
      <c r="D6887" s="220" t="s">
        <v>166</v>
      </c>
      <c r="E6887" s="165">
        <v>59</v>
      </c>
    </row>
    <row r="6888" spans="1:5" x14ac:dyDescent="0.25">
      <c r="A6888" s="216" t="s">
        <v>8974</v>
      </c>
      <c r="B6888" s="218">
        <v>1</v>
      </c>
      <c r="C6888" s="220" t="s">
        <v>4271</v>
      </c>
      <c r="D6888" s="220" t="s">
        <v>130</v>
      </c>
      <c r="E6888" s="165">
        <v>59</v>
      </c>
    </row>
    <row r="6889" spans="1:5" x14ac:dyDescent="0.25">
      <c r="A6889" s="216" t="s">
        <v>9270</v>
      </c>
      <c r="B6889" s="218">
        <v>1</v>
      </c>
      <c r="C6889" s="220" t="s">
        <v>291</v>
      </c>
      <c r="D6889" s="220" t="s">
        <v>130</v>
      </c>
      <c r="E6889" s="165">
        <v>59</v>
      </c>
    </row>
    <row r="6890" spans="1:5" x14ac:dyDescent="0.25">
      <c r="A6890" s="216" t="s">
        <v>3208</v>
      </c>
      <c r="B6890" s="218">
        <v>1</v>
      </c>
      <c r="C6890" s="220" t="s">
        <v>11650</v>
      </c>
      <c r="D6890" s="220" t="s">
        <v>523</v>
      </c>
      <c r="E6890" s="165">
        <v>59</v>
      </c>
    </row>
    <row r="6891" spans="1:5" x14ac:dyDescent="0.25">
      <c r="A6891" s="216" t="s">
        <v>9295</v>
      </c>
      <c r="B6891" s="218">
        <v>1</v>
      </c>
      <c r="C6891" s="220" t="s">
        <v>3309</v>
      </c>
      <c r="D6891" s="220" t="s">
        <v>93</v>
      </c>
      <c r="E6891" s="165">
        <v>59</v>
      </c>
    </row>
    <row r="6892" spans="1:5" x14ac:dyDescent="0.25">
      <c r="A6892" s="216" t="s">
        <v>9149</v>
      </c>
      <c r="B6892" s="218" t="s">
        <v>48</v>
      </c>
      <c r="C6892" s="220" t="s">
        <v>390</v>
      </c>
      <c r="D6892" s="220" t="s">
        <v>75</v>
      </c>
      <c r="E6892" s="165">
        <v>59</v>
      </c>
    </row>
    <row r="6893" spans="1:5" x14ac:dyDescent="0.25">
      <c r="A6893" s="216" t="s">
        <v>9298</v>
      </c>
      <c r="B6893" s="218">
        <v>1</v>
      </c>
      <c r="C6893" s="220" t="s">
        <v>9299</v>
      </c>
      <c r="D6893" s="220" t="s">
        <v>575</v>
      </c>
      <c r="E6893" s="165">
        <v>59</v>
      </c>
    </row>
    <row r="6894" spans="1:5" x14ac:dyDescent="0.25">
      <c r="A6894" s="216" t="s">
        <v>9365</v>
      </c>
      <c r="B6894" s="218">
        <v>1</v>
      </c>
      <c r="C6894" s="220" t="s">
        <v>9366</v>
      </c>
      <c r="D6894" s="220" t="s">
        <v>66</v>
      </c>
      <c r="E6894" s="165">
        <v>59</v>
      </c>
    </row>
    <row r="6895" spans="1:5" x14ac:dyDescent="0.25">
      <c r="A6895" s="216" t="s">
        <v>4737</v>
      </c>
      <c r="B6895" s="218" t="s">
        <v>48</v>
      </c>
      <c r="C6895" s="220" t="s">
        <v>52</v>
      </c>
      <c r="D6895" s="220" t="s">
        <v>53</v>
      </c>
      <c r="E6895" s="165">
        <v>58</v>
      </c>
    </row>
    <row r="6896" spans="1:5" x14ac:dyDescent="0.25">
      <c r="A6896" s="216" t="s">
        <v>9565</v>
      </c>
      <c r="B6896" s="218">
        <v>1</v>
      </c>
      <c r="C6896" s="220" t="s">
        <v>657</v>
      </c>
      <c r="D6896" s="220" t="s">
        <v>264</v>
      </c>
      <c r="E6896" s="165">
        <v>58</v>
      </c>
    </row>
    <row r="6897" spans="1:5" x14ac:dyDescent="0.25">
      <c r="A6897" s="216" t="s">
        <v>4540</v>
      </c>
      <c r="B6897" s="218" t="s">
        <v>48</v>
      </c>
      <c r="C6897" s="220" t="s">
        <v>1293</v>
      </c>
      <c r="D6897" s="220" t="s">
        <v>166</v>
      </c>
      <c r="E6897" s="165">
        <v>58</v>
      </c>
    </row>
    <row r="6898" spans="1:5" x14ac:dyDescent="0.25">
      <c r="A6898" s="216" t="s">
        <v>6274</v>
      </c>
      <c r="B6898" s="218" t="s">
        <v>48</v>
      </c>
      <c r="C6898" s="220" t="s">
        <v>6275</v>
      </c>
      <c r="D6898" s="220" t="s">
        <v>90</v>
      </c>
      <c r="E6898" s="165">
        <v>58</v>
      </c>
    </row>
    <row r="6899" spans="1:5" x14ac:dyDescent="0.25">
      <c r="A6899" s="216" t="s">
        <v>9397</v>
      </c>
      <c r="B6899" s="218">
        <v>1</v>
      </c>
      <c r="C6899" s="220" t="s">
        <v>483</v>
      </c>
      <c r="D6899" s="220" t="s">
        <v>63</v>
      </c>
      <c r="E6899" s="165">
        <v>58</v>
      </c>
    </row>
    <row r="6900" spans="1:5" x14ac:dyDescent="0.25">
      <c r="A6900" s="216" t="s">
        <v>9362</v>
      </c>
      <c r="B6900" s="218">
        <v>1</v>
      </c>
      <c r="C6900" s="220" t="s">
        <v>877</v>
      </c>
      <c r="D6900" s="220" t="s">
        <v>78</v>
      </c>
      <c r="E6900" s="165">
        <v>58</v>
      </c>
    </row>
    <row r="6901" spans="1:5" x14ac:dyDescent="0.25">
      <c r="A6901" s="216" t="s">
        <v>9429</v>
      </c>
      <c r="B6901" s="218" t="s">
        <v>48</v>
      </c>
      <c r="C6901" s="220" t="s">
        <v>9430</v>
      </c>
      <c r="D6901" s="220" t="s">
        <v>277</v>
      </c>
      <c r="E6901" s="165">
        <v>58</v>
      </c>
    </row>
    <row r="6902" spans="1:5" x14ac:dyDescent="0.25">
      <c r="A6902" s="216" t="s">
        <v>9211</v>
      </c>
      <c r="B6902" s="218">
        <v>1</v>
      </c>
      <c r="C6902" s="220" t="s">
        <v>864</v>
      </c>
      <c r="D6902" s="220" t="s">
        <v>63</v>
      </c>
      <c r="E6902" s="165">
        <v>58</v>
      </c>
    </row>
    <row r="6903" spans="1:5" x14ac:dyDescent="0.25">
      <c r="A6903" s="216" t="s">
        <v>9324</v>
      </c>
      <c r="B6903" s="218">
        <v>1</v>
      </c>
      <c r="C6903" s="220" t="s">
        <v>2546</v>
      </c>
      <c r="D6903" s="220" t="s">
        <v>192</v>
      </c>
      <c r="E6903" s="165">
        <v>58</v>
      </c>
    </row>
    <row r="6904" spans="1:5" x14ac:dyDescent="0.25">
      <c r="A6904" s="216" t="s">
        <v>9318</v>
      </c>
      <c r="B6904" s="218" t="s">
        <v>48</v>
      </c>
      <c r="C6904" s="220" t="s">
        <v>283</v>
      </c>
      <c r="D6904" s="220" t="s">
        <v>108</v>
      </c>
      <c r="E6904" s="165">
        <v>57</v>
      </c>
    </row>
    <row r="6905" spans="1:5" x14ac:dyDescent="0.25">
      <c r="A6905" s="216" t="s">
        <v>11651</v>
      </c>
      <c r="B6905" s="218" t="s">
        <v>48</v>
      </c>
      <c r="C6905" s="220" t="s">
        <v>404</v>
      </c>
      <c r="D6905" s="220" t="s">
        <v>59</v>
      </c>
      <c r="E6905" s="165">
        <v>57</v>
      </c>
    </row>
    <row r="6906" spans="1:5" x14ac:dyDescent="0.25">
      <c r="A6906" s="216" t="s">
        <v>4410</v>
      </c>
      <c r="B6906" s="218">
        <v>1</v>
      </c>
      <c r="C6906" s="220" t="s">
        <v>4411</v>
      </c>
      <c r="D6906" s="220" t="s">
        <v>277</v>
      </c>
      <c r="E6906" s="165">
        <v>57</v>
      </c>
    </row>
    <row r="6907" spans="1:5" x14ac:dyDescent="0.25">
      <c r="A6907" s="216" t="s">
        <v>9383</v>
      </c>
      <c r="B6907" s="218">
        <v>1</v>
      </c>
      <c r="C6907" s="220" t="s">
        <v>5243</v>
      </c>
      <c r="D6907" s="220" t="s">
        <v>66</v>
      </c>
      <c r="E6907" s="165">
        <v>57</v>
      </c>
    </row>
    <row r="6908" spans="1:5" x14ac:dyDescent="0.25">
      <c r="A6908" s="216" t="s">
        <v>9208</v>
      </c>
      <c r="B6908" s="218" t="s">
        <v>48</v>
      </c>
      <c r="C6908" s="220" t="s">
        <v>238</v>
      </c>
      <c r="D6908" s="220" t="s">
        <v>75</v>
      </c>
      <c r="E6908" s="165">
        <v>57</v>
      </c>
    </row>
    <row r="6909" spans="1:5" x14ac:dyDescent="0.25">
      <c r="A6909" s="216" t="s">
        <v>8948</v>
      </c>
      <c r="B6909" s="218" t="s">
        <v>48</v>
      </c>
      <c r="C6909" s="220" t="s">
        <v>321</v>
      </c>
      <c r="D6909" s="220" t="s">
        <v>90</v>
      </c>
      <c r="E6909" s="165">
        <v>57</v>
      </c>
    </row>
    <row r="6910" spans="1:5" x14ac:dyDescent="0.25">
      <c r="A6910" s="216" t="s">
        <v>2276</v>
      </c>
      <c r="B6910" s="218" t="s">
        <v>48</v>
      </c>
      <c r="C6910" s="220" t="s">
        <v>605</v>
      </c>
      <c r="D6910" s="220" t="s">
        <v>585</v>
      </c>
      <c r="E6910" s="165">
        <v>57</v>
      </c>
    </row>
    <row r="6911" spans="1:5" x14ac:dyDescent="0.25">
      <c r="A6911" s="216" t="s">
        <v>9393</v>
      </c>
      <c r="B6911" s="218">
        <v>1</v>
      </c>
      <c r="C6911" s="220" t="s">
        <v>227</v>
      </c>
      <c r="D6911" s="220" t="s">
        <v>78</v>
      </c>
      <c r="E6911" s="165">
        <v>57</v>
      </c>
    </row>
    <row r="6912" spans="1:5" x14ac:dyDescent="0.25">
      <c r="A6912" s="216" t="s">
        <v>9151</v>
      </c>
      <c r="B6912" s="218">
        <v>1</v>
      </c>
      <c r="C6912" s="220" t="s">
        <v>9152</v>
      </c>
      <c r="D6912" s="220" t="s">
        <v>277</v>
      </c>
      <c r="E6912" s="165">
        <v>57</v>
      </c>
    </row>
    <row r="6913" spans="1:5" x14ac:dyDescent="0.25">
      <c r="A6913" s="216" t="s">
        <v>9209</v>
      </c>
      <c r="B6913" s="218" t="s">
        <v>48</v>
      </c>
      <c r="C6913" s="220" t="s">
        <v>11652</v>
      </c>
      <c r="D6913" s="220" t="s">
        <v>50</v>
      </c>
      <c r="E6913" s="165">
        <v>57</v>
      </c>
    </row>
    <row r="6914" spans="1:5" x14ac:dyDescent="0.25">
      <c r="A6914" s="216" t="s">
        <v>11653</v>
      </c>
      <c r="B6914" s="218">
        <v>1</v>
      </c>
      <c r="C6914" s="220" t="s">
        <v>233</v>
      </c>
      <c r="D6914" s="220" t="s">
        <v>56</v>
      </c>
      <c r="E6914" s="165">
        <v>57</v>
      </c>
    </row>
    <row r="6915" spans="1:5" x14ac:dyDescent="0.25">
      <c r="A6915" s="216" t="s">
        <v>9284</v>
      </c>
      <c r="B6915" s="218" t="s">
        <v>48</v>
      </c>
      <c r="C6915" s="220" t="s">
        <v>925</v>
      </c>
      <c r="D6915" s="220" t="s">
        <v>394</v>
      </c>
      <c r="E6915" s="165">
        <v>57</v>
      </c>
    </row>
    <row r="6916" spans="1:5" x14ac:dyDescent="0.25">
      <c r="A6916" s="216" t="s">
        <v>11654</v>
      </c>
      <c r="B6916" s="218" t="s">
        <v>48</v>
      </c>
      <c r="C6916" s="220" t="s">
        <v>733</v>
      </c>
      <c r="D6916" s="220" t="s">
        <v>82</v>
      </c>
      <c r="E6916" s="165">
        <v>57</v>
      </c>
    </row>
    <row r="6917" spans="1:5" x14ac:dyDescent="0.25">
      <c r="A6917" s="216" t="s">
        <v>9378</v>
      </c>
      <c r="B6917" s="218">
        <v>1</v>
      </c>
      <c r="C6917" s="220" t="s">
        <v>9379</v>
      </c>
      <c r="D6917" s="220" t="s">
        <v>56</v>
      </c>
      <c r="E6917" s="165">
        <v>57</v>
      </c>
    </row>
    <row r="6918" spans="1:5" x14ac:dyDescent="0.25">
      <c r="A6918" s="216" t="s">
        <v>11655</v>
      </c>
      <c r="B6918" s="218" t="s">
        <v>48</v>
      </c>
      <c r="C6918" s="220" t="s">
        <v>138</v>
      </c>
      <c r="D6918" s="220" t="s">
        <v>139</v>
      </c>
      <c r="E6918" s="165">
        <v>57</v>
      </c>
    </row>
    <row r="6919" spans="1:5" x14ac:dyDescent="0.25">
      <c r="A6919" s="216" t="s">
        <v>7947</v>
      </c>
      <c r="B6919" s="218" t="s">
        <v>48</v>
      </c>
      <c r="C6919" s="220" t="s">
        <v>7948</v>
      </c>
      <c r="D6919" s="220" t="s">
        <v>90</v>
      </c>
      <c r="E6919" s="165">
        <v>57</v>
      </c>
    </row>
    <row r="6920" spans="1:5" x14ac:dyDescent="0.25">
      <c r="A6920" s="216" t="s">
        <v>9453</v>
      </c>
      <c r="B6920" s="218">
        <v>1</v>
      </c>
      <c r="C6920" s="220" t="s">
        <v>1538</v>
      </c>
      <c r="D6920" s="220" t="s">
        <v>87</v>
      </c>
      <c r="E6920" s="165">
        <v>56</v>
      </c>
    </row>
    <row r="6921" spans="1:5" x14ac:dyDescent="0.25">
      <c r="A6921" s="216" t="s">
        <v>9434</v>
      </c>
      <c r="B6921" s="218">
        <v>1</v>
      </c>
      <c r="C6921" s="220" t="s">
        <v>6325</v>
      </c>
      <c r="D6921" s="220" t="s">
        <v>56</v>
      </c>
      <c r="E6921" s="165">
        <v>56</v>
      </c>
    </row>
    <row r="6922" spans="1:5" x14ac:dyDescent="0.25">
      <c r="A6922" s="216" t="s">
        <v>10595</v>
      </c>
      <c r="B6922" s="218" t="s">
        <v>48</v>
      </c>
      <c r="C6922" s="220" t="s">
        <v>636</v>
      </c>
      <c r="D6922" s="220" t="s">
        <v>69</v>
      </c>
      <c r="E6922" s="165">
        <v>56</v>
      </c>
    </row>
    <row r="6923" spans="1:5" x14ac:dyDescent="0.25">
      <c r="A6923" s="216" t="s">
        <v>9440</v>
      </c>
      <c r="B6923" s="218" t="s">
        <v>48</v>
      </c>
      <c r="C6923" s="220" t="s">
        <v>1788</v>
      </c>
      <c r="D6923" s="220" t="s">
        <v>59</v>
      </c>
      <c r="E6923" s="165">
        <v>56</v>
      </c>
    </row>
    <row r="6924" spans="1:5" x14ac:dyDescent="0.25">
      <c r="A6924" s="216" t="s">
        <v>2150</v>
      </c>
      <c r="B6924" s="218" t="s">
        <v>48</v>
      </c>
      <c r="C6924" s="220" t="s">
        <v>251</v>
      </c>
      <c r="D6924" s="220" t="s">
        <v>98</v>
      </c>
      <c r="E6924" s="165">
        <v>56</v>
      </c>
    </row>
    <row r="6925" spans="1:5" x14ac:dyDescent="0.25">
      <c r="A6925" s="216" t="s">
        <v>9164</v>
      </c>
      <c r="B6925" s="218" t="s">
        <v>48</v>
      </c>
      <c r="C6925" s="220" t="s">
        <v>6056</v>
      </c>
      <c r="D6925" s="220" t="s">
        <v>98</v>
      </c>
      <c r="E6925" s="165">
        <v>56</v>
      </c>
    </row>
    <row r="6926" spans="1:5" x14ac:dyDescent="0.25">
      <c r="A6926" s="216" t="s">
        <v>11656</v>
      </c>
      <c r="B6926" s="218">
        <v>1</v>
      </c>
      <c r="C6926" s="220" t="s">
        <v>135</v>
      </c>
      <c r="D6926" s="220" t="s">
        <v>108</v>
      </c>
      <c r="E6926" s="165">
        <v>56</v>
      </c>
    </row>
    <row r="6927" spans="1:5" x14ac:dyDescent="0.25">
      <c r="A6927" s="216" t="s">
        <v>9273</v>
      </c>
      <c r="B6927" s="218">
        <v>1</v>
      </c>
      <c r="C6927" s="220" t="s">
        <v>9274</v>
      </c>
      <c r="D6927" s="220" t="s">
        <v>93</v>
      </c>
      <c r="E6927" s="165">
        <v>56</v>
      </c>
    </row>
    <row r="6928" spans="1:5" x14ac:dyDescent="0.25">
      <c r="A6928" s="216" t="s">
        <v>9619</v>
      </c>
      <c r="B6928" s="218" t="s">
        <v>48</v>
      </c>
      <c r="C6928" s="220" t="s">
        <v>4235</v>
      </c>
      <c r="D6928" s="220" t="s">
        <v>90</v>
      </c>
      <c r="E6928" s="165">
        <v>56</v>
      </c>
    </row>
    <row r="6929" spans="1:5" x14ac:dyDescent="0.25">
      <c r="A6929" s="216" t="s">
        <v>9244</v>
      </c>
      <c r="B6929" s="218" t="s">
        <v>48</v>
      </c>
      <c r="C6929" s="220" t="s">
        <v>382</v>
      </c>
      <c r="D6929" s="220" t="s">
        <v>166</v>
      </c>
      <c r="E6929" s="165">
        <v>56</v>
      </c>
    </row>
    <row r="6930" spans="1:5" x14ac:dyDescent="0.25">
      <c r="A6930" s="216" t="s">
        <v>9879</v>
      </c>
      <c r="B6930" s="218" t="s">
        <v>48</v>
      </c>
      <c r="C6930" s="220" t="s">
        <v>5518</v>
      </c>
      <c r="D6930" s="220" t="s">
        <v>59</v>
      </c>
      <c r="E6930" s="165">
        <v>56</v>
      </c>
    </row>
    <row r="6931" spans="1:5" x14ac:dyDescent="0.25">
      <c r="A6931" s="216" t="s">
        <v>11657</v>
      </c>
      <c r="B6931" s="218">
        <v>1</v>
      </c>
      <c r="C6931" s="220" t="s">
        <v>138</v>
      </c>
      <c r="D6931" s="220" t="s">
        <v>139</v>
      </c>
      <c r="E6931" s="165">
        <v>56</v>
      </c>
    </row>
    <row r="6932" spans="1:5" x14ac:dyDescent="0.25">
      <c r="A6932" s="216" t="s">
        <v>9331</v>
      </c>
      <c r="B6932" s="218">
        <v>1</v>
      </c>
      <c r="C6932" s="220" t="s">
        <v>733</v>
      </c>
      <c r="D6932" s="220" t="s">
        <v>272</v>
      </c>
      <c r="E6932" s="165">
        <v>56</v>
      </c>
    </row>
    <row r="6933" spans="1:5" x14ac:dyDescent="0.25">
      <c r="A6933" s="216" t="s">
        <v>9363</v>
      </c>
      <c r="B6933" s="218">
        <v>1</v>
      </c>
      <c r="C6933" s="220" t="s">
        <v>6682</v>
      </c>
      <c r="D6933" s="220" t="s">
        <v>50</v>
      </c>
      <c r="E6933" s="165">
        <v>56</v>
      </c>
    </row>
    <row r="6934" spans="1:5" x14ac:dyDescent="0.25">
      <c r="A6934" s="216" t="s">
        <v>9364</v>
      </c>
      <c r="B6934" s="218">
        <v>1</v>
      </c>
      <c r="C6934" s="220" t="s">
        <v>5871</v>
      </c>
      <c r="D6934" s="220" t="s">
        <v>50</v>
      </c>
      <c r="E6934" s="165">
        <v>56</v>
      </c>
    </row>
    <row r="6935" spans="1:5" x14ac:dyDescent="0.25">
      <c r="A6935" s="216" t="s">
        <v>8876</v>
      </c>
      <c r="B6935" s="218" t="s">
        <v>48</v>
      </c>
      <c r="C6935" s="220" t="s">
        <v>8877</v>
      </c>
      <c r="D6935" s="220" t="s">
        <v>75</v>
      </c>
      <c r="E6935" s="165">
        <v>56</v>
      </c>
    </row>
    <row r="6936" spans="1:5" x14ac:dyDescent="0.25">
      <c r="A6936" s="216" t="s">
        <v>6157</v>
      </c>
      <c r="B6936" s="218" t="s">
        <v>48</v>
      </c>
      <c r="C6936" s="220" t="s">
        <v>3458</v>
      </c>
      <c r="D6936" s="220" t="s">
        <v>585</v>
      </c>
      <c r="E6936" s="165">
        <v>56</v>
      </c>
    </row>
    <row r="6937" spans="1:5" x14ac:dyDescent="0.25">
      <c r="A6937" s="216" t="s">
        <v>9449</v>
      </c>
      <c r="B6937" s="218">
        <v>1</v>
      </c>
      <c r="C6937" s="220" t="s">
        <v>9450</v>
      </c>
      <c r="D6937" s="220" t="s">
        <v>56</v>
      </c>
      <c r="E6937" s="165">
        <v>56</v>
      </c>
    </row>
    <row r="6938" spans="1:5" x14ac:dyDescent="0.25">
      <c r="A6938" s="216" t="s">
        <v>9210</v>
      </c>
      <c r="B6938" s="218" t="s">
        <v>48</v>
      </c>
      <c r="C6938" s="220" t="s">
        <v>129</v>
      </c>
      <c r="D6938" s="220" t="s">
        <v>75</v>
      </c>
      <c r="E6938" s="165">
        <v>56</v>
      </c>
    </row>
    <row r="6939" spans="1:5" x14ac:dyDescent="0.25">
      <c r="A6939" s="216" t="s">
        <v>9344</v>
      </c>
      <c r="B6939" s="218">
        <v>1</v>
      </c>
      <c r="C6939" s="220" t="s">
        <v>77</v>
      </c>
      <c r="D6939" s="220" t="s">
        <v>78</v>
      </c>
      <c r="E6939" s="165">
        <v>56</v>
      </c>
    </row>
    <row r="6940" spans="1:5" x14ac:dyDescent="0.25">
      <c r="A6940" s="216" t="s">
        <v>10155</v>
      </c>
      <c r="B6940" s="218">
        <v>1</v>
      </c>
      <c r="C6940" s="220" t="s">
        <v>1500</v>
      </c>
      <c r="D6940" s="220" t="s">
        <v>127</v>
      </c>
      <c r="E6940" s="165">
        <v>56</v>
      </c>
    </row>
    <row r="6941" spans="1:5" x14ac:dyDescent="0.25">
      <c r="A6941" s="216" t="s">
        <v>9392</v>
      </c>
      <c r="B6941" s="218">
        <v>1</v>
      </c>
      <c r="C6941" s="220" t="s">
        <v>558</v>
      </c>
      <c r="D6941" s="220" t="s">
        <v>56</v>
      </c>
      <c r="E6941" s="165">
        <v>55</v>
      </c>
    </row>
    <row r="6942" spans="1:5" x14ac:dyDescent="0.25">
      <c r="A6942" s="216" t="s">
        <v>11658</v>
      </c>
      <c r="B6942" s="218">
        <v>1</v>
      </c>
      <c r="C6942" s="220" t="s">
        <v>11659</v>
      </c>
      <c r="D6942" s="220" t="s">
        <v>63</v>
      </c>
      <c r="E6942" s="165">
        <v>55</v>
      </c>
    </row>
    <row r="6943" spans="1:5" x14ac:dyDescent="0.25">
      <c r="A6943" s="216" t="s">
        <v>5117</v>
      </c>
      <c r="B6943" s="218">
        <v>1</v>
      </c>
      <c r="C6943" s="220" t="s">
        <v>3888</v>
      </c>
      <c r="D6943" s="220" t="s">
        <v>69</v>
      </c>
      <c r="E6943" s="165">
        <v>55</v>
      </c>
    </row>
    <row r="6944" spans="1:5" x14ac:dyDescent="0.25">
      <c r="A6944" s="216" t="s">
        <v>6701</v>
      </c>
      <c r="B6944" s="218" t="s">
        <v>48</v>
      </c>
      <c r="C6944" s="220" t="s">
        <v>972</v>
      </c>
      <c r="D6944" s="220" t="s">
        <v>53</v>
      </c>
      <c r="E6944" s="165">
        <v>55</v>
      </c>
    </row>
    <row r="6945" spans="1:5" x14ac:dyDescent="0.25">
      <c r="A6945" s="216" t="s">
        <v>8318</v>
      </c>
      <c r="B6945" s="218">
        <v>1</v>
      </c>
      <c r="C6945" s="220" t="s">
        <v>640</v>
      </c>
      <c r="D6945" s="220" t="s">
        <v>69</v>
      </c>
      <c r="E6945" s="165">
        <v>55</v>
      </c>
    </row>
    <row r="6946" spans="1:5" x14ac:dyDescent="0.25">
      <c r="A6946" s="216" t="s">
        <v>8344</v>
      </c>
      <c r="B6946" s="218">
        <v>1</v>
      </c>
      <c r="C6946" s="220" t="s">
        <v>196</v>
      </c>
      <c r="D6946" s="220" t="s">
        <v>50</v>
      </c>
      <c r="E6946" s="165">
        <v>55</v>
      </c>
    </row>
    <row r="6947" spans="1:5" x14ac:dyDescent="0.25">
      <c r="A6947" s="216" t="s">
        <v>8478</v>
      </c>
      <c r="B6947" s="218" t="s">
        <v>48</v>
      </c>
      <c r="C6947" s="220" t="s">
        <v>8479</v>
      </c>
      <c r="D6947" s="220" t="s">
        <v>63</v>
      </c>
      <c r="E6947" s="165">
        <v>55</v>
      </c>
    </row>
    <row r="6948" spans="1:5" x14ac:dyDescent="0.25">
      <c r="A6948" s="216" t="s">
        <v>11660</v>
      </c>
      <c r="B6948" s="218">
        <v>1</v>
      </c>
      <c r="C6948" s="220" t="s">
        <v>2175</v>
      </c>
      <c r="D6948" s="220" t="s">
        <v>53</v>
      </c>
      <c r="E6948" s="165">
        <v>55</v>
      </c>
    </row>
    <row r="6949" spans="1:5" x14ac:dyDescent="0.25">
      <c r="A6949" s="216" t="s">
        <v>8233</v>
      </c>
      <c r="B6949" s="218">
        <v>1</v>
      </c>
      <c r="C6949" s="220" t="s">
        <v>8234</v>
      </c>
      <c r="D6949" s="220" t="s">
        <v>236</v>
      </c>
      <c r="E6949" s="165">
        <v>55</v>
      </c>
    </row>
    <row r="6950" spans="1:5" x14ac:dyDescent="0.25">
      <c r="A6950" s="216" t="s">
        <v>11661</v>
      </c>
      <c r="B6950" s="218">
        <v>1</v>
      </c>
      <c r="C6950" s="220" t="s">
        <v>1113</v>
      </c>
      <c r="D6950" s="220" t="s">
        <v>50</v>
      </c>
      <c r="E6950" s="165">
        <v>55</v>
      </c>
    </row>
    <row r="6951" spans="1:5" x14ac:dyDescent="0.25">
      <c r="A6951" s="216" t="s">
        <v>11662</v>
      </c>
      <c r="B6951" s="218">
        <v>1</v>
      </c>
      <c r="C6951" s="220" t="s">
        <v>1164</v>
      </c>
      <c r="D6951" s="220" t="s">
        <v>277</v>
      </c>
      <c r="E6951" s="165">
        <v>55</v>
      </c>
    </row>
    <row r="6952" spans="1:5" x14ac:dyDescent="0.25">
      <c r="A6952" s="216" t="s">
        <v>8025</v>
      </c>
      <c r="B6952" s="218" t="s">
        <v>48</v>
      </c>
      <c r="C6952" s="220" t="s">
        <v>8026</v>
      </c>
      <c r="D6952" s="220" t="s">
        <v>59</v>
      </c>
      <c r="E6952" s="165">
        <v>55</v>
      </c>
    </row>
    <row r="6953" spans="1:5" x14ac:dyDescent="0.25">
      <c r="A6953" s="216" t="s">
        <v>11663</v>
      </c>
      <c r="B6953" s="218">
        <v>1</v>
      </c>
      <c r="C6953" s="220" t="s">
        <v>8510</v>
      </c>
      <c r="D6953" s="220" t="s">
        <v>69</v>
      </c>
      <c r="E6953" s="165">
        <v>55</v>
      </c>
    </row>
    <row r="6954" spans="1:5" x14ac:dyDescent="0.25">
      <c r="A6954" s="216" t="s">
        <v>8872</v>
      </c>
      <c r="B6954" s="218" t="s">
        <v>48</v>
      </c>
      <c r="C6954" s="220" t="s">
        <v>3056</v>
      </c>
      <c r="D6954" s="220" t="s">
        <v>90</v>
      </c>
      <c r="E6954" s="165">
        <v>55</v>
      </c>
    </row>
    <row r="6955" spans="1:5" x14ac:dyDescent="0.25">
      <c r="A6955" s="216" t="s">
        <v>11664</v>
      </c>
      <c r="B6955" s="218">
        <v>1</v>
      </c>
      <c r="C6955" s="220" t="s">
        <v>6739</v>
      </c>
      <c r="D6955" s="220" t="s">
        <v>172</v>
      </c>
      <c r="E6955" s="165">
        <v>55</v>
      </c>
    </row>
    <row r="6956" spans="1:5" x14ac:dyDescent="0.25">
      <c r="A6956" s="216" t="s">
        <v>8212</v>
      </c>
      <c r="B6956" s="218" t="s">
        <v>48</v>
      </c>
      <c r="C6956" s="220" t="s">
        <v>8213</v>
      </c>
      <c r="D6956" s="220" t="s">
        <v>166</v>
      </c>
      <c r="E6956" s="165">
        <v>55</v>
      </c>
    </row>
    <row r="6957" spans="1:5" x14ac:dyDescent="0.25">
      <c r="A6957" s="216" t="s">
        <v>11665</v>
      </c>
      <c r="B6957" s="218">
        <v>1</v>
      </c>
      <c r="C6957" s="220" t="s">
        <v>159</v>
      </c>
      <c r="D6957" s="220" t="s">
        <v>130</v>
      </c>
      <c r="E6957" s="165">
        <v>55</v>
      </c>
    </row>
    <row r="6958" spans="1:5" x14ac:dyDescent="0.25">
      <c r="A6958" s="216" t="s">
        <v>11666</v>
      </c>
      <c r="B6958" s="218">
        <v>1</v>
      </c>
      <c r="C6958" s="220" t="s">
        <v>1823</v>
      </c>
      <c r="D6958" s="220" t="s">
        <v>56</v>
      </c>
      <c r="E6958" s="165">
        <v>55</v>
      </c>
    </row>
    <row r="6959" spans="1:5" x14ac:dyDescent="0.25">
      <c r="A6959" s="216" t="s">
        <v>9060</v>
      </c>
      <c r="B6959" s="218" t="s">
        <v>48</v>
      </c>
      <c r="C6959" s="220" t="s">
        <v>8402</v>
      </c>
      <c r="D6959" s="220" t="s">
        <v>50</v>
      </c>
      <c r="E6959" s="165">
        <v>55</v>
      </c>
    </row>
    <row r="6960" spans="1:5" x14ac:dyDescent="0.25">
      <c r="A6960" s="216" t="s">
        <v>9601</v>
      </c>
      <c r="B6960" s="218">
        <v>1</v>
      </c>
      <c r="C6960" s="220" t="s">
        <v>5582</v>
      </c>
      <c r="D6960" s="220" t="s">
        <v>56</v>
      </c>
      <c r="E6960" s="165">
        <v>55</v>
      </c>
    </row>
    <row r="6961" spans="1:5" x14ac:dyDescent="0.25">
      <c r="A6961" s="216" t="s">
        <v>11667</v>
      </c>
      <c r="B6961" s="218">
        <v>1</v>
      </c>
      <c r="C6961" s="220" t="s">
        <v>1103</v>
      </c>
      <c r="D6961" s="220" t="s">
        <v>277</v>
      </c>
      <c r="E6961" s="165">
        <v>55</v>
      </c>
    </row>
    <row r="6962" spans="1:5" x14ac:dyDescent="0.25">
      <c r="A6962" s="216" t="s">
        <v>9062</v>
      </c>
      <c r="B6962" s="218" t="s">
        <v>48</v>
      </c>
      <c r="C6962" s="220" t="s">
        <v>4235</v>
      </c>
      <c r="D6962" s="220" t="s">
        <v>90</v>
      </c>
      <c r="E6962" s="165">
        <v>55</v>
      </c>
    </row>
    <row r="6963" spans="1:5" x14ac:dyDescent="0.25">
      <c r="A6963" s="216" t="s">
        <v>9047</v>
      </c>
      <c r="B6963" s="218" t="s">
        <v>48</v>
      </c>
      <c r="C6963" s="220" t="s">
        <v>89</v>
      </c>
      <c r="D6963" s="220" t="s">
        <v>90</v>
      </c>
      <c r="E6963" s="165">
        <v>55</v>
      </c>
    </row>
    <row r="6964" spans="1:5" x14ac:dyDescent="0.25">
      <c r="A6964" s="216" t="s">
        <v>8824</v>
      </c>
      <c r="B6964" s="218" t="s">
        <v>48</v>
      </c>
      <c r="C6964" s="220" t="s">
        <v>89</v>
      </c>
      <c r="D6964" s="220" t="s">
        <v>90</v>
      </c>
      <c r="E6964" s="165">
        <v>55</v>
      </c>
    </row>
    <row r="6965" spans="1:5" x14ac:dyDescent="0.25">
      <c r="A6965" s="216" t="s">
        <v>11668</v>
      </c>
      <c r="B6965" s="218">
        <v>1</v>
      </c>
      <c r="C6965" s="220" t="s">
        <v>9254</v>
      </c>
      <c r="D6965" s="220" t="s">
        <v>1200</v>
      </c>
      <c r="E6965" s="165">
        <v>55</v>
      </c>
    </row>
    <row r="6966" spans="1:5" x14ac:dyDescent="0.25">
      <c r="A6966" s="216" t="s">
        <v>11669</v>
      </c>
      <c r="B6966" s="218">
        <v>1</v>
      </c>
      <c r="C6966" s="220" t="s">
        <v>283</v>
      </c>
      <c r="D6966" s="220" t="s">
        <v>59</v>
      </c>
      <c r="E6966" s="165">
        <v>55</v>
      </c>
    </row>
    <row r="6967" spans="1:5" x14ac:dyDescent="0.25">
      <c r="A6967" s="216" t="s">
        <v>7015</v>
      </c>
      <c r="B6967" s="218">
        <v>1</v>
      </c>
      <c r="C6967" s="220" t="s">
        <v>1714</v>
      </c>
      <c r="D6967" s="220" t="s">
        <v>130</v>
      </c>
      <c r="E6967" s="165">
        <v>55</v>
      </c>
    </row>
    <row r="6968" spans="1:5" x14ac:dyDescent="0.25">
      <c r="A6968" s="216" t="s">
        <v>9391</v>
      </c>
      <c r="B6968" s="218">
        <v>1</v>
      </c>
      <c r="C6968" s="220" t="s">
        <v>270</v>
      </c>
      <c r="D6968" s="220" t="s">
        <v>177</v>
      </c>
      <c r="E6968" s="165">
        <v>55</v>
      </c>
    </row>
    <row r="6969" spans="1:5" x14ac:dyDescent="0.25">
      <c r="A6969" s="216" t="s">
        <v>11670</v>
      </c>
      <c r="B6969" s="218" t="s">
        <v>48</v>
      </c>
      <c r="C6969" s="220" t="s">
        <v>11671</v>
      </c>
      <c r="D6969" s="220" t="s">
        <v>710</v>
      </c>
      <c r="E6969" s="165">
        <v>55</v>
      </c>
    </row>
    <row r="6970" spans="1:5" x14ac:dyDescent="0.25">
      <c r="A6970" s="216" t="s">
        <v>9452</v>
      </c>
      <c r="B6970" s="218">
        <v>1</v>
      </c>
      <c r="C6970" s="220" t="s">
        <v>841</v>
      </c>
      <c r="D6970" s="220" t="s">
        <v>63</v>
      </c>
      <c r="E6970" s="165">
        <v>55</v>
      </c>
    </row>
    <row r="6971" spans="1:5" x14ac:dyDescent="0.25">
      <c r="A6971" s="216" t="s">
        <v>8358</v>
      </c>
      <c r="B6971" s="218">
        <v>1</v>
      </c>
      <c r="C6971" s="220" t="s">
        <v>8359</v>
      </c>
      <c r="D6971" s="220" t="s">
        <v>139</v>
      </c>
      <c r="E6971" s="165">
        <v>54</v>
      </c>
    </row>
    <row r="6972" spans="1:5" x14ac:dyDescent="0.25">
      <c r="A6972" s="216" t="s">
        <v>9382</v>
      </c>
      <c r="B6972" s="218" t="s">
        <v>48</v>
      </c>
      <c r="C6972" s="220" t="s">
        <v>1109</v>
      </c>
      <c r="D6972" s="220" t="s">
        <v>166</v>
      </c>
      <c r="E6972" s="165">
        <v>54</v>
      </c>
    </row>
    <row r="6973" spans="1:5" x14ac:dyDescent="0.25">
      <c r="A6973" s="216" t="s">
        <v>6485</v>
      </c>
      <c r="B6973" s="218">
        <v>1</v>
      </c>
      <c r="C6973" s="220" t="s">
        <v>289</v>
      </c>
      <c r="D6973" s="220" t="s">
        <v>69</v>
      </c>
      <c r="E6973" s="165">
        <v>54</v>
      </c>
    </row>
    <row r="6974" spans="1:5" x14ac:dyDescent="0.25">
      <c r="A6974" s="216" t="s">
        <v>10506</v>
      </c>
      <c r="B6974" s="218" t="s">
        <v>48</v>
      </c>
      <c r="C6974" s="220" t="s">
        <v>11672</v>
      </c>
      <c r="D6974" s="220" t="s">
        <v>75</v>
      </c>
      <c r="E6974" s="165">
        <v>54</v>
      </c>
    </row>
    <row r="6975" spans="1:5" x14ac:dyDescent="0.25">
      <c r="A6975" s="216" t="s">
        <v>9353</v>
      </c>
      <c r="B6975" s="218">
        <v>1</v>
      </c>
      <c r="C6975" s="220" t="s">
        <v>9354</v>
      </c>
      <c r="D6975" s="220" t="s">
        <v>130</v>
      </c>
      <c r="E6975" s="165">
        <v>54</v>
      </c>
    </row>
    <row r="6976" spans="1:5" x14ac:dyDescent="0.25">
      <c r="A6976" s="216" t="s">
        <v>9438</v>
      </c>
      <c r="B6976" s="218">
        <v>1</v>
      </c>
      <c r="C6976" s="220" t="s">
        <v>9439</v>
      </c>
      <c r="D6976" s="220" t="s">
        <v>50</v>
      </c>
      <c r="E6976" s="165">
        <v>54</v>
      </c>
    </row>
    <row r="6977" spans="1:5" x14ac:dyDescent="0.25">
      <c r="A6977" s="216" t="s">
        <v>10599</v>
      </c>
      <c r="B6977" s="218">
        <v>1</v>
      </c>
      <c r="C6977" s="220" t="s">
        <v>8642</v>
      </c>
      <c r="D6977" s="220" t="s">
        <v>50</v>
      </c>
      <c r="E6977" s="165">
        <v>54</v>
      </c>
    </row>
    <row r="6978" spans="1:5" x14ac:dyDescent="0.25">
      <c r="A6978" s="216" t="s">
        <v>9502</v>
      </c>
      <c r="B6978" s="218">
        <v>1</v>
      </c>
      <c r="C6978" s="220" t="s">
        <v>9503</v>
      </c>
      <c r="D6978" s="220" t="s">
        <v>63</v>
      </c>
      <c r="E6978" s="165">
        <v>54</v>
      </c>
    </row>
    <row r="6979" spans="1:5" x14ac:dyDescent="0.25">
      <c r="A6979" s="216" t="s">
        <v>9441</v>
      </c>
      <c r="B6979" s="218">
        <v>1</v>
      </c>
      <c r="C6979" s="220" t="s">
        <v>9442</v>
      </c>
      <c r="D6979" s="220" t="s">
        <v>50</v>
      </c>
      <c r="E6979" s="165">
        <v>54</v>
      </c>
    </row>
    <row r="6980" spans="1:5" x14ac:dyDescent="0.25">
      <c r="A6980" s="216" t="s">
        <v>9955</v>
      </c>
      <c r="B6980" s="218" t="s">
        <v>48</v>
      </c>
      <c r="C6980" s="220" t="s">
        <v>3076</v>
      </c>
      <c r="D6980" s="220" t="s">
        <v>66</v>
      </c>
      <c r="E6980" s="165">
        <v>54</v>
      </c>
    </row>
    <row r="6981" spans="1:5" x14ac:dyDescent="0.25">
      <c r="A6981" s="216" t="s">
        <v>9848</v>
      </c>
      <c r="B6981" s="218" t="s">
        <v>48</v>
      </c>
      <c r="C6981" s="220" t="s">
        <v>9849</v>
      </c>
      <c r="D6981" s="220" t="s">
        <v>59</v>
      </c>
      <c r="E6981" s="165">
        <v>54</v>
      </c>
    </row>
    <row r="6982" spans="1:5" x14ac:dyDescent="0.25">
      <c r="A6982" s="216" t="s">
        <v>9386</v>
      </c>
      <c r="B6982" s="218" t="s">
        <v>48</v>
      </c>
      <c r="C6982" s="220" t="s">
        <v>6399</v>
      </c>
      <c r="D6982" s="220" t="s">
        <v>139</v>
      </c>
      <c r="E6982" s="165">
        <v>54</v>
      </c>
    </row>
    <row r="6983" spans="1:5" x14ac:dyDescent="0.25">
      <c r="A6983" s="216" t="s">
        <v>9224</v>
      </c>
      <c r="B6983" s="218">
        <v>1</v>
      </c>
      <c r="C6983" s="220" t="s">
        <v>333</v>
      </c>
      <c r="D6983" s="220" t="s">
        <v>277</v>
      </c>
      <c r="E6983" s="165">
        <v>54</v>
      </c>
    </row>
    <row r="6984" spans="1:5" x14ac:dyDescent="0.25">
      <c r="A6984" s="216" t="s">
        <v>11673</v>
      </c>
      <c r="B6984" s="218">
        <v>1</v>
      </c>
      <c r="C6984" s="220" t="s">
        <v>361</v>
      </c>
      <c r="D6984" s="220" t="s">
        <v>177</v>
      </c>
      <c r="E6984" s="165">
        <v>54</v>
      </c>
    </row>
    <row r="6985" spans="1:5" x14ac:dyDescent="0.25">
      <c r="A6985" s="216" t="s">
        <v>7614</v>
      </c>
      <c r="B6985" s="218">
        <v>1</v>
      </c>
      <c r="C6985" s="220" t="s">
        <v>473</v>
      </c>
      <c r="D6985" s="220" t="s">
        <v>82</v>
      </c>
      <c r="E6985" s="165">
        <v>54</v>
      </c>
    </row>
    <row r="6986" spans="1:5" x14ac:dyDescent="0.25">
      <c r="A6986" s="216" t="s">
        <v>9818</v>
      </c>
      <c r="B6986" s="218" t="s">
        <v>48</v>
      </c>
      <c r="C6986" s="220" t="s">
        <v>9819</v>
      </c>
      <c r="D6986" s="220" t="s">
        <v>166</v>
      </c>
      <c r="E6986" s="165">
        <v>54</v>
      </c>
    </row>
    <row r="6987" spans="1:5" x14ac:dyDescent="0.25">
      <c r="A6987" s="216" t="s">
        <v>9451</v>
      </c>
      <c r="B6987" s="218">
        <v>1</v>
      </c>
      <c r="C6987" s="220" t="s">
        <v>3417</v>
      </c>
      <c r="D6987" s="220" t="s">
        <v>50</v>
      </c>
      <c r="E6987" s="165">
        <v>54</v>
      </c>
    </row>
    <row r="6988" spans="1:5" x14ac:dyDescent="0.25">
      <c r="A6988" s="216" t="s">
        <v>9190</v>
      </c>
      <c r="B6988" s="218" t="s">
        <v>48</v>
      </c>
      <c r="C6988" s="220" t="s">
        <v>4504</v>
      </c>
      <c r="D6988" s="220" t="s">
        <v>56</v>
      </c>
      <c r="E6988" s="165">
        <v>53</v>
      </c>
    </row>
    <row r="6989" spans="1:5" x14ac:dyDescent="0.25">
      <c r="A6989" s="216" t="s">
        <v>9406</v>
      </c>
      <c r="B6989" s="218">
        <v>1</v>
      </c>
      <c r="C6989" s="220" t="s">
        <v>689</v>
      </c>
      <c r="D6989" s="220" t="s">
        <v>124</v>
      </c>
      <c r="E6989" s="165">
        <v>53</v>
      </c>
    </row>
    <row r="6990" spans="1:5" x14ac:dyDescent="0.25">
      <c r="A6990" s="216" t="s">
        <v>9517</v>
      </c>
      <c r="B6990" s="218">
        <v>1</v>
      </c>
      <c r="C6990" s="220" t="s">
        <v>9518</v>
      </c>
      <c r="D6990" s="220" t="s">
        <v>139</v>
      </c>
      <c r="E6990" s="165">
        <v>53</v>
      </c>
    </row>
    <row r="6991" spans="1:5" x14ac:dyDescent="0.25">
      <c r="A6991" s="216" t="s">
        <v>9360</v>
      </c>
      <c r="B6991" s="218">
        <v>1</v>
      </c>
      <c r="C6991" s="220" t="s">
        <v>9361</v>
      </c>
      <c r="D6991" s="220" t="s">
        <v>82</v>
      </c>
      <c r="E6991" s="165">
        <v>53</v>
      </c>
    </row>
    <row r="6992" spans="1:5" x14ac:dyDescent="0.25">
      <c r="A6992" s="216" t="s">
        <v>9483</v>
      </c>
      <c r="B6992" s="218">
        <v>1</v>
      </c>
      <c r="C6992" s="220" t="s">
        <v>2419</v>
      </c>
      <c r="D6992" s="220" t="s">
        <v>394</v>
      </c>
      <c r="E6992" s="165">
        <v>53</v>
      </c>
    </row>
    <row r="6993" spans="1:5" x14ac:dyDescent="0.25">
      <c r="A6993" s="216" t="s">
        <v>9571</v>
      </c>
      <c r="B6993" s="218">
        <v>1</v>
      </c>
      <c r="C6993" s="220" t="s">
        <v>9522</v>
      </c>
      <c r="D6993" s="220" t="s">
        <v>575</v>
      </c>
      <c r="E6993" s="165">
        <v>53</v>
      </c>
    </row>
    <row r="6994" spans="1:5" x14ac:dyDescent="0.25">
      <c r="A6994" s="216" t="s">
        <v>11674</v>
      </c>
      <c r="B6994" s="218">
        <v>1</v>
      </c>
      <c r="C6994" s="220" t="s">
        <v>1705</v>
      </c>
      <c r="D6994" s="220" t="s">
        <v>166</v>
      </c>
      <c r="E6994" s="165">
        <v>53</v>
      </c>
    </row>
    <row r="6995" spans="1:5" x14ac:dyDescent="0.25">
      <c r="A6995" s="216" t="s">
        <v>9307</v>
      </c>
      <c r="B6995" s="218" t="s">
        <v>48</v>
      </c>
      <c r="C6995" s="220" t="s">
        <v>9308</v>
      </c>
      <c r="D6995" s="220" t="s">
        <v>90</v>
      </c>
      <c r="E6995" s="165">
        <v>53</v>
      </c>
    </row>
    <row r="6996" spans="1:5" x14ac:dyDescent="0.25">
      <c r="A6996" s="216" t="s">
        <v>3490</v>
      </c>
      <c r="B6996" s="218">
        <v>1</v>
      </c>
      <c r="C6996" s="220" t="s">
        <v>3491</v>
      </c>
      <c r="D6996" s="220" t="s">
        <v>66</v>
      </c>
      <c r="E6996" s="165">
        <v>53</v>
      </c>
    </row>
    <row r="6997" spans="1:5" x14ac:dyDescent="0.25">
      <c r="A6997" s="216" t="s">
        <v>9508</v>
      </c>
      <c r="B6997" s="218">
        <v>1</v>
      </c>
      <c r="C6997" s="220" t="s">
        <v>1884</v>
      </c>
      <c r="D6997" s="220" t="s">
        <v>56</v>
      </c>
      <c r="E6997" s="165">
        <v>53</v>
      </c>
    </row>
    <row r="6998" spans="1:5" x14ac:dyDescent="0.25">
      <c r="A6998" s="216" t="s">
        <v>10313</v>
      </c>
      <c r="B6998" s="218" t="s">
        <v>48</v>
      </c>
      <c r="C6998" s="220" t="s">
        <v>3044</v>
      </c>
      <c r="D6998" s="220" t="s">
        <v>166</v>
      </c>
      <c r="E6998" s="165">
        <v>53</v>
      </c>
    </row>
    <row r="6999" spans="1:5" x14ac:dyDescent="0.25">
      <c r="A6999" s="216" t="s">
        <v>7216</v>
      </c>
      <c r="B6999" s="218" t="s">
        <v>48</v>
      </c>
      <c r="C6999" s="220" t="s">
        <v>1981</v>
      </c>
      <c r="D6999" s="220" t="s">
        <v>585</v>
      </c>
      <c r="E6999" s="165">
        <v>53</v>
      </c>
    </row>
    <row r="7000" spans="1:5" x14ac:dyDescent="0.25">
      <c r="A7000" s="216" t="s">
        <v>9499</v>
      </c>
      <c r="B7000" s="218">
        <v>1</v>
      </c>
      <c r="C7000" s="220" t="s">
        <v>2696</v>
      </c>
      <c r="D7000" s="220" t="s">
        <v>394</v>
      </c>
      <c r="E7000" s="165">
        <v>53</v>
      </c>
    </row>
    <row r="7001" spans="1:5" x14ac:dyDescent="0.25">
      <c r="A7001" s="216" t="s">
        <v>9618</v>
      </c>
      <c r="B7001" s="218" t="s">
        <v>48</v>
      </c>
      <c r="C7001" s="220" t="s">
        <v>8463</v>
      </c>
      <c r="D7001" s="220" t="s">
        <v>59</v>
      </c>
      <c r="E7001" s="165">
        <v>52</v>
      </c>
    </row>
    <row r="7002" spans="1:5" x14ac:dyDescent="0.25">
      <c r="A7002" s="216" t="s">
        <v>9479</v>
      </c>
      <c r="B7002" s="218" t="s">
        <v>48</v>
      </c>
      <c r="C7002" s="220" t="s">
        <v>2453</v>
      </c>
      <c r="D7002" s="220" t="s">
        <v>93</v>
      </c>
      <c r="E7002" s="165">
        <v>52</v>
      </c>
    </row>
    <row r="7003" spans="1:5" x14ac:dyDescent="0.25">
      <c r="A7003" s="216" t="s">
        <v>9328</v>
      </c>
      <c r="B7003" s="218">
        <v>1</v>
      </c>
      <c r="C7003" s="220" t="s">
        <v>1846</v>
      </c>
      <c r="D7003" s="220" t="s">
        <v>142</v>
      </c>
      <c r="E7003" s="165">
        <v>52</v>
      </c>
    </row>
    <row r="7004" spans="1:5" x14ac:dyDescent="0.25">
      <c r="A7004" s="216" t="s">
        <v>9463</v>
      </c>
      <c r="B7004" s="218">
        <v>1</v>
      </c>
      <c r="C7004" s="220" t="s">
        <v>8828</v>
      </c>
      <c r="D7004" s="220" t="s">
        <v>66</v>
      </c>
      <c r="E7004" s="165">
        <v>52</v>
      </c>
    </row>
    <row r="7005" spans="1:5" x14ac:dyDescent="0.25">
      <c r="A7005" s="216" t="s">
        <v>9488</v>
      </c>
      <c r="B7005" s="218">
        <v>1</v>
      </c>
      <c r="C7005" s="220" t="s">
        <v>86</v>
      </c>
      <c r="D7005" s="220" t="s">
        <v>78</v>
      </c>
      <c r="E7005" s="165">
        <v>52</v>
      </c>
    </row>
    <row r="7006" spans="1:5" x14ac:dyDescent="0.25">
      <c r="A7006" s="216" t="s">
        <v>9341</v>
      </c>
      <c r="B7006" s="218">
        <v>1</v>
      </c>
      <c r="C7006" s="220" t="s">
        <v>1293</v>
      </c>
      <c r="D7006" s="220" t="s">
        <v>93</v>
      </c>
      <c r="E7006" s="165">
        <v>52</v>
      </c>
    </row>
    <row r="7007" spans="1:5" x14ac:dyDescent="0.25">
      <c r="A7007" s="216" t="s">
        <v>8942</v>
      </c>
      <c r="B7007" s="218" t="s">
        <v>48</v>
      </c>
      <c r="C7007" s="220" t="s">
        <v>321</v>
      </c>
      <c r="D7007" s="220" t="s">
        <v>90</v>
      </c>
      <c r="E7007" s="165">
        <v>52</v>
      </c>
    </row>
    <row r="7008" spans="1:5" x14ac:dyDescent="0.25">
      <c r="A7008" s="216" t="s">
        <v>9448</v>
      </c>
      <c r="B7008" s="218">
        <v>1</v>
      </c>
      <c r="C7008" s="220" t="s">
        <v>1909</v>
      </c>
      <c r="D7008" s="220" t="s">
        <v>56</v>
      </c>
      <c r="E7008" s="165">
        <v>52</v>
      </c>
    </row>
    <row r="7009" spans="1:5" x14ac:dyDescent="0.25">
      <c r="A7009" s="216" t="s">
        <v>11675</v>
      </c>
      <c r="B7009" s="218" t="s">
        <v>48</v>
      </c>
      <c r="C7009" s="220" t="s">
        <v>2417</v>
      </c>
      <c r="D7009" s="220" t="s">
        <v>53</v>
      </c>
      <c r="E7009" s="165">
        <v>52</v>
      </c>
    </row>
    <row r="7010" spans="1:5" x14ac:dyDescent="0.25">
      <c r="A7010" s="216" t="s">
        <v>9497</v>
      </c>
      <c r="B7010" s="218">
        <v>1</v>
      </c>
      <c r="C7010" s="220" t="s">
        <v>3250</v>
      </c>
      <c r="D7010" s="220" t="s">
        <v>98</v>
      </c>
      <c r="E7010" s="165">
        <v>52</v>
      </c>
    </row>
    <row r="7011" spans="1:5" x14ac:dyDescent="0.25">
      <c r="A7011" s="216" t="s">
        <v>10076</v>
      </c>
      <c r="B7011" s="218">
        <v>1</v>
      </c>
      <c r="C7011" s="220" t="s">
        <v>3551</v>
      </c>
      <c r="D7011" s="220" t="s">
        <v>272</v>
      </c>
      <c r="E7011" s="165">
        <v>52</v>
      </c>
    </row>
    <row r="7012" spans="1:5" x14ac:dyDescent="0.25">
      <c r="A7012" s="216" t="s">
        <v>5709</v>
      </c>
      <c r="B7012" s="218">
        <v>1</v>
      </c>
      <c r="C7012" s="220" t="s">
        <v>1573</v>
      </c>
      <c r="D7012" s="220" t="s">
        <v>56</v>
      </c>
      <c r="E7012" s="165">
        <v>51</v>
      </c>
    </row>
    <row r="7013" spans="1:5" x14ac:dyDescent="0.25">
      <c r="A7013" s="216" t="s">
        <v>8884</v>
      </c>
      <c r="B7013" s="218">
        <v>1</v>
      </c>
      <c r="C7013" s="220" t="s">
        <v>8885</v>
      </c>
      <c r="D7013" s="220" t="s">
        <v>93</v>
      </c>
      <c r="E7013" s="165">
        <v>51</v>
      </c>
    </row>
    <row r="7014" spans="1:5" x14ac:dyDescent="0.25">
      <c r="A7014" s="216" t="s">
        <v>9534</v>
      </c>
      <c r="B7014" s="218">
        <v>1</v>
      </c>
      <c r="C7014" s="220" t="s">
        <v>1821</v>
      </c>
      <c r="D7014" s="220" t="s">
        <v>56</v>
      </c>
      <c r="E7014" s="165">
        <v>51</v>
      </c>
    </row>
    <row r="7015" spans="1:5" x14ac:dyDescent="0.25">
      <c r="A7015" s="216" t="s">
        <v>11676</v>
      </c>
      <c r="B7015" s="218" t="s">
        <v>48</v>
      </c>
      <c r="C7015" s="220" t="s">
        <v>9515</v>
      </c>
      <c r="D7015" s="220" t="s">
        <v>166</v>
      </c>
      <c r="E7015" s="165">
        <v>51</v>
      </c>
    </row>
    <row r="7016" spans="1:5" x14ac:dyDescent="0.25">
      <c r="A7016" s="216" t="s">
        <v>9454</v>
      </c>
      <c r="B7016" s="218">
        <v>1</v>
      </c>
      <c r="C7016" s="220" t="s">
        <v>9455</v>
      </c>
      <c r="D7016" s="220" t="s">
        <v>56</v>
      </c>
      <c r="E7016" s="165">
        <v>51</v>
      </c>
    </row>
    <row r="7017" spans="1:5" x14ac:dyDescent="0.25">
      <c r="A7017" s="216" t="s">
        <v>8023</v>
      </c>
      <c r="B7017" s="218" t="s">
        <v>48</v>
      </c>
      <c r="C7017" s="220" t="s">
        <v>313</v>
      </c>
      <c r="D7017" s="220" t="s">
        <v>90</v>
      </c>
      <c r="E7017" s="165">
        <v>51</v>
      </c>
    </row>
    <row r="7018" spans="1:5" x14ac:dyDescent="0.25">
      <c r="A7018" s="216" t="s">
        <v>9558</v>
      </c>
      <c r="B7018" s="218">
        <v>1</v>
      </c>
      <c r="C7018" s="220" t="s">
        <v>306</v>
      </c>
      <c r="D7018" s="220" t="s">
        <v>63</v>
      </c>
      <c r="E7018" s="165">
        <v>51</v>
      </c>
    </row>
    <row r="7019" spans="1:5" x14ac:dyDescent="0.25">
      <c r="A7019" s="216" t="s">
        <v>9484</v>
      </c>
      <c r="B7019" s="218" t="s">
        <v>48</v>
      </c>
      <c r="C7019" s="220" t="s">
        <v>1164</v>
      </c>
      <c r="D7019" s="220" t="s">
        <v>188</v>
      </c>
      <c r="E7019" s="165">
        <v>51</v>
      </c>
    </row>
    <row r="7020" spans="1:5" x14ac:dyDescent="0.25">
      <c r="A7020" s="216" t="s">
        <v>9486</v>
      </c>
      <c r="B7020" s="218">
        <v>1</v>
      </c>
      <c r="C7020" s="220" t="s">
        <v>295</v>
      </c>
      <c r="D7020" s="220" t="s">
        <v>56</v>
      </c>
      <c r="E7020" s="165">
        <v>51</v>
      </c>
    </row>
    <row r="7021" spans="1:5" x14ac:dyDescent="0.25">
      <c r="A7021" s="216" t="s">
        <v>11677</v>
      </c>
      <c r="B7021" s="218" t="s">
        <v>48</v>
      </c>
      <c r="C7021" s="220" t="s">
        <v>11527</v>
      </c>
      <c r="D7021" s="220" t="s">
        <v>78</v>
      </c>
      <c r="E7021" s="165">
        <v>51</v>
      </c>
    </row>
    <row r="7022" spans="1:5" x14ac:dyDescent="0.25">
      <c r="A7022" s="216" t="s">
        <v>9259</v>
      </c>
      <c r="B7022" s="218" t="s">
        <v>48</v>
      </c>
      <c r="C7022" s="220" t="s">
        <v>1243</v>
      </c>
      <c r="D7022" s="220" t="s">
        <v>166</v>
      </c>
      <c r="E7022" s="165">
        <v>51</v>
      </c>
    </row>
    <row r="7023" spans="1:5" x14ac:dyDescent="0.25">
      <c r="A7023" s="216" t="s">
        <v>8109</v>
      </c>
      <c r="B7023" s="218" t="s">
        <v>48</v>
      </c>
      <c r="C7023" s="220" t="s">
        <v>5246</v>
      </c>
      <c r="D7023" s="220" t="s">
        <v>90</v>
      </c>
      <c r="E7023" s="165">
        <v>51</v>
      </c>
    </row>
    <row r="7024" spans="1:5" x14ac:dyDescent="0.25">
      <c r="A7024" s="216" t="s">
        <v>9058</v>
      </c>
      <c r="B7024" s="218" t="s">
        <v>48</v>
      </c>
      <c r="C7024" s="220" t="s">
        <v>4812</v>
      </c>
      <c r="D7024" s="220" t="s">
        <v>59</v>
      </c>
      <c r="E7024" s="165">
        <v>51</v>
      </c>
    </row>
    <row r="7025" spans="1:5" x14ac:dyDescent="0.25">
      <c r="A7025" s="216" t="s">
        <v>9466</v>
      </c>
      <c r="B7025" s="218" t="s">
        <v>48</v>
      </c>
      <c r="C7025" s="220" t="s">
        <v>1798</v>
      </c>
      <c r="D7025" s="220" t="s">
        <v>108</v>
      </c>
      <c r="E7025" s="165">
        <v>51</v>
      </c>
    </row>
    <row r="7026" spans="1:5" x14ac:dyDescent="0.25">
      <c r="A7026" s="216" t="s">
        <v>9387</v>
      </c>
      <c r="B7026" s="218">
        <v>1</v>
      </c>
      <c r="C7026" s="220" t="s">
        <v>71</v>
      </c>
      <c r="D7026" s="220" t="s">
        <v>272</v>
      </c>
      <c r="E7026" s="165">
        <v>51</v>
      </c>
    </row>
    <row r="7027" spans="1:5" x14ac:dyDescent="0.25">
      <c r="A7027" s="216" t="s">
        <v>8838</v>
      </c>
      <c r="B7027" s="218" t="s">
        <v>48</v>
      </c>
      <c r="C7027" s="220" t="s">
        <v>8839</v>
      </c>
      <c r="D7027" s="220" t="s">
        <v>53</v>
      </c>
      <c r="E7027" s="165">
        <v>51</v>
      </c>
    </row>
    <row r="7028" spans="1:5" x14ac:dyDescent="0.25">
      <c r="A7028" s="216" t="s">
        <v>11678</v>
      </c>
      <c r="B7028" s="218">
        <v>1</v>
      </c>
      <c r="C7028" s="220" t="s">
        <v>11327</v>
      </c>
      <c r="D7028" s="220" t="s">
        <v>378</v>
      </c>
      <c r="E7028" s="165">
        <v>51</v>
      </c>
    </row>
    <row r="7029" spans="1:5" x14ac:dyDescent="0.25">
      <c r="A7029" s="216" t="s">
        <v>9547</v>
      </c>
      <c r="B7029" s="218">
        <v>1</v>
      </c>
      <c r="C7029" s="220" t="s">
        <v>411</v>
      </c>
      <c r="D7029" s="220" t="s">
        <v>56</v>
      </c>
      <c r="E7029" s="165">
        <v>51</v>
      </c>
    </row>
    <row r="7030" spans="1:5" x14ac:dyDescent="0.25">
      <c r="A7030" s="216" t="s">
        <v>9548</v>
      </c>
      <c r="B7030" s="218" t="s">
        <v>48</v>
      </c>
      <c r="C7030" s="220" t="s">
        <v>313</v>
      </c>
      <c r="D7030" s="220" t="s">
        <v>90</v>
      </c>
      <c r="E7030" s="165">
        <v>51</v>
      </c>
    </row>
    <row r="7031" spans="1:5" x14ac:dyDescent="0.25">
      <c r="A7031" s="216" t="s">
        <v>9141</v>
      </c>
      <c r="B7031" s="218" t="s">
        <v>48</v>
      </c>
      <c r="C7031" s="220" t="s">
        <v>1347</v>
      </c>
      <c r="D7031" s="220" t="s">
        <v>59</v>
      </c>
      <c r="E7031" s="165">
        <v>51</v>
      </c>
    </row>
    <row r="7032" spans="1:5" x14ac:dyDescent="0.25">
      <c r="A7032" s="216" t="s">
        <v>9474</v>
      </c>
      <c r="B7032" s="218">
        <v>1</v>
      </c>
      <c r="C7032" s="220" t="s">
        <v>9475</v>
      </c>
      <c r="D7032" s="220" t="s">
        <v>177</v>
      </c>
      <c r="E7032" s="165">
        <v>51</v>
      </c>
    </row>
    <row r="7033" spans="1:5" x14ac:dyDescent="0.25">
      <c r="A7033" s="216" t="s">
        <v>9404</v>
      </c>
      <c r="B7033" s="218">
        <v>1</v>
      </c>
      <c r="C7033" s="220" t="s">
        <v>9405</v>
      </c>
      <c r="D7033" s="220" t="s">
        <v>130</v>
      </c>
      <c r="E7033" s="165">
        <v>51</v>
      </c>
    </row>
    <row r="7034" spans="1:5" x14ac:dyDescent="0.25">
      <c r="A7034" s="216" t="s">
        <v>8998</v>
      </c>
      <c r="B7034" s="218" t="s">
        <v>48</v>
      </c>
      <c r="C7034" s="220" t="s">
        <v>3056</v>
      </c>
      <c r="D7034" s="220" t="s">
        <v>90</v>
      </c>
      <c r="E7034" s="165">
        <v>50</v>
      </c>
    </row>
    <row r="7035" spans="1:5" x14ac:dyDescent="0.25">
      <c r="A7035" s="216" t="s">
        <v>11679</v>
      </c>
      <c r="B7035" s="218" t="s">
        <v>48</v>
      </c>
      <c r="C7035" s="220" t="s">
        <v>11680</v>
      </c>
      <c r="D7035" s="220" t="s">
        <v>139</v>
      </c>
      <c r="E7035" s="165">
        <v>50</v>
      </c>
    </row>
    <row r="7036" spans="1:5" x14ac:dyDescent="0.25">
      <c r="A7036" s="216" t="s">
        <v>8452</v>
      </c>
      <c r="B7036" s="218" t="s">
        <v>48</v>
      </c>
      <c r="C7036" s="220" t="s">
        <v>8453</v>
      </c>
      <c r="D7036" s="220" t="s">
        <v>98</v>
      </c>
      <c r="E7036" s="165">
        <v>50</v>
      </c>
    </row>
    <row r="7037" spans="1:5" x14ac:dyDescent="0.25">
      <c r="A7037" s="216" t="s">
        <v>9538</v>
      </c>
      <c r="B7037" s="218">
        <v>1</v>
      </c>
      <c r="C7037" s="220" t="s">
        <v>68</v>
      </c>
      <c r="D7037" s="220" t="s">
        <v>63</v>
      </c>
      <c r="E7037" s="165">
        <v>50</v>
      </c>
    </row>
    <row r="7038" spans="1:5" x14ac:dyDescent="0.25">
      <c r="A7038" s="216" t="s">
        <v>8419</v>
      </c>
      <c r="B7038" s="218" t="s">
        <v>48</v>
      </c>
      <c r="C7038" s="220" t="s">
        <v>4101</v>
      </c>
      <c r="D7038" s="220" t="s">
        <v>50</v>
      </c>
      <c r="E7038" s="165">
        <v>50</v>
      </c>
    </row>
    <row r="7039" spans="1:5" x14ac:dyDescent="0.25">
      <c r="A7039" s="216" t="s">
        <v>9461</v>
      </c>
      <c r="B7039" s="218">
        <v>1</v>
      </c>
      <c r="C7039" s="220" t="s">
        <v>4863</v>
      </c>
      <c r="D7039" s="220" t="s">
        <v>98</v>
      </c>
      <c r="E7039" s="165">
        <v>50</v>
      </c>
    </row>
    <row r="7040" spans="1:5" x14ac:dyDescent="0.25">
      <c r="A7040" s="216" t="s">
        <v>6757</v>
      </c>
      <c r="B7040" s="218" t="s">
        <v>48</v>
      </c>
      <c r="C7040" s="220" t="s">
        <v>424</v>
      </c>
      <c r="D7040" s="220" t="s">
        <v>59</v>
      </c>
      <c r="E7040" s="165">
        <v>50</v>
      </c>
    </row>
    <row r="7041" spans="1:5" x14ac:dyDescent="0.25">
      <c r="A7041" s="216" t="s">
        <v>9566</v>
      </c>
      <c r="B7041" s="218" t="s">
        <v>48</v>
      </c>
      <c r="C7041" s="220" t="s">
        <v>3192</v>
      </c>
      <c r="D7041" s="220" t="s">
        <v>236</v>
      </c>
      <c r="E7041" s="165">
        <v>50</v>
      </c>
    </row>
    <row r="7042" spans="1:5" x14ac:dyDescent="0.25">
      <c r="A7042" s="216" t="s">
        <v>9769</v>
      </c>
      <c r="B7042" s="218" t="s">
        <v>48</v>
      </c>
      <c r="C7042" s="220" t="s">
        <v>89</v>
      </c>
      <c r="D7042" s="220" t="s">
        <v>90</v>
      </c>
      <c r="E7042" s="165">
        <v>50</v>
      </c>
    </row>
    <row r="7043" spans="1:5" x14ac:dyDescent="0.25">
      <c r="A7043" s="216" t="s">
        <v>9504</v>
      </c>
      <c r="B7043" s="218">
        <v>1</v>
      </c>
      <c r="C7043" s="220" t="s">
        <v>9505</v>
      </c>
      <c r="D7043" s="220" t="s">
        <v>124</v>
      </c>
      <c r="E7043" s="165">
        <v>50</v>
      </c>
    </row>
    <row r="7044" spans="1:5" x14ac:dyDescent="0.25">
      <c r="A7044" s="216" t="s">
        <v>9915</v>
      </c>
      <c r="B7044" s="218" t="s">
        <v>48</v>
      </c>
      <c r="C7044" s="220" t="s">
        <v>9916</v>
      </c>
      <c r="D7044" s="220" t="s">
        <v>585</v>
      </c>
      <c r="E7044" s="165">
        <v>50</v>
      </c>
    </row>
    <row r="7045" spans="1:5" x14ac:dyDescent="0.25">
      <c r="A7045" s="216" t="s">
        <v>9220</v>
      </c>
      <c r="B7045" s="218">
        <v>1</v>
      </c>
      <c r="C7045" s="220" t="s">
        <v>61</v>
      </c>
      <c r="D7045" s="220" t="s">
        <v>56</v>
      </c>
      <c r="E7045" s="165">
        <v>50</v>
      </c>
    </row>
    <row r="7046" spans="1:5" x14ac:dyDescent="0.25">
      <c r="A7046" s="216" t="s">
        <v>9541</v>
      </c>
      <c r="B7046" s="218">
        <v>1</v>
      </c>
      <c r="C7046" s="220" t="s">
        <v>9542</v>
      </c>
      <c r="D7046" s="220" t="s">
        <v>63</v>
      </c>
      <c r="E7046" s="165">
        <v>50</v>
      </c>
    </row>
    <row r="7047" spans="1:5" x14ac:dyDescent="0.25">
      <c r="A7047" s="216" t="s">
        <v>9524</v>
      </c>
      <c r="B7047" s="218" t="s">
        <v>48</v>
      </c>
      <c r="C7047" s="220" t="s">
        <v>9525</v>
      </c>
      <c r="D7047" s="220" t="s">
        <v>188</v>
      </c>
      <c r="E7047" s="165">
        <v>50</v>
      </c>
    </row>
    <row r="7048" spans="1:5" x14ac:dyDescent="0.25">
      <c r="A7048" s="216" t="s">
        <v>9469</v>
      </c>
      <c r="B7048" s="218">
        <v>1</v>
      </c>
      <c r="C7048" s="220" t="s">
        <v>3250</v>
      </c>
      <c r="D7048" s="220" t="s">
        <v>98</v>
      </c>
      <c r="E7048" s="165">
        <v>50</v>
      </c>
    </row>
    <row r="7049" spans="1:5" x14ac:dyDescent="0.25">
      <c r="A7049" s="216" t="s">
        <v>9509</v>
      </c>
      <c r="B7049" s="218">
        <v>1</v>
      </c>
      <c r="C7049" s="220" t="s">
        <v>7069</v>
      </c>
      <c r="D7049" s="220" t="s">
        <v>124</v>
      </c>
      <c r="E7049" s="165">
        <v>50</v>
      </c>
    </row>
    <row r="7050" spans="1:5" x14ac:dyDescent="0.25">
      <c r="A7050" s="216" t="s">
        <v>9510</v>
      </c>
      <c r="B7050" s="218" t="s">
        <v>48</v>
      </c>
      <c r="C7050" s="220" t="s">
        <v>6560</v>
      </c>
      <c r="D7050" s="220" t="s">
        <v>517</v>
      </c>
      <c r="E7050" s="165">
        <v>50</v>
      </c>
    </row>
    <row r="7051" spans="1:5" x14ac:dyDescent="0.25">
      <c r="A7051" s="216" t="s">
        <v>3613</v>
      </c>
      <c r="B7051" s="218">
        <v>1</v>
      </c>
      <c r="C7051" s="220" t="s">
        <v>2658</v>
      </c>
      <c r="D7051" s="220" t="s">
        <v>69</v>
      </c>
      <c r="E7051" s="165">
        <v>50</v>
      </c>
    </row>
    <row r="7052" spans="1:5" x14ac:dyDescent="0.25">
      <c r="A7052" s="216" t="s">
        <v>8552</v>
      </c>
      <c r="B7052" s="218" t="s">
        <v>48</v>
      </c>
      <c r="C7052" s="220" t="s">
        <v>8007</v>
      </c>
      <c r="D7052" s="220" t="s">
        <v>378</v>
      </c>
      <c r="E7052" s="165">
        <v>50</v>
      </c>
    </row>
    <row r="7053" spans="1:5" x14ac:dyDescent="0.25">
      <c r="A7053" s="216" t="s">
        <v>9603</v>
      </c>
      <c r="B7053" s="218">
        <v>1</v>
      </c>
      <c r="C7053" s="220" t="s">
        <v>219</v>
      </c>
      <c r="D7053" s="220" t="s">
        <v>56</v>
      </c>
      <c r="E7053" s="165">
        <v>50</v>
      </c>
    </row>
    <row r="7054" spans="1:5" x14ac:dyDescent="0.25">
      <c r="A7054" s="216" t="s">
        <v>9919</v>
      </c>
      <c r="B7054" s="218">
        <v>1</v>
      </c>
      <c r="C7054" s="220" t="s">
        <v>3871</v>
      </c>
      <c r="D7054" s="220" t="s">
        <v>177</v>
      </c>
      <c r="E7054" s="165">
        <v>50</v>
      </c>
    </row>
    <row r="7055" spans="1:5" x14ac:dyDescent="0.25">
      <c r="A7055" s="216" t="s">
        <v>9491</v>
      </c>
      <c r="B7055" s="218">
        <v>1</v>
      </c>
      <c r="C7055" s="220" t="s">
        <v>7390</v>
      </c>
      <c r="D7055" s="220" t="s">
        <v>177</v>
      </c>
      <c r="E7055" s="165">
        <v>50</v>
      </c>
    </row>
    <row r="7056" spans="1:5" x14ac:dyDescent="0.25">
      <c r="A7056" s="216" t="s">
        <v>9197</v>
      </c>
      <c r="B7056" s="218">
        <v>1</v>
      </c>
      <c r="C7056" s="220" t="s">
        <v>3833</v>
      </c>
      <c r="D7056" s="220" t="s">
        <v>166</v>
      </c>
      <c r="E7056" s="165">
        <v>50</v>
      </c>
    </row>
    <row r="7057" spans="1:5" x14ac:dyDescent="0.25">
      <c r="A7057" s="216" t="s">
        <v>8314</v>
      </c>
      <c r="B7057" s="218" t="s">
        <v>48</v>
      </c>
      <c r="C7057" s="220" t="s">
        <v>6725</v>
      </c>
      <c r="D7057" s="220" t="s">
        <v>585</v>
      </c>
      <c r="E7057" s="165">
        <v>50</v>
      </c>
    </row>
    <row r="7058" spans="1:5" x14ac:dyDescent="0.25">
      <c r="A7058" s="216" t="s">
        <v>11681</v>
      </c>
      <c r="B7058" s="218">
        <v>1</v>
      </c>
      <c r="C7058" s="220" t="s">
        <v>11682</v>
      </c>
      <c r="D7058" s="220" t="s">
        <v>56</v>
      </c>
      <c r="E7058" s="165">
        <v>50</v>
      </c>
    </row>
    <row r="7059" spans="1:5" x14ac:dyDescent="0.25">
      <c r="A7059" s="216" t="s">
        <v>8535</v>
      </c>
      <c r="B7059" s="218">
        <v>1</v>
      </c>
      <c r="C7059" s="220" t="s">
        <v>2274</v>
      </c>
      <c r="D7059" s="220" t="s">
        <v>63</v>
      </c>
      <c r="E7059" s="165">
        <v>49</v>
      </c>
    </row>
    <row r="7060" spans="1:5" x14ac:dyDescent="0.25">
      <c r="A7060" s="216" t="s">
        <v>7921</v>
      </c>
      <c r="B7060" s="218" t="s">
        <v>48</v>
      </c>
      <c r="C7060" s="220" t="s">
        <v>7922</v>
      </c>
      <c r="D7060" s="220" t="s">
        <v>166</v>
      </c>
      <c r="E7060" s="165">
        <v>49</v>
      </c>
    </row>
    <row r="7061" spans="1:5" x14ac:dyDescent="0.25">
      <c r="A7061" s="216" t="s">
        <v>9519</v>
      </c>
      <c r="B7061" s="218">
        <v>1</v>
      </c>
      <c r="C7061" s="220" t="s">
        <v>4612</v>
      </c>
      <c r="D7061" s="220" t="s">
        <v>66</v>
      </c>
      <c r="E7061" s="165">
        <v>49</v>
      </c>
    </row>
    <row r="7062" spans="1:5" x14ac:dyDescent="0.25">
      <c r="A7062" s="216" t="s">
        <v>10357</v>
      </c>
      <c r="B7062" s="218" t="s">
        <v>48</v>
      </c>
      <c r="C7062" s="220" t="s">
        <v>10358</v>
      </c>
      <c r="D7062" s="220" t="s">
        <v>53</v>
      </c>
      <c r="E7062" s="165">
        <v>49</v>
      </c>
    </row>
    <row r="7063" spans="1:5" x14ac:dyDescent="0.25">
      <c r="A7063" s="216" t="s">
        <v>4383</v>
      </c>
      <c r="B7063" s="218" t="s">
        <v>48</v>
      </c>
      <c r="C7063" s="220" t="s">
        <v>4384</v>
      </c>
      <c r="D7063" s="220" t="s">
        <v>139</v>
      </c>
      <c r="E7063" s="165">
        <v>49</v>
      </c>
    </row>
    <row r="7064" spans="1:5" x14ac:dyDescent="0.25">
      <c r="A7064" s="216" t="s">
        <v>11683</v>
      </c>
      <c r="B7064" s="218">
        <v>1</v>
      </c>
      <c r="C7064" s="220" t="s">
        <v>2223</v>
      </c>
      <c r="D7064" s="220" t="s">
        <v>56</v>
      </c>
      <c r="E7064" s="165">
        <v>49</v>
      </c>
    </row>
    <row r="7065" spans="1:5" x14ac:dyDescent="0.25">
      <c r="A7065" s="216" t="s">
        <v>9214</v>
      </c>
      <c r="B7065" s="218">
        <v>1</v>
      </c>
      <c r="C7065" s="220" t="s">
        <v>2443</v>
      </c>
      <c r="D7065" s="220" t="s">
        <v>59</v>
      </c>
      <c r="E7065" s="165">
        <v>49</v>
      </c>
    </row>
    <row r="7066" spans="1:5" x14ac:dyDescent="0.25">
      <c r="A7066" s="216" t="s">
        <v>9462</v>
      </c>
      <c r="B7066" s="218">
        <v>1</v>
      </c>
      <c r="C7066" s="220" t="s">
        <v>8174</v>
      </c>
      <c r="D7066" s="220" t="s">
        <v>201</v>
      </c>
      <c r="E7066" s="165">
        <v>49</v>
      </c>
    </row>
    <row r="7067" spans="1:5" x14ac:dyDescent="0.25">
      <c r="A7067" s="216" t="s">
        <v>5601</v>
      </c>
      <c r="B7067" s="218">
        <v>1</v>
      </c>
      <c r="C7067" s="220" t="s">
        <v>634</v>
      </c>
      <c r="D7067" s="220" t="s">
        <v>264</v>
      </c>
      <c r="E7067" s="165">
        <v>49</v>
      </c>
    </row>
    <row r="7068" spans="1:5" x14ac:dyDescent="0.25">
      <c r="A7068" s="216" t="s">
        <v>11684</v>
      </c>
      <c r="B7068" s="218">
        <v>1</v>
      </c>
      <c r="C7068" s="220" t="s">
        <v>4894</v>
      </c>
      <c r="D7068" s="220" t="s">
        <v>87</v>
      </c>
      <c r="E7068" s="165">
        <v>49</v>
      </c>
    </row>
    <row r="7069" spans="1:5" x14ac:dyDescent="0.25">
      <c r="A7069" s="216" t="s">
        <v>9580</v>
      </c>
      <c r="B7069" s="218">
        <v>1</v>
      </c>
      <c r="C7069" s="220" t="s">
        <v>9390</v>
      </c>
      <c r="D7069" s="220" t="s">
        <v>50</v>
      </c>
      <c r="E7069" s="165">
        <v>49</v>
      </c>
    </row>
    <row r="7070" spans="1:5" x14ac:dyDescent="0.25">
      <c r="A7070" s="216" t="s">
        <v>11685</v>
      </c>
      <c r="B7070" s="218">
        <v>1</v>
      </c>
      <c r="C7070" s="220" t="s">
        <v>10942</v>
      </c>
      <c r="D7070" s="220" t="s">
        <v>93</v>
      </c>
      <c r="E7070" s="165">
        <v>49</v>
      </c>
    </row>
    <row r="7071" spans="1:5" x14ac:dyDescent="0.25">
      <c r="A7071" s="216" t="s">
        <v>9186</v>
      </c>
      <c r="B7071" s="218" t="s">
        <v>48</v>
      </c>
      <c r="C7071" s="220" t="s">
        <v>3619</v>
      </c>
      <c r="D7071" s="220" t="s">
        <v>166</v>
      </c>
      <c r="E7071" s="165">
        <v>49</v>
      </c>
    </row>
    <row r="7072" spans="1:5" x14ac:dyDescent="0.25">
      <c r="A7072" s="216" t="s">
        <v>9623</v>
      </c>
      <c r="B7072" s="218" t="s">
        <v>48</v>
      </c>
      <c r="C7072" s="220" t="s">
        <v>8566</v>
      </c>
      <c r="D7072" s="220" t="s">
        <v>166</v>
      </c>
      <c r="E7072" s="165">
        <v>49</v>
      </c>
    </row>
    <row r="7073" spans="1:5" x14ac:dyDescent="0.25">
      <c r="A7073" s="216" t="s">
        <v>9608</v>
      </c>
      <c r="B7073" s="218" t="s">
        <v>48</v>
      </c>
      <c r="C7073" s="220" t="s">
        <v>9609</v>
      </c>
      <c r="D7073" s="220" t="s">
        <v>87</v>
      </c>
      <c r="E7073" s="165">
        <v>49</v>
      </c>
    </row>
    <row r="7074" spans="1:5" x14ac:dyDescent="0.25">
      <c r="A7074" s="216" t="s">
        <v>9492</v>
      </c>
      <c r="B7074" s="218" t="s">
        <v>48</v>
      </c>
      <c r="C7074" s="220" t="s">
        <v>9493</v>
      </c>
      <c r="D7074" s="220" t="s">
        <v>348</v>
      </c>
      <c r="E7074" s="165">
        <v>49</v>
      </c>
    </row>
    <row r="7075" spans="1:5" x14ac:dyDescent="0.25">
      <c r="A7075" s="216" t="s">
        <v>2835</v>
      </c>
      <c r="B7075" s="218">
        <v>1</v>
      </c>
      <c r="C7075" s="220" t="s">
        <v>429</v>
      </c>
      <c r="D7075" s="220" t="s">
        <v>98</v>
      </c>
      <c r="E7075" s="165">
        <v>49</v>
      </c>
    </row>
    <row r="7076" spans="1:5" x14ac:dyDescent="0.25">
      <c r="A7076" s="216" t="s">
        <v>9626</v>
      </c>
      <c r="B7076" s="218" t="s">
        <v>48</v>
      </c>
      <c r="C7076" s="220" t="s">
        <v>9627</v>
      </c>
      <c r="D7076" s="220" t="s">
        <v>75</v>
      </c>
      <c r="E7076" s="165">
        <v>48</v>
      </c>
    </row>
    <row r="7077" spans="1:5" x14ac:dyDescent="0.25">
      <c r="A7077" s="216" t="s">
        <v>9616</v>
      </c>
      <c r="B7077" s="218" t="s">
        <v>48</v>
      </c>
      <c r="C7077" s="220" t="s">
        <v>9617</v>
      </c>
      <c r="D7077" s="220" t="s">
        <v>124</v>
      </c>
      <c r="E7077" s="165">
        <v>48</v>
      </c>
    </row>
    <row r="7078" spans="1:5" x14ac:dyDescent="0.25">
      <c r="A7078" s="216" t="s">
        <v>9645</v>
      </c>
      <c r="B7078" s="218" t="s">
        <v>48</v>
      </c>
      <c r="C7078" s="220" t="s">
        <v>9467</v>
      </c>
      <c r="D7078" s="220" t="s">
        <v>59</v>
      </c>
      <c r="E7078" s="165">
        <v>48</v>
      </c>
    </row>
    <row r="7079" spans="1:5" x14ac:dyDescent="0.25">
      <c r="A7079" s="216" t="s">
        <v>9482</v>
      </c>
      <c r="B7079" s="218" t="s">
        <v>48</v>
      </c>
      <c r="C7079" s="220" t="s">
        <v>321</v>
      </c>
      <c r="D7079" s="220" t="s">
        <v>90</v>
      </c>
      <c r="E7079" s="165">
        <v>48</v>
      </c>
    </row>
    <row r="7080" spans="1:5" x14ac:dyDescent="0.25">
      <c r="A7080" s="216" t="s">
        <v>9730</v>
      </c>
      <c r="B7080" s="218" t="s">
        <v>48</v>
      </c>
      <c r="C7080" s="220" t="s">
        <v>2582</v>
      </c>
      <c r="D7080" s="220" t="s">
        <v>56</v>
      </c>
      <c r="E7080" s="165">
        <v>48</v>
      </c>
    </row>
    <row r="7081" spans="1:5" x14ac:dyDescent="0.25">
      <c r="A7081" s="216" t="s">
        <v>8934</v>
      </c>
      <c r="B7081" s="218" t="s">
        <v>48</v>
      </c>
      <c r="C7081" s="220" t="s">
        <v>196</v>
      </c>
      <c r="D7081" s="220" t="s">
        <v>50</v>
      </c>
      <c r="E7081" s="165">
        <v>48</v>
      </c>
    </row>
    <row r="7082" spans="1:5" x14ac:dyDescent="0.25">
      <c r="A7082" s="216" t="s">
        <v>9803</v>
      </c>
      <c r="B7082" s="218" t="s">
        <v>48</v>
      </c>
      <c r="C7082" s="220" t="s">
        <v>6023</v>
      </c>
      <c r="D7082" s="220" t="s">
        <v>59</v>
      </c>
      <c r="E7082" s="165">
        <v>48</v>
      </c>
    </row>
    <row r="7083" spans="1:5" x14ac:dyDescent="0.25">
      <c r="A7083" s="216" t="s">
        <v>9487</v>
      </c>
      <c r="B7083" s="218">
        <v>1</v>
      </c>
      <c r="C7083" s="220" t="s">
        <v>6743</v>
      </c>
      <c r="D7083" s="220" t="s">
        <v>166</v>
      </c>
      <c r="E7083" s="165">
        <v>48</v>
      </c>
    </row>
    <row r="7084" spans="1:5" x14ac:dyDescent="0.25">
      <c r="A7084" s="216" t="s">
        <v>9527</v>
      </c>
      <c r="B7084" s="218">
        <v>1</v>
      </c>
      <c r="C7084" s="220" t="s">
        <v>9528</v>
      </c>
      <c r="D7084" s="220" t="s">
        <v>53</v>
      </c>
      <c r="E7084" s="165">
        <v>48</v>
      </c>
    </row>
    <row r="7085" spans="1:5" x14ac:dyDescent="0.25">
      <c r="A7085" s="216" t="s">
        <v>4885</v>
      </c>
      <c r="B7085" s="218" t="s">
        <v>48</v>
      </c>
      <c r="C7085" s="220" t="s">
        <v>574</v>
      </c>
      <c r="D7085" s="220" t="s">
        <v>53</v>
      </c>
      <c r="E7085" s="165">
        <v>48</v>
      </c>
    </row>
    <row r="7086" spans="1:5" x14ac:dyDescent="0.25">
      <c r="A7086" s="216" t="s">
        <v>9207</v>
      </c>
      <c r="B7086" s="218" t="s">
        <v>48</v>
      </c>
      <c r="C7086" s="220" t="s">
        <v>120</v>
      </c>
      <c r="D7086" s="220" t="s">
        <v>90</v>
      </c>
      <c r="E7086" s="165">
        <v>47</v>
      </c>
    </row>
    <row r="7087" spans="1:5" x14ac:dyDescent="0.25">
      <c r="A7087" s="216" t="s">
        <v>8093</v>
      </c>
      <c r="B7087" s="218" t="s">
        <v>48</v>
      </c>
      <c r="C7087" s="220" t="s">
        <v>7684</v>
      </c>
      <c r="D7087" s="220" t="s">
        <v>166</v>
      </c>
      <c r="E7087" s="165">
        <v>47</v>
      </c>
    </row>
    <row r="7088" spans="1:5" x14ac:dyDescent="0.25">
      <c r="A7088" s="216" t="s">
        <v>11686</v>
      </c>
      <c r="B7088" s="218">
        <v>1</v>
      </c>
      <c r="C7088" s="220" t="s">
        <v>1921</v>
      </c>
      <c r="D7088" s="220" t="s">
        <v>188</v>
      </c>
      <c r="E7088" s="165">
        <v>47</v>
      </c>
    </row>
    <row r="7089" spans="1:5" x14ac:dyDescent="0.25">
      <c r="A7089" s="216" t="s">
        <v>9678</v>
      </c>
      <c r="B7089" s="218">
        <v>1</v>
      </c>
      <c r="C7089" s="220" t="s">
        <v>709</v>
      </c>
      <c r="D7089" s="220" t="s">
        <v>139</v>
      </c>
      <c r="E7089" s="165">
        <v>47</v>
      </c>
    </row>
    <row r="7090" spans="1:5" x14ac:dyDescent="0.25">
      <c r="A7090" s="216" t="s">
        <v>9573</v>
      </c>
      <c r="B7090" s="218">
        <v>1</v>
      </c>
      <c r="C7090" s="220" t="s">
        <v>1259</v>
      </c>
      <c r="D7090" s="220" t="s">
        <v>1200</v>
      </c>
      <c r="E7090" s="165">
        <v>47</v>
      </c>
    </row>
    <row r="7091" spans="1:5" x14ac:dyDescent="0.25">
      <c r="A7091" s="216" t="s">
        <v>9575</v>
      </c>
      <c r="B7091" s="218">
        <v>1</v>
      </c>
      <c r="C7091" s="220" t="s">
        <v>4172</v>
      </c>
      <c r="D7091" s="220" t="s">
        <v>66</v>
      </c>
      <c r="E7091" s="165">
        <v>47</v>
      </c>
    </row>
    <row r="7092" spans="1:5" x14ac:dyDescent="0.25">
      <c r="A7092" s="216" t="s">
        <v>9578</v>
      </c>
      <c r="B7092" s="218">
        <v>1</v>
      </c>
      <c r="C7092" s="220" t="s">
        <v>393</v>
      </c>
      <c r="D7092" s="220" t="s">
        <v>66</v>
      </c>
      <c r="E7092" s="165">
        <v>47</v>
      </c>
    </row>
    <row r="7093" spans="1:5" x14ac:dyDescent="0.25">
      <c r="A7093" s="216" t="s">
        <v>11687</v>
      </c>
      <c r="B7093" s="218" t="s">
        <v>48</v>
      </c>
      <c r="C7093" s="220" t="s">
        <v>8007</v>
      </c>
      <c r="D7093" s="220" t="s">
        <v>59</v>
      </c>
      <c r="E7093" s="165">
        <v>47</v>
      </c>
    </row>
    <row r="7094" spans="1:5" x14ac:dyDescent="0.25">
      <c r="A7094" s="216" t="s">
        <v>9154</v>
      </c>
      <c r="B7094" s="218" t="s">
        <v>48</v>
      </c>
      <c r="C7094" s="220" t="s">
        <v>2826</v>
      </c>
      <c r="D7094" s="220" t="s">
        <v>90</v>
      </c>
      <c r="E7094" s="165">
        <v>47</v>
      </c>
    </row>
    <row r="7095" spans="1:5" x14ac:dyDescent="0.25">
      <c r="A7095" s="216" t="s">
        <v>9588</v>
      </c>
      <c r="B7095" s="218">
        <v>1</v>
      </c>
      <c r="C7095" s="220" t="s">
        <v>9589</v>
      </c>
      <c r="D7095" s="220" t="s">
        <v>66</v>
      </c>
      <c r="E7095" s="165">
        <v>47</v>
      </c>
    </row>
    <row r="7096" spans="1:5" x14ac:dyDescent="0.25">
      <c r="A7096" s="216" t="s">
        <v>8997</v>
      </c>
      <c r="B7096" s="218" t="s">
        <v>48</v>
      </c>
      <c r="C7096" s="220" t="s">
        <v>7245</v>
      </c>
      <c r="D7096" s="220" t="s">
        <v>90</v>
      </c>
      <c r="E7096" s="165">
        <v>47</v>
      </c>
    </row>
    <row r="7097" spans="1:5" x14ac:dyDescent="0.25">
      <c r="A7097" s="216" t="s">
        <v>9500</v>
      </c>
      <c r="B7097" s="218">
        <v>1</v>
      </c>
      <c r="C7097" s="220" t="s">
        <v>7405</v>
      </c>
      <c r="D7097" s="220" t="s">
        <v>142</v>
      </c>
      <c r="E7097" s="165">
        <v>46</v>
      </c>
    </row>
    <row r="7098" spans="1:5" x14ac:dyDescent="0.25">
      <c r="A7098" s="216" t="s">
        <v>9559</v>
      </c>
      <c r="B7098" s="218">
        <v>1</v>
      </c>
      <c r="C7098" s="220" t="s">
        <v>1516</v>
      </c>
      <c r="D7098" s="220" t="s">
        <v>56</v>
      </c>
      <c r="E7098" s="165">
        <v>46</v>
      </c>
    </row>
    <row r="7099" spans="1:5" x14ac:dyDescent="0.25">
      <c r="A7099" s="216" t="s">
        <v>9460</v>
      </c>
      <c r="B7099" s="218" t="s">
        <v>48</v>
      </c>
      <c r="C7099" s="220" t="s">
        <v>144</v>
      </c>
      <c r="D7099" s="220" t="s">
        <v>59</v>
      </c>
      <c r="E7099" s="165">
        <v>46</v>
      </c>
    </row>
    <row r="7100" spans="1:5" x14ac:dyDescent="0.25">
      <c r="A7100" s="216" t="s">
        <v>9598</v>
      </c>
      <c r="B7100" s="218">
        <v>1</v>
      </c>
      <c r="C7100" s="220" t="s">
        <v>9599</v>
      </c>
      <c r="D7100" s="220" t="s">
        <v>56</v>
      </c>
      <c r="E7100" s="165">
        <v>46</v>
      </c>
    </row>
    <row r="7101" spans="1:5" x14ac:dyDescent="0.25">
      <c r="A7101" s="216" t="s">
        <v>11688</v>
      </c>
      <c r="B7101" s="218">
        <v>1</v>
      </c>
      <c r="C7101" s="220" t="s">
        <v>3180</v>
      </c>
      <c r="D7101" s="220" t="s">
        <v>201</v>
      </c>
      <c r="E7101" s="165">
        <v>46</v>
      </c>
    </row>
    <row r="7102" spans="1:5" x14ac:dyDescent="0.25">
      <c r="A7102" s="216" t="s">
        <v>9648</v>
      </c>
      <c r="B7102" s="218">
        <v>1</v>
      </c>
      <c r="C7102" s="220" t="s">
        <v>8540</v>
      </c>
      <c r="D7102" s="220" t="s">
        <v>56</v>
      </c>
      <c r="E7102" s="165">
        <v>46</v>
      </c>
    </row>
    <row r="7103" spans="1:5" x14ac:dyDescent="0.25">
      <c r="A7103" s="216" t="s">
        <v>9044</v>
      </c>
      <c r="B7103" s="218">
        <v>1</v>
      </c>
      <c r="C7103" s="220" t="s">
        <v>9045</v>
      </c>
      <c r="D7103" s="220" t="s">
        <v>63</v>
      </c>
      <c r="E7103" s="165">
        <v>46</v>
      </c>
    </row>
    <row r="7104" spans="1:5" x14ac:dyDescent="0.25">
      <c r="A7104" s="216" t="s">
        <v>8549</v>
      </c>
      <c r="B7104" s="218" t="s">
        <v>48</v>
      </c>
      <c r="C7104" s="220" t="s">
        <v>230</v>
      </c>
      <c r="D7104" s="220" t="s">
        <v>90</v>
      </c>
      <c r="E7104" s="165">
        <v>46</v>
      </c>
    </row>
    <row r="7105" spans="1:5" x14ac:dyDescent="0.25">
      <c r="A7105" s="216" t="s">
        <v>9792</v>
      </c>
      <c r="B7105" s="218" t="s">
        <v>48</v>
      </c>
      <c r="C7105" s="220" t="s">
        <v>89</v>
      </c>
      <c r="D7105" s="220" t="s">
        <v>90</v>
      </c>
      <c r="E7105" s="165">
        <v>46</v>
      </c>
    </row>
    <row r="7106" spans="1:5" x14ac:dyDescent="0.25">
      <c r="A7106" s="216" t="s">
        <v>9372</v>
      </c>
      <c r="B7106" s="218">
        <v>1</v>
      </c>
      <c r="C7106" s="220" t="s">
        <v>5908</v>
      </c>
      <c r="D7106" s="220" t="s">
        <v>277</v>
      </c>
      <c r="E7106" s="165">
        <v>46</v>
      </c>
    </row>
    <row r="7107" spans="1:5" x14ac:dyDescent="0.25">
      <c r="A7107" s="216" t="s">
        <v>9468</v>
      </c>
      <c r="B7107" s="218" t="s">
        <v>48</v>
      </c>
      <c r="C7107" s="220" t="s">
        <v>3056</v>
      </c>
      <c r="D7107" s="220" t="s">
        <v>90</v>
      </c>
      <c r="E7107" s="165">
        <v>46</v>
      </c>
    </row>
    <row r="7108" spans="1:5" x14ac:dyDescent="0.25">
      <c r="A7108" s="216" t="s">
        <v>9602</v>
      </c>
      <c r="B7108" s="218">
        <v>1</v>
      </c>
      <c r="C7108" s="220" t="s">
        <v>150</v>
      </c>
      <c r="D7108" s="220" t="s">
        <v>105</v>
      </c>
      <c r="E7108" s="165">
        <v>46</v>
      </c>
    </row>
    <row r="7109" spans="1:5" x14ac:dyDescent="0.25">
      <c r="A7109" s="216" t="s">
        <v>11689</v>
      </c>
      <c r="B7109" s="218">
        <v>1</v>
      </c>
      <c r="C7109" s="220" t="s">
        <v>2826</v>
      </c>
      <c r="D7109" s="220" t="s">
        <v>90</v>
      </c>
      <c r="E7109" s="165">
        <v>46</v>
      </c>
    </row>
    <row r="7110" spans="1:5" x14ac:dyDescent="0.25">
      <c r="A7110" s="216" t="s">
        <v>11690</v>
      </c>
      <c r="B7110" s="218" t="s">
        <v>48</v>
      </c>
      <c r="C7110" s="220" t="s">
        <v>605</v>
      </c>
      <c r="D7110" s="220" t="s">
        <v>585</v>
      </c>
      <c r="E7110" s="165">
        <v>46</v>
      </c>
    </row>
    <row r="7111" spans="1:5" x14ac:dyDescent="0.25">
      <c r="A7111" s="216" t="s">
        <v>9997</v>
      </c>
      <c r="B7111" s="218" t="s">
        <v>48</v>
      </c>
      <c r="C7111" s="220" t="s">
        <v>9998</v>
      </c>
      <c r="D7111" s="220" t="s">
        <v>66</v>
      </c>
      <c r="E7111" s="165">
        <v>46</v>
      </c>
    </row>
    <row r="7112" spans="1:5" x14ac:dyDescent="0.25">
      <c r="A7112" s="216" t="s">
        <v>9610</v>
      </c>
      <c r="B7112" s="218">
        <v>1</v>
      </c>
      <c r="C7112" s="220" t="s">
        <v>318</v>
      </c>
      <c r="D7112" s="220" t="s">
        <v>172</v>
      </c>
      <c r="E7112" s="165">
        <v>46</v>
      </c>
    </row>
    <row r="7113" spans="1:5" x14ac:dyDescent="0.25">
      <c r="A7113" s="216" t="s">
        <v>9417</v>
      </c>
      <c r="B7113" s="218">
        <v>1</v>
      </c>
      <c r="C7113" s="220" t="s">
        <v>413</v>
      </c>
      <c r="D7113" s="220" t="s">
        <v>127</v>
      </c>
      <c r="E7113" s="165">
        <v>46</v>
      </c>
    </row>
    <row r="7114" spans="1:5" x14ac:dyDescent="0.25">
      <c r="A7114" s="216" t="s">
        <v>9613</v>
      </c>
      <c r="B7114" s="218">
        <v>1</v>
      </c>
      <c r="C7114" s="220" t="s">
        <v>9614</v>
      </c>
      <c r="D7114" s="220" t="s">
        <v>56</v>
      </c>
      <c r="E7114" s="165">
        <v>46</v>
      </c>
    </row>
    <row r="7115" spans="1:5" x14ac:dyDescent="0.25">
      <c r="A7115" s="216" t="s">
        <v>9478</v>
      </c>
      <c r="B7115" s="218">
        <v>1</v>
      </c>
      <c r="C7115" s="220" t="s">
        <v>2201</v>
      </c>
      <c r="D7115" s="220" t="s">
        <v>93</v>
      </c>
      <c r="E7115" s="165">
        <v>45</v>
      </c>
    </row>
    <row r="7116" spans="1:5" x14ac:dyDescent="0.25">
      <c r="A7116" s="216" t="s">
        <v>11691</v>
      </c>
      <c r="B7116" s="218">
        <v>1</v>
      </c>
      <c r="C7116" s="220" t="s">
        <v>11692</v>
      </c>
      <c r="D7116" s="220" t="s">
        <v>56</v>
      </c>
      <c r="E7116" s="165">
        <v>45</v>
      </c>
    </row>
    <row r="7117" spans="1:5" x14ac:dyDescent="0.25">
      <c r="A7117" s="216" t="s">
        <v>9840</v>
      </c>
      <c r="B7117" s="218" t="s">
        <v>48</v>
      </c>
      <c r="C7117" s="220" t="s">
        <v>9841</v>
      </c>
      <c r="D7117" s="220" t="s">
        <v>166</v>
      </c>
      <c r="E7117" s="165">
        <v>45</v>
      </c>
    </row>
    <row r="7118" spans="1:5" x14ac:dyDescent="0.25">
      <c r="A7118" s="216" t="s">
        <v>11693</v>
      </c>
      <c r="B7118" s="218">
        <v>1</v>
      </c>
      <c r="C7118" s="220" t="s">
        <v>428</v>
      </c>
      <c r="D7118" s="220" t="s">
        <v>394</v>
      </c>
      <c r="E7118" s="165">
        <v>45</v>
      </c>
    </row>
    <row r="7119" spans="1:5" x14ac:dyDescent="0.25">
      <c r="A7119" s="216" t="s">
        <v>9664</v>
      </c>
      <c r="B7119" s="218">
        <v>1</v>
      </c>
      <c r="C7119" s="220" t="s">
        <v>9665</v>
      </c>
      <c r="D7119" s="220" t="s">
        <v>69</v>
      </c>
      <c r="E7119" s="165">
        <v>45</v>
      </c>
    </row>
    <row r="7120" spans="1:5" x14ac:dyDescent="0.25">
      <c r="A7120" s="216" t="s">
        <v>9671</v>
      </c>
      <c r="B7120" s="218">
        <v>1</v>
      </c>
      <c r="C7120" s="220" t="s">
        <v>9672</v>
      </c>
      <c r="D7120" s="220" t="s">
        <v>87</v>
      </c>
      <c r="E7120" s="165">
        <v>45</v>
      </c>
    </row>
    <row r="7121" spans="1:5" x14ac:dyDescent="0.25">
      <c r="A7121" s="216" t="s">
        <v>9385</v>
      </c>
      <c r="B7121" s="218">
        <v>1</v>
      </c>
      <c r="C7121" s="220" t="s">
        <v>1719</v>
      </c>
      <c r="D7121" s="220" t="s">
        <v>90</v>
      </c>
      <c r="E7121" s="165">
        <v>45</v>
      </c>
    </row>
    <row r="7122" spans="1:5" x14ac:dyDescent="0.25">
      <c r="A7122" s="216" t="s">
        <v>7977</v>
      </c>
      <c r="B7122" s="218">
        <v>1</v>
      </c>
      <c r="C7122" s="220" t="s">
        <v>4448</v>
      </c>
      <c r="D7122" s="220" t="s">
        <v>50</v>
      </c>
      <c r="E7122" s="165">
        <v>45</v>
      </c>
    </row>
    <row r="7123" spans="1:5" x14ac:dyDescent="0.25">
      <c r="A7123" s="216" t="s">
        <v>9710</v>
      </c>
      <c r="B7123" s="218" t="s">
        <v>48</v>
      </c>
      <c r="C7123" s="220" t="s">
        <v>2443</v>
      </c>
      <c r="D7123" s="220" t="s">
        <v>59</v>
      </c>
      <c r="E7123" s="165">
        <v>45</v>
      </c>
    </row>
    <row r="7124" spans="1:5" x14ac:dyDescent="0.25">
      <c r="A7124" s="216" t="s">
        <v>9600</v>
      </c>
      <c r="B7124" s="218">
        <v>1</v>
      </c>
      <c r="C7124" s="220" t="s">
        <v>5744</v>
      </c>
      <c r="D7124" s="220" t="s">
        <v>78</v>
      </c>
      <c r="E7124" s="165">
        <v>45</v>
      </c>
    </row>
    <row r="7125" spans="1:5" x14ac:dyDescent="0.25">
      <c r="A7125" s="216" t="s">
        <v>9261</v>
      </c>
      <c r="B7125" s="218" t="s">
        <v>48</v>
      </c>
      <c r="C7125" s="220" t="s">
        <v>313</v>
      </c>
      <c r="D7125" s="220" t="s">
        <v>90</v>
      </c>
      <c r="E7125" s="165">
        <v>45</v>
      </c>
    </row>
    <row r="7126" spans="1:5" x14ac:dyDescent="0.25">
      <c r="A7126" s="216" t="s">
        <v>7119</v>
      </c>
      <c r="B7126" s="218" t="s">
        <v>48</v>
      </c>
      <c r="C7126" s="220" t="s">
        <v>681</v>
      </c>
      <c r="D7126" s="220" t="s">
        <v>90</v>
      </c>
      <c r="E7126" s="165">
        <v>45</v>
      </c>
    </row>
    <row r="7127" spans="1:5" x14ac:dyDescent="0.25">
      <c r="A7127" s="216" t="s">
        <v>11694</v>
      </c>
      <c r="B7127" s="218">
        <v>1</v>
      </c>
      <c r="C7127" s="220" t="s">
        <v>9496</v>
      </c>
      <c r="D7127" s="220" t="s">
        <v>78</v>
      </c>
      <c r="E7127" s="165">
        <v>45</v>
      </c>
    </row>
    <row r="7128" spans="1:5" x14ac:dyDescent="0.25">
      <c r="A7128" s="216" t="s">
        <v>9936</v>
      </c>
      <c r="B7128" s="218" t="s">
        <v>48</v>
      </c>
      <c r="C7128" s="220" t="s">
        <v>4492</v>
      </c>
      <c r="D7128" s="220" t="s">
        <v>93</v>
      </c>
      <c r="E7128" s="165">
        <v>45</v>
      </c>
    </row>
    <row r="7129" spans="1:5" x14ac:dyDescent="0.25">
      <c r="A7129" s="216" t="s">
        <v>9297</v>
      </c>
      <c r="B7129" s="218" t="s">
        <v>48</v>
      </c>
      <c r="C7129" s="220" t="s">
        <v>110</v>
      </c>
      <c r="D7129" s="220" t="s">
        <v>69</v>
      </c>
      <c r="E7129" s="165">
        <v>45</v>
      </c>
    </row>
    <row r="7130" spans="1:5" x14ac:dyDescent="0.25">
      <c r="A7130" s="216" t="s">
        <v>9591</v>
      </c>
      <c r="B7130" s="218">
        <v>1</v>
      </c>
      <c r="C7130" s="220" t="s">
        <v>1113</v>
      </c>
      <c r="D7130" s="220" t="s">
        <v>50</v>
      </c>
      <c r="E7130" s="165">
        <v>45</v>
      </c>
    </row>
    <row r="7131" spans="1:5" x14ac:dyDescent="0.25">
      <c r="A7131" s="216" t="s">
        <v>9719</v>
      </c>
      <c r="B7131" s="218">
        <v>1</v>
      </c>
      <c r="C7131" s="220" t="s">
        <v>9720</v>
      </c>
      <c r="D7131" s="220" t="s">
        <v>63</v>
      </c>
      <c r="E7131" s="165">
        <v>45</v>
      </c>
    </row>
    <row r="7132" spans="1:5" x14ac:dyDescent="0.25">
      <c r="A7132" s="216" t="s">
        <v>9651</v>
      </c>
      <c r="B7132" s="218" t="s">
        <v>48</v>
      </c>
      <c r="C7132" s="220" t="s">
        <v>9652</v>
      </c>
      <c r="D7132" s="220" t="s">
        <v>59</v>
      </c>
      <c r="E7132" s="165">
        <v>45</v>
      </c>
    </row>
    <row r="7133" spans="1:5" x14ac:dyDescent="0.25">
      <c r="A7133" s="216" t="s">
        <v>11695</v>
      </c>
      <c r="B7133" s="218" t="s">
        <v>48</v>
      </c>
      <c r="C7133" s="220" t="s">
        <v>6959</v>
      </c>
      <c r="D7133" s="220" t="s">
        <v>585</v>
      </c>
      <c r="E7133" s="165">
        <v>45</v>
      </c>
    </row>
    <row r="7134" spans="1:5" x14ac:dyDescent="0.25">
      <c r="A7134" s="216" t="s">
        <v>9476</v>
      </c>
      <c r="B7134" s="218" t="s">
        <v>48</v>
      </c>
      <c r="C7134" s="220" t="s">
        <v>9477</v>
      </c>
      <c r="D7134" s="220" t="s">
        <v>90</v>
      </c>
      <c r="E7134" s="165">
        <v>44</v>
      </c>
    </row>
    <row r="7135" spans="1:5" x14ac:dyDescent="0.25">
      <c r="A7135" s="216" t="s">
        <v>9051</v>
      </c>
      <c r="B7135" s="218" t="s">
        <v>48</v>
      </c>
      <c r="C7135" s="220" t="s">
        <v>2336</v>
      </c>
      <c r="D7135" s="220" t="s">
        <v>82</v>
      </c>
      <c r="E7135" s="165">
        <v>44</v>
      </c>
    </row>
    <row r="7136" spans="1:5" x14ac:dyDescent="0.25">
      <c r="A7136" s="216" t="s">
        <v>9824</v>
      </c>
      <c r="B7136" s="218" t="s">
        <v>48</v>
      </c>
      <c r="C7136" s="220" t="s">
        <v>9825</v>
      </c>
      <c r="D7136" s="220" t="s">
        <v>166</v>
      </c>
      <c r="E7136" s="165">
        <v>44</v>
      </c>
    </row>
    <row r="7137" spans="1:5" x14ac:dyDescent="0.25">
      <c r="A7137" s="216" t="s">
        <v>11696</v>
      </c>
      <c r="B7137" s="218">
        <v>1</v>
      </c>
      <c r="C7137" s="220" t="s">
        <v>1105</v>
      </c>
      <c r="D7137" s="220" t="s">
        <v>523</v>
      </c>
      <c r="E7137" s="165">
        <v>44</v>
      </c>
    </row>
    <row r="7138" spans="1:5" x14ac:dyDescent="0.25">
      <c r="A7138" s="216" t="s">
        <v>8069</v>
      </c>
      <c r="B7138" s="218" t="s">
        <v>48</v>
      </c>
      <c r="C7138" s="220" t="s">
        <v>3508</v>
      </c>
      <c r="D7138" s="220" t="s">
        <v>585</v>
      </c>
      <c r="E7138" s="165">
        <v>44</v>
      </c>
    </row>
    <row r="7139" spans="1:5" x14ac:dyDescent="0.25">
      <c r="A7139" s="216" t="s">
        <v>9567</v>
      </c>
      <c r="B7139" s="218">
        <v>1</v>
      </c>
      <c r="C7139" s="220" t="s">
        <v>9568</v>
      </c>
      <c r="D7139" s="220" t="s">
        <v>523</v>
      </c>
      <c r="E7139" s="165">
        <v>44</v>
      </c>
    </row>
    <row r="7140" spans="1:5" x14ac:dyDescent="0.25">
      <c r="A7140" s="216" t="s">
        <v>11697</v>
      </c>
      <c r="B7140" s="218">
        <v>1</v>
      </c>
      <c r="C7140" s="220" t="s">
        <v>2413</v>
      </c>
      <c r="D7140" s="220" t="s">
        <v>272</v>
      </c>
      <c r="E7140" s="165">
        <v>44</v>
      </c>
    </row>
    <row r="7141" spans="1:5" x14ac:dyDescent="0.25">
      <c r="A7141" s="216" t="s">
        <v>11698</v>
      </c>
      <c r="B7141" s="218">
        <v>1</v>
      </c>
      <c r="C7141" s="220" t="s">
        <v>259</v>
      </c>
      <c r="D7141" s="220" t="s">
        <v>50</v>
      </c>
      <c r="E7141" s="165">
        <v>44</v>
      </c>
    </row>
    <row r="7142" spans="1:5" x14ac:dyDescent="0.25">
      <c r="A7142" s="216" t="s">
        <v>9225</v>
      </c>
      <c r="B7142" s="218" t="s">
        <v>48</v>
      </c>
      <c r="C7142" s="220" t="s">
        <v>8473</v>
      </c>
      <c r="D7142" s="220" t="s">
        <v>82</v>
      </c>
      <c r="E7142" s="165">
        <v>44</v>
      </c>
    </row>
    <row r="7143" spans="1:5" x14ac:dyDescent="0.25">
      <c r="A7143" s="216" t="s">
        <v>9753</v>
      </c>
      <c r="B7143" s="218" t="s">
        <v>48</v>
      </c>
      <c r="C7143" s="220" t="s">
        <v>9754</v>
      </c>
      <c r="D7143" s="220" t="s">
        <v>166</v>
      </c>
      <c r="E7143" s="165">
        <v>44</v>
      </c>
    </row>
    <row r="7144" spans="1:5" x14ac:dyDescent="0.25">
      <c r="A7144" s="216" t="s">
        <v>11699</v>
      </c>
      <c r="B7144" s="218">
        <v>1</v>
      </c>
      <c r="C7144" s="220" t="s">
        <v>11700</v>
      </c>
      <c r="D7144" s="220" t="s">
        <v>348</v>
      </c>
      <c r="E7144" s="165">
        <v>43</v>
      </c>
    </row>
    <row r="7145" spans="1:5" x14ac:dyDescent="0.25">
      <c r="A7145" s="216" t="s">
        <v>9595</v>
      </c>
      <c r="B7145" s="218">
        <v>1</v>
      </c>
      <c r="C7145" s="220" t="s">
        <v>9596</v>
      </c>
      <c r="D7145" s="220" t="s">
        <v>93</v>
      </c>
      <c r="E7145" s="165">
        <v>43</v>
      </c>
    </row>
    <row r="7146" spans="1:5" x14ac:dyDescent="0.25">
      <c r="A7146" s="216" t="s">
        <v>11701</v>
      </c>
      <c r="B7146" s="218">
        <v>1</v>
      </c>
      <c r="C7146" s="220" t="s">
        <v>3563</v>
      </c>
      <c r="D7146" s="220" t="s">
        <v>98</v>
      </c>
      <c r="E7146" s="165">
        <v>43</v>
      </c>
    </row>
    <row r="7147" spans="1:5" x14ac:dyDescent="0.25">
      <c r="A7147" s="216" t="s">
        <v>9535</v>
      </c>
      <c r="B7147" s="218">
        <v>1</v>
      </c>
      <c r="C7147" s="220" t="s">
        <v>9536</v>
      </c>
      <c r="D7147" s="220" t="s">
        <v>272</v>
      </c>
      <c r="E7147" s="165">
        <v>43</v>
      </c>
    </row>
    <row r="7148" spans="1:5" x14ac:dyDescent="0.25">
      <c r="A7148" s="216" t="s">
        <v>9338</v>
      </c>
      <c r="B7148" s="218">
        <v>1</v>
      </c>
      <c r="C7148" s="220" t="s">
        <v>488</v>
      </c>
      <c r="D7148" s="220" t="s">
        <v>166</v>
      </c>
      <c r="E7148" s="165">
        <v>43</v>
      </c>
    </row>
    <row r="7149" spans="1:5" x14ac:dyDescent="0.25">
      <c r="A7149" s="216" t="s">
        <v>10226</v>
      </c>
      <c r="B7149" s="218" t="s">
        <v>48</v>
      </c>
      <c r="C7149" s="220" t="s">
        <v>10227</v>
      </c>
      <c r="D7149" s="220" t="s">
        <v>585</v>
      </c>
      <c r="E7149" s="165">
        <v>43</v>
      </c>
    </row>
    <row r="7150" spans="1:5" x14ac:dyDescent="0.25">
      <c r="A7150" s="216" t="s">
        <v>9422</v>
      </c>
      <c r="B7150" s="218">
        <v>1</v>
      </c>
      <c r="C7150" s="220" t="s">
        <v>1569</v>
      </c>
      <c r="D7150" s="220" t="s">
        <v>50</v>
      </c>
      <c r="E7150" s="165">
        <v>43</v>
      </c>
    </row>
    <row r="7151" spans="1:5" x14ac:dyDescent="0.25">
      <c r="A7151" s="216" t="s">
        <v>10212</v>
      </c>
      <c r="B7151" s="218" t="s">
        <v>48</v>
      </c>
      <c r="C7151" s="220" t="s">
        <v>380</v>
      </c>
      <c r="D7151" s="220" t="s">
        <v>90</v>
      </c>
      <c r="E7151" s="165">
        <v>43</v>
      </c>
    </row>
    <row r="7152" spans="1:5" x14ac:dyDescent="0.25">
      <c r="A7152" s="216" t="s">
        <v>9669</v>
      </c>
      <c r="B7152" s="218">
        <v>1</v>
      </c>
      <c r="C7152" s="220" t="s">
        <v>433</v>
      </c>
      <c r="D7152" s="220" t="s">
        <v>98</v>
      </c>
      <c r="E7152" s="165">
        <v>43</v>
      </c>
    </row>
    <row r="7153" spans="1:5" x14ac:dyDescent="0.25">
      <c r="A7153" s="216" t="s">
        <v>9670</v>
      </c>
      <c r="B7153" s="218">
        <v>1</v>
      </c>
      <c r="C7153" s="220" t="s">
        <v>1647</v>
      </c>
      <c r="D7153" s="220" t="s">
        <v>98</v>
      </c>
      <c r="E7153" s="165">
        <v>43</v>
      </c>
    </row>
    <row r="7154" spans="1:5" x14ac:dyDescent="0.25">
      <c r="A7154" s="216" t="s">
        <v>9271</v>
      </c>
      <c r="B7154" s="218">
        <v>1</v>
      </c>
      <c r="C7154" s="220" t="s">
        <v>350</v>
      </c>
      <c r="D7154" s="220" t="s">
        <v>98</v>
      </c>
      <c r="E7154" s="165">
        <v>43</v>
      </c>
    </row>
    <row r="7155" spans="1:5" x14ac:dyDescent="0.25">
      <c r="A7155" s="216" t="s">
        <v>5223</v>
      </c>
      <c r="B7155" s="218">
        <v>1</v>
      </c>
      <c r="C7155" s="220" t="s">
        <v>845</v>
      </c>
      <c r="D7155" s="220" t="s">
        <v>66</v>
      </c>
      <c r="E7155" s="165">
        <v>43</v>
      </c>
    </row>
    <row r="7156" spans="1:5" x14ac:dyDescent="0.25">
      <c r="A7156" s="216" t="s">
        <v>9711</v>
      </c>
      <c r="B7156" s="218" t="s">
        <v>48</v>
      </c>
      <c r="C7156" s="220" t="s">
        <v>1977</v>
      </c>
      <c r="D7156" s="220" t="s">
        <v>166</v>
      </c>
      <c r="E7156" s="165">
        <v>43</v>
      </c>
    </row>
    <row r="7157" spans="1:5" x14ac:dyDescent="0.25">
      <c r="A7157" s="216" t="s">
        <v>9633</v>
      </c>
      <c r="B7157" s="218">
        <v>1</v>
      </c>
      <c r="C7157" s="220" t="s">
        <v>4670</v>
      </c>
      <c r="D7157" s="220" t="s">
        <v>188</v>
      </c>
      <c r="E7157" s="165">
        <v>43</v>
      </c>
    </row>
    <row r="7158" spans="1:5" x14ac:dyDescent="0.25">
      <c r="A7158" s="216" t="s">
        <v>9687</v>
      </c>
      <c r="B7158" s="218">
        <v>1</v>
      </c>
      <c r="C7158" s="220" t="s">
        <v>5873</v>
      </c>
      <c r="D7158" s="220" t="s">
        <v>63</v>
      </c>
      <c r="E7158" s="165">
        <v>43</v>
      </c>
    </row>
    <row r="7159" spans="1:5" x14ac:dyDescent="0.25">
      <c r="A7159" s="216" t="s">
        <v>9606</v>
      </c>
      <c r="B7159" s="218">
        <v>1</v>
      </c>
      <c r="C7159" s="220" t="s">
        <v>9607</v>
      </c>
      <c r="D7159" s="220" t="s">
        <v>93</v>
      </c>
      <c r="E7159" s="165">
        <v>43</v>
      </c>
    </row>
    <row r="7160" spans="1:5" x14ac:dyDescent="0.25">
      <c r="A7160" s="216" t="s">
        <v>9585</v>
      </c>
      <c r="B7160" s="218">
        <v>1</v>
      </c>
      <c r="C7160" s="220" t="s">
        <v>9586</v>
      </c>
      <c r="D7160" s="220" t="s">
        <v>87</v>
      </c>
      <c r="E7160" s="165">
        <v>43</v>
      </c>
    </row>
    <row r="7161" spans="1:5" x14ac:dyDescent="0.25">
      <c r="A7161" s="216" t="s">
        <v>9494</v>
      </c>
      <c r="B7161" s="218" t="s">
        <v>48</v>
      </c>
      <c r="C7161" s="220" t="s">
        <v>3999</v>
      </c>
      <c r="D7161" s="220" t="s">
        <v>90</v>
      </c>
      <c r="E7161" s="165">
        <v>43</v>
      </c>
    </row>
    <row r="7162" spans="1:5" x14ac:dyDescent="0.25">
      <c r="A7162" s="216" t="s">
        <v>9199</v>
      </c>
      <c r="B7162" s="218" t="s">
        <v>48</v>
      </c>
      <c r="C7162" s="220" t="s">
        <v>9200</v>
      </c>
      <c r="D7162" s="220" t="s">
        <v>166</v>
      </c>
      <c r="E7162" s="165">
        <v>43</v>
      </c>
    </row>
    <row r="7163" spans="1:5" x14ac:dyDescent="0.25">
      <c r="A7163" s="216" t="s">
        <v>10126</v>
      </c>
      <c r="B7163" s="218" t="s">
        <v>48</v>
      </c>
      <c r="C7163" s="220" t="s">
        <v>5624</v>
      </c>
      <c r="D7163" s="220" t="s">
        <v>90</v>
      </c>
      <c r="E7163" s="165">
        <v>42</v>
      </c>
    </row>
    <row r="7164" spans="1:5" x14ac:dyDescent="0.25">
      <c r="A7164" s="216" t="s">
        <v>9640</v>
      </c>
      <c r="B7164" s="218">
        <v>1</v>
      </c>
      <c r="C7164" s="220" t="s">
        <v>7608</v>
      </c>
      <c r="D7164" s="220" t="s">
        <v>98</v>
      </c>
      <c r="E7164" s="165">
        <v>42</v>
      </c>
    </row>
    <row r="7165" spans="1:5" x14ac:dyDescent="0.25">
      <c r="A7165" s="216" t="s">
        <v>9662</v>
      </c>
      <c r="B7165" s="218">
        <v>1</v>
      </c>
      <c r="C7165" s="220" t="s">
        <v>3239</v>
      </c>
      <c r="D7165" s="220" t="s">
        <v>56</v>
      </c>
      <c r="E7165" s="165">
        <v>42</v>
      </c>
    </row>
    <row r="7166" spans="1:5" x14ac:dyDescent="0.25">
      <c r="A7166" s="216" t="s">
        <v>9458</v>
      </c>
      <c r="B7166" s="218">
        <v>1</v>
      </c>
      <c r="C7166" s="220" t="s">
        <v>9459</v>
      </c>
      <c r="D7166" s="220" t="s">
        <v>50</v>
      </c>
      <c r="E7166" s="165">
        <v>42</v>
      </c>
    </row>
    <row r="7167" spans="1:5" x14ac:dyDescent="0.25">
      <c r="A7167" s="216" t="s">
        <v>11702</v>
      </c>
      <c r="B7167" s="218">
        <v>1</v>
      </c>
      <c r="C7167" s="220" t="s">
        <v>1290</v>
      </c>
      <c r="D7167" s="220" t="s">
        <v>277</v>
      </c>
      <c r="E7167" s="165">
        <v>42</v>
      </c>
    </row>
    <row r="7168" spans="1:5" x14ac:dyDescent="0.25">
      <c r="A7168" s="216" t="s">
        <v>9741</v>
      </c>
      <c r="B7168" s="218">
        <v>1</v>
      </c>
      <c r="C7168" s="220" t="s">
        <v>9742</v>
      </c>
      <c r="D7168" s="220" t="s">
        <v>139</v>
      </c>
      <c r="E7168" s="165">
        <v>42</v>
      </c>
    </row>
    <row r="7169" spans="1:5" x14ac:dyDescent="0.25">
      <c r="A7169" s="216" t="s">
        <v>9673</v>
      </c>
      <c r="B7169" s="218">
        <v>1</v>
      </c>
      <c r="C7169" s="220" t="s">
        <v>9674</v>
      </c>
      <c r="D7169" s="220" t="s">
        <v>172</v>
      </c>
      <c r="E7169" s="165">
        <v>42</v>
      </c>
    </row>
    <row r="7170" spans="1:5" x14ac:dyDescent="0.25">
      <c r="A7170" s="216" t="s">
        <v>9576</v>
      </c>
      <c r="B7170" s="218">
        <v>1</v>
      </c>
      <c r="C7170" s="220" t="s">
        <v>9577</v>
      </c>
      <c r="D7170" s="220" t="s">
        <v>272</v>
      </c>
      <c r="E7170" s="165">
        <v>42</v>
      </c>
    </row>
    <row r="7171" spans="1:5" x14ac:dyDescent="0.25">
      <c r="A7171" s="216" t="s">
        <v>9329</v>
      </c>
      <c r="B7171" s="218" t="s">
        <v>48</v>
      </c>
      <c r="C7171" s="220" t="s">
        <v>4876</v>
      </c>
      <c r="D7171" s="220" t="s">
        <v>69</v>
      </c>
      <c r="E7171" s="165">
        <v>42</v>
      </c>
    </row>
    <row r="7172" spans="1:5" x14ac:dyDescent="0.25">
      <c r="A7172" s="216" t="s">
        <v>7986</v>
      </c>
      <c r="B7172" s="218">
        <v>1</v>
      </c>
      <c r="C7172" s="220" t="s">
        <v>447</v>
      </c>
      <c r="D7172" s="220" t="s">
        <v>87</v>
      </c>
      <c r="E7172" s="165">
        <v>42</v>
      </c>
    </row>
    <row r="7173" spans="1:5" x14ac:dyDescent="0.25">
      <c r="A7173" s="216" t="s">
        <v>9650</v>
      </c>
      <c r="B7173" s="218">
        <v>1</v>
      </c>
      <c r="C7173" s="220" t="s">
        <v>1747</v>
      </c>
      <c r="D7173" s="220" t="s">
        <v>98</v>
      </c>
      <c r="E7173" s="165">
        <v>42</v>
      </c>
    </row>
    <row r="7174" spans="1:5" x14ac:dyDescent="0.25">
      <c r="A7174" s="216" t="s">
        <v>10817</v>
      </c>
      <c r="B7174" s="218">
        <v>1</v>
      </c>
      <c r="C7174" s="220" t="s">
        <v>11703</v>
      </c>
      <c r="D7174" s="220" t="s">
        <v>63</v>
      </c>
      <c r="E7174" s="165">
        <v>42</v>
      </c>
    </row>
    <row r="7175" spans="1:5" x14ac:dyDescent="0.25">
      <c r="A7175" s="216" t="s">
        <v>9728</v>
      </c>
      <c r="B7175" s="218">
        <v>1</v>
      </c>
      <c r="C7175" s="220" t="s">
        <v>2347</v>
      </c>
      <c r="D7175" s="220" t="s">
        <v>50</v>
      </c>
      <c r="E7175" s="165">
        <v>42</v>
      </c>
    </row>
    <row r="7176" spans="1:5" x14ac:dyDescent="0.25">
      <c r="A7176" s="216" t="s">
        <v>9693</v>
      </c>
      <c r="B7176" s="218">
        <v>1</v>
      </c>
      <c r="C7176" s="220" t="s">
        <v>9694</v>
      </c>
      <c r="D7176" s="220" t="s">
        <v>66</v>
      </c>
      <c r="E7176" s="165">
        <v>42</v>
      </c>
    </row>
    <row r="7177" spans="1:5" x14ac:dyDescent="0.25">
      <c r="A7177" s="216" t="s">
        <v>9472</v>
      </c>
      <c r="B7177" s="218">
        <v>1</v>
      </c>
      <c r="C7177" s="220" t="s">
        <v>9473</v>
      </c>
      <c r="D7177" s="220" t="s">
        <v>69</v>
      </c>
      <c r="E7177" s="165">
        <v>42</v>
      </c>
    </row>
    <row r="7178" spans="1:5" x14ac:dyDescent="0.25">
      <c r="A7178" s="216" t="s">
        <v>9549</v>
      </c>
      <c r="B7178" s="218">
        <v>1</v>
      </c>
      <c r="C7178" s="220" t="s">
        <v>9550</v>
      </c>
      <c r="D7178" s="220" t="s">
        <v>59</v>
      </c>
      <c r="E7178" s="165">
        <v>41</v>
      </c>
    </row>
    <row r="7179" spans="1:5" x14ac:dyDescent="0.25">
      <c r="A7179" s="216" t="s">
        <v>11704</v>
      </c>
      <c r="B7179" s="218" t="s">
        <v>48</v>
      </c>
      <c r="C7179" s="220" t="s">
        <v>9130</v>
      </c>
      <c r="D7179" s="220" t="s">
        <v>93</v>
      </c>
      <c r="E7179" s="165">
        <v>41</v>
      </c>
    </row>
    <row r="7180" spans="1:5" x14ac:dyDescent="0.25">
      <c r="A7180" s="216" t="s">
        <v>9371</v>
      </c>
      <c r="B7180" s="218">
        <v>1</v>
      </c>
      <c r="C7180" s="220" t="s">
        <v>2960</v>
      </c>
      <c r="D7180" s="220" t="s">
        <v>201</v>
      </c>
      <c r="E7180" s="165">
        <v>41</v>
      </c>
    </row>
    <row r="7181" spans="1:5" x14ac:dyDescent="0.25">
      <c r="A7181" s="216" t="s">
        <v>9560</v>
      </c>
      <c r="B7181" s="218">
        <v>1</v>
      </c>
      <c r="C7181" s="220" t="s">
        <v>647</v>
      </c>
      <c r="D7181" s="220" t="s">
        <v>236</v>
      </c>
      <c r="E7181" s="165">
        <v>41</v>
      </c>
    </row>
    <row r="7182" spans="1:5" x14ac:dyDescent="0.25">
      <c r="A7182" s="216" t="s">
        <v>4935</v>
      </c>
      <c r="B7182" s="218">
        <v>1</v>
      </c>
      <c r="C7182" s="220" t="s">
        <v>2953</v>
      </c>
      <c r="D7182" s="220" t="s">
        <v>78</v>
      </c>
      <c r="E7182" s="165">
        <v>41</v>
      </c>
    </row>
    <row r="7183" spans="1:5" x14ac:dyDescent="0.25">
      <c r="A7183" s="216" t="s">
        <v>11705</v>
      </c>
      <c r="B7183" s="218">
        <v>1</v>
      </c>
      <c r="C7183" s="220" t="s">
        <v>270</v>
      </c>
      <c r="D7183" s="220" t="s">
        <v>177</v>
      </c>
      <c r="E7183" s="165">
        <v>41</v>
      </c>
    </row>
    <row r="7184" spans="1:5" x14ac:dyDescent="0.25">
      <c r="A7184" s="216" t="s">
        <v>10323</v>
      </c>
      <c r="B7184" s="218" t="s">
        <v>48</v>
      </c>
      <c r="C7184" s="220" t="s">
        <v>3999</v>
      </c>
      <c r="D7184" s="220" t="s">
        <v>90</v>
      </c>
      <c r="E7184" s="165">
        <v>41</v>
      </c>
    </row>
    <row r="7185" spans="1:5" x14ac:dyDescent="0.25">
      <c r="A7185" s="216" t="s">
        <v>11706</v>
      </c>
      <c r="B7185" s="218">
        <v>1</v>
      </c>
      <c r="C7185" s="220" t="s">
        <v>2834</v>
      </c>
      <c r="D7185" s="220" t="s">
        <v>272</v>
      </c>
      <c r="E7185" s="165">
        <v>41</v>
      </c>
    </row>
    <row r="7186" spans="1:5" x14ac:dyDescent="0.25">
      <c r="A7186" s="216" t="s">
        <v>9764</v>
      </c>
      <c r="B7186" s="218">
        <v>1</v>
      </c>
      <c r="C7186" s="220" t="s">
        <v>9765</v>
      </c>
      <c r="D7186" s="220" t="s">
        <v>87</v>
      </c>
      <c r="E7186" s="165">
        <v>41</v>
      </c>
    </row>
    <row r="7187" spans="1:5" x14ac:dyDescent="0.25">
      <c r="A7187" s="216" t="s">
        <v>9129</v>
      </c>
      <c r="B7187" s="218" t="s">
        <v>48</v>
      </c>
      <c r="C7187" s="220" t="s">
        <v>9130</v>
      </c>
      <c r="D7187" s="220" t="s">
        <v>93</v>
      </c>
      <c r="E7187" s="165">
        <v>41</v>
      </c>
    </row>
    <row r="7188" spans="1:5" x14ac:dyDescent="0.25">
      <c r="A7188" s="216" t="s">
        <v>11707</v>
      </c>
      <c r="B7188" s="218" t="s">
        <v>48</v>
      </c>
      <c r="C7188" s="220" t="s">
        <v>11708</v>
      </c>
      <c r="D7188" s="220" t="s">
        <v>206</v>
      </c>
      <c r="E7188" s="165">
        <v>41</v>
      </c>
    </row>
    <row r="7189" spans="1:5" x14ac:dyDescent="0.25">
      <c r="A7189" s="216" t="s">
        <v>9746</v>
      </c>
      <c r="B7189" s="218">
        <v>1</v>
      </c>
      <c r="C7189" s="220" t="s">
        <v>9747</v>
      </c>
      <c r="D7189" s="220" t="s">
        <v>56</v>
      </c>
      <c r="E7189" s="165">
        <v>41</v>
      </c>
    </row>
    <row r="7190" spans="1:5" x14ac:dyDescent="0.25">
      <c r="A7190" s="216" t="s">
        <v>9748</v>
      </c>
      <c r="B7190" s="218">
        <v>1</v>
      </c>
      <c r="C7190" s="220" t="s">
        <v>8791</v>
      </c>
      <c r="D7190" s="220" t="s">
        <v>56</v>
      </c>
      <c r="E7190" s="165">
        <v>41</v>
      </c>
    </row>
    <row r="7191" spans="1:5" x14ac:dyDescent="0.25">
      <c r="A7191" s="216" t="s">
        <v>9749</v>
      </c>
      <c r="B7191" s="218">
        <v>1</v>
      </c>
      <c r="C7191" s="220" t="s">
        <v>9750</v>
      </c>
      <c r="D7191" s="220" t="s">
        <v>56</v>
      </c>
      <c r="E7191" s="165">
        <v>41</v>
      </c>
    </row>
    <row r="7192" spans="1:5" x14ac:dyDescent="0.25">
      <c r="A7192" s="216" t="s">
        <v>9737</v>
      </c>
      <c r="B7192" s="218">
        <v>1</v>
      </c>
      <c r="C7192" s="220" t="s">
        <v>843</v>
      </c>
      <c r="D7192" s="220" t="s">
        <v>59</v>
      </c>
      <c r="E7192" s="165">
        <v>41</v>
      </c>
    </row>
    <row r="7193" spans="1:5" x14ac:dyDescent="0.25">
      <c r="A7193" s="216" t="s">
        <v>9901</v>
      </c>
      <c r="B7193" s="218" t="s">
        <v>48</v>
      </c>
      <c r="C7193" s="220" t="s">
        <v>9902</v>
      </c>
      <c r="D7193" s="220" t="s">
        <v>93</v>
      </c>
      <c r="E7193" s="165">
        <v>41</v>
      </c>
    </row>
    <row r="7194" spans="1:5" x14ac:dyDescent="0.25">
      <c r="A7194" s="216" t="s">
        <v>9739</v>
      </c>
      <c r="B7194" s="218" t="s">
        <v>48</v>
      </c>
      <c r="C7194" s="220" t="s">
        <v>7451</v>
      </c>
      <c r="D7194" s="220" t="s">
        <v>90</v>
      </c>
      <c r="E7194" s="165">
        <v>41</v>
      </c>
    </row>
    <row r="7195" spans="1:5" x14ac:dyDescent="0.25">
      <c r="A7195" s="216" t="s">
        <v>11709</v>
      </c>
      <c r="B7195" s="218" t="s">
        <v>48</v>
      </c>
      <c r="C7195" s="220" t="s">
        <v>3485</v>
      </c>
      <c r="D7195" s="220" t="s">
        <v>90</v>
      </c>
      <c r="E7195" s="165">
        <v>41</v>
      </c>
    </row>
    <row r="7196" spans="1:5" x14ac:dyDescent="0.25">
      <c r="A7196" s="216" t="s">
        <v>9752</v>
      </c>
      <c r="B7196" s="218">
        <v>1</v>
      </c>
      <c r="C7196" s="220" t="s">
        <v>8540</v>
      </c>
      <c r="D7196" s="220" t="s">
        <v>56</v>
      </c>
      <c r="E7196" s="165">
        <v>41</v>
      </c>
    </row>
    <row r="7197" spans="1:5" x14ac:dyDescent="0.25">
      <c r="A7197" s="216" t="s">
        <v>9703</v>
      </c>
      <c r="B7197" s="218">
        <v>1</v>
      </c>
      <c r="C7197" s="220" t="s">
        <v>1516</v>
      </c>
      <c r="D7197" s="220" t="s">
        <v>56</v>
      </c>
      <c r="E7197" s="165">
        <v>40</v>
      </c>
    </row>
    <row r="7198" spans="1:5" x14ac:dyDescent="0.25">
      <c r="A7198" s="216" t="s">
        <v>11710</v>
      </c>
      <c r="B7198" s="218" t="s">
        <v>48</v>
      </c>
      <c r="C7198" s="220" t="s">
        <v>11711</v>
      </c>
      <c r="D7198" s="220" t="s">
        <v>206</v>
      </c>
      <c r="E7198" s="165">
        <v>40</v>
      </c>
    </row>
    <row r="7199" spans="1:5" x14ac:dyDescent="0.25">
      <c r="A7199" s="216" t="s">
        <v>9757</v>
      </c>
      <c r="B7199" s="218">
        <v>1</v>
      </c>
      <c r="C7199" s="220" t="s">
        <v>6069</v>
      </c>
      <c r="D7199" s="220" t="s">
        <v>50</v>
      </c>
      <c r="E7199" s="165">
        <v>40</v>
      </c>
    </row>
    <row r="7200" spans="1:5" x14ac:dyDescent="0.25">
      <c r="A7200" s="216" t="s">
        <v>9659</v>
      </c>
      <c r="B7200" s="218">
        <v>1</v>
      </c>
      <c r="C7200" s="220" t="s">
        <v>9660</v>
      </c>
      <c r="D7200" s="220" t="s">
        <v>201</v>
      </c>
      <c r="E7200" s="165">
        <v>40</v>
      </c>
    </row>
    <row r="7201" spans="1:5" x14ac:dyDescent="0.25">
      <c r="A7201" s="216" t="s">
        <v>9456</v>
      </c>
      <c r="B7201" s="218" t="s">
        <v>48</v>
      </c>
      <c r="C7201" s="220" t="s">
        <v>9457</v>
      </c>
      <c r="D7201" s="220" t="s">
        <v>53</v>
      </c>
      <c r="E7201" s="165">
        <v>40</v>
      </c>
    </row>
    <row r="7202" spans="1:5" x14ac:dyDescent="0.25">
      <c r="A7202" s="216" t="s">
        <v>9480</v>
      </c>
      <c r="B7202" s="218" t="s">
        <v>48</v>
      </c>
      <c r="C7202" s="220" t="s">
        <v>9481</v>
      </c>
      <c r="D7202" s="220" t="s">
        <v>93</v>
      </c>
      <c r="E7202" s="165">
        <v>40</v>
      </c>
    </row>
    <row r="7203" spans="1:5" x14ac:dyDescent="0.25">
      <c r="A7203" s="216" t="s">
        <v>8346</v>
      </c>
      <c r="B7203" s="218" t="s">
        <v>48</v>
      </c>
      <c r="C7203" s="220" t="s">
        <v>1849</v>
      </c>
      <c r="D7203" s="220" t="s">
        <v>90</v>
      </c>
      <c r="E7203" s="165">
        <v>40</v>
      </c>
    </row>
    <row r="7204" spans="1:5" x14ac:dyDescent="0.25">
      <c r="A7204" s="216" t="s">
        <v>9537</v>
      </c>
      <c r="B7204" s="218">
        <v>1</v>
      </c>
      <c r="C7204" s="220" t="s">
        <v>470</v>
      </c>
      <c r="D7204" s="220" t="s">
        <v>108</v>
      </c>
      <c r="E7204" s="165">
        <v>40</v>
      </c>
    </row>
    <row r="7205" spans="1:5" x14ac:dyDescent="0.25">
      <c r="A7205" s="216" t="s">
        <v>9667</v>
      </c>
      <c r="B7205" s="218">
        <v>1</v>
      </c>
      <c r="C7205" s="220" t="s">
        <v>9668</v>
      </c>
      <c r="D7205" s="220" t="s">
        <v>201</v>
      </c>
      <c r="E7205" s="165">
        <v>40</v>
      </c>
    </row>
    <row r="7206" spans="1:5" x14ac:dyDescent="0.25">
      <c r="A7206" s="216" t="s">
        <v>11712</v>
      </c>
      <c r="B7206" s="218">
        <v>1</v>
      </c>
      <c r="C7206" s="220" t="s">
        <v>8538</v>
      </c>
      <c r="D7206" s="220" t="s">
        <v>63</v>
      </c>
      <c r="E7206" s="165">
        <v>40</v>
      </c>
    </row>
    <row r="7207" spans="1:5" x14ac:dyDescent="0.25">
      <c r="A7207" s="216" t="s">
        <v>9407</v>
      </c>
      <c r="B7207" s="218" t="s">
        <v>48</v>
      </c>
      <c r="C7207" s="220" t="s">
        <v>161</v>
      </c>
      <c r="D7207" s="220" t="s">
        <v>90</v>
      </c>
      <c r="E7207" s="165">
        <v>40</v>
      </c>
    </row>
    <row r="7208" spans="1:5" x14ac:dyDescent="0.25">
      <c r="A7208" s="216" t="s">
        <v>9305</v>
      </c>
      <c r="B7208" s="218" t="s">
        <v>48</v>
      </c>
      <c r="C7208" s="220" t="s">
        <v>3779</v>
      </c>
      <c r="D7208" s="220" t="s">
        <v>53</v>
      </c>
      <c r="E7208" s="165">
        <v>40</v>
      </c>
    </row>
    <row r="7209" spans="1:5" x14ac:dyDescent="0.25">
      <c r="A7209" s="216" t="s">
        <v>6126</v>
      </c>
      <c r="B7209" s="218">
        <v>1</v>
      </c>
      <c r="C7209" s="220" t="s">
        <v>4211</v>
      </c>
      <c r="D7209" s="220" t="s">
        <v>56</v>
      </c>
      <c r="E7209" s="165">
        <v>40</v>
      </c>
    </row>
    <row r="7210" spans="1:5" x14ac:dyDescent="0.25">
      <c r="A7210" s="216" t="s">
        <v>9744</v>
      </c>
      <c r="B7210" s="218">
        <v>1</v>
      </c>
      <c r="C7210" s="220" t="s">
        <v>9745</v>
      </c>
      <c r="D7210" s="220" t="s">
        <v>63</v>
      </c>
      <c r="E7210" s="165">
        <v>40</v>
      </c>
    </row>
    <row r="7211" spans="1:5" x14ac:dyDescent="0.25">
      <c r="A7211" s="216" t="s">
        <v>7358</v>
      </c>
      <c r="B7211" s="218">
        <v>1</v>
      </c>
      <c r="C7211" s="220" t="s">
        <v>1331</v>
      </c>
      <c r="D7211" s="220" t="s">
        <v>348</v>
      </c>
      <c r="E7211" s="165">
        <v>40</v>
      </c>
    </row>
    <row r="7212" spans="1:5" x14ac:dyDescent="0.25">
      <c r="A7212" s="216" t="s">
        <v>8816</v>
      </c>
      <c r="B7212" s="218" t="s">
        <v>48</v>
      </c>
      <c r="C7212" s="220" t="s">
        <v>8817</v>
      </c>
      <c r="D7212" s="220" t="s">
        <v>90</v>
      </c>
      <c r="E7212" s="165">
        <v>40</v>
      </c>
    </row>
    <row r="7213" spans="1:5" x14ac:dyDescent="0.25">
      <c r="A7213" s="216" t="s">
        <v>9677</v>
      </c>
      <c r="B7213" s="218">
        <v>1</v>
      </c>
      <c r="C7213" s="220" t="s">
        <v>1025</v>
      </c>
      <c r="D7213" s="220" t="s">
        <v>75</v>
      </c>
      <c r="E7213" s="165">
        <v>40</v>
      </c>
    </row>
    <row r="7214" spans="1:5" x14ac:dyDescent="0.25">
      <c r="A7214" s="216" t="s">
        <v>9679</v>
      </c>
      <c r="B7214" s="218">
        <v>1</v>
      </c>
      <c r="C7214" s="220" t="s">
        <v>1266</v>
      </c>
      <c r="D7214" s="220" t="s">
        <v>166</v>
      </c>
      <c r="E7214" s="165">
        <v>40</v>
      </c>
    </row>
    <row r="7215" spans="1:5" x14ac:dyDescent="0.25">
      <c r="A7215" s="216" t="s">
        <v>10218</v>
      </c>
      <c r="B7215" s="218" t="s">
        <v>48</v>
      </c>
      <c r="C7215" s="220" t="s">
        <v>8939</v>
      </c>
      <c r="D7215" s="220" t="s">
        <v>82</v>
      </c>
      <c r="E7215" s="165">
        <v>40</v>
      </c>
    </row>
    <row r="7216" spans="1:5" x14ac:dyDescent="0.25">
      <c r="A7216" s="216" t="s">
        <v>11713</v>
      </c>
      <c r="B7216" s="218">
        <v>1</v>
      </c>
      <c r="C7216" s="220" t="s">
        <v>8298</v>
      </c>
      <c r="D7216" s="220" t="s">
        <v>59</v>
      </c>
      <c r="E7216" s="165">
        <v>40</v>
      </c>
    </row>
    <row r="7217" spans="1:5" x14ac:dyDescent="0.25">
      <c r="A7217" s="216" t="s">
        <v>9283</v>
      </c>
      <c r="B7217" s="218">
        <v>1</v>
      </c>
      <c r="C7217" s="220" t="s">
        <v>5007</v>
      </c>
      <c r="D7217" s="220" t="s">
        <v>222</v>
      </c>
      <c r="E7217" s="165">
        <v>40</v>
      </c>
    </row>
    <row r="7218" spans="1:5" x14ac:dyDescent="0.25">
      <c r="A7218" s="216" t="s">
        <v>9529</v>
      </c>
      <c r="B7218" s="218">
        <v>1</v>
      </c>
      <c r="C7218" s="220" t="s">
        <v>1977</v>
      </c>
      <c r="D7218" s="220" t="s">
        <v>277</v>
      </c>
      <c r="E7218" s="165">
        <v>40</v>
      </c>
    </row>
    <row r="7219" spans="1:5" x14ac:dyDescent="0.25">
      <c r="A7219" s="216" t="s">
        <v>9688</v>
      </c>
      <c r="B7219" s="218">
        <v>1</v>
      </c>
      <c r="C7219" s="220" t="s">
        <v>9689</v>
      </c>
      <c r="D7219" s="220" t="s">
        <v>348</v>
      </c>
      <c r="E7219" s="165">
        <v>40</v>
      </c>
    </row>
    <row r="7220" spans="1:5" x14ac:dyDescent="0.25">
      <c r="A7220" s="216" t="s">
        <v>9416</v>
      </c>
      <c r="B7220" s="218">
        <v>1</v>
      </c>
      <c r="C7220" s="220" t="s">
        <v>7199</v>
      </c>
      <c r="D7220" s="220" t="s">
        <v>166</v>
      </c>
      <c r="E7220" s="165">
        <v>40</v>
      </c>
    </row>
    <row r="7221" spans="1:5" x14ac:dyDescent="0.25">
      <c r="A7221" s="216" t="s">
        <v>9690</v>
      </c>
      <c r="B7221" s="218">
        <v>1</v>
      </c>
      <c r="C7221" s="220" t="s">
        <v>9691</v>
      </c>
      <c r="D7221" s="220" t="s">
        <v>1200</v>
      </c>
      <c r="E7221" s="165">
        <v>40</v>
      </c>
    </row>
    <row r="7222" spans="1:5" x14ac:dyDescent="0.25">
      <c r="A7222" s="216" t="s">
        <v>9798</v>
      </c>
      <c r="B7222" s="218">
        <v>1</v>
      </c>
      <c r="C7222" s="220" t="s">
        <v>5802</v>
      </c>
      <c r="D7222" s="220" t="s">
        <v>188</v>
      </c>
      <c r="E7222" s="165">
        <v>40</v>
      </c>
    </row>
    <row r="7223" spans="1:5" x14ac:dyDescent="0.25">
      <c r="A7223" s="216" t="s">
        <v>9692</v>
      </c>
      <c r="B7223" s="218">
        <v>1</v>
      </c>
      <c r="C7223" s="220" t="s">
        <v>1953</v>
      </c>
      <c r="D7223" s="220" t="s">
        <v>50</v>
      </c>
      <c r="E7223" s="165">
        <v>40</v>
      </c>
    </row>
    <row r="7224" spans="1:5" x14ac:dyDescent="0.25">
      <c r="A7224" s="216" t="s">
        <v>9697</v>
      </c>
      <c r="B7224" s="218">
        <v>1</v>
      </c>
      <c r="C7224" s="220" t="s">
        <v>421</v>
      </c>
      <c r="D7224" s="220" t="s">
        <v>201</v>
      </c>
      <c r="E7224" s="165">
        <v>40</v>
      </c>
    </row>
    <row r="7225" spans="1:5" x14ac:dyDescent="0.25">
      <c r="A7225" s="216" t="s">
        <v>9870</v>
      </c>
      <c r="B7225" s="218" t="s">
        <v>48</v>
      </c>
      <c r="C7225" s="220" t="s">
        <v>9871</v>
      </c>
      <c r="D7225" s="220" t="s">
        <v>59</v>
      </c>
      <c r="E7225" s="165">
        <v>40</v>
      </c>
    </row>
    <row r="7226" spans="1:5" x14ac:dyDescent="0.25">
      <c r="A7226" s="216" t="s">
        <v>9756</v>
      </c>
      <c r="B7226" s="218">
        <v>1</v>
      </c>
      <c r="C7226" s="220" t="s">
        <v>5951</v>
      </c>
      <c r="D7226" s="220" t="s">
        <v>63</v>
      </c>
      <c r="E7226" s="165">
        <v>39</v>
      </c>
    </row>
    <row r="7227" spans="1:5" x14ac:dyDescent="0.25">
      <c r="A7227" s="216" t="s">
        <v>9826</v>
      </c>
      <c r="B7227" s="218" t="s">
        <v>48</v>
      </c>
      <c r="C7227" s="220" t="s">
        <v>1913</v>
      </c>
      <c r="D7227" s="220" t="s">
        <v>90</v>
      </c>
      <c r="E7227" s="165">
        <v>39</v>
      </c>
    </row>
    <row r="7228" spans="1:5" x14ac:dyDescent="0.25">
      <c r="A7228" s="216" t="s">
        <v>11714</v>
      </c>
      <c r="B7228" s="218" t="s">
        <v>48</v>
      </c>
      <c r="C7228" s="220" t="s">
        <v>2809</v>
      </c>
      <c r="D7228" s="220" t="s">
        <v>188</v>
      </c>
      <c r="E7228" s="165">
        <v>39</v>
      </c>
    </row>
    <row r="7229" spans="1:5" x14ac:dyDescent="0.25">
      <c r="A7229" s="216" t="s">
        <v>9758</v>
      </c>
      <c r="B7229" s="218">
        <v>1</v>
      </c>
      <c r="C7229" s="220" t="s">
        <v>63</v>
      </c>
      <c r="D7229" s="220" t="s">
        <v>63</v>
      </c>
      <c r="E7229" s="165">
        <v>39</v>
      </c>
    </row>
    <row r="7230" spans="1:5" x14ac:dyDescent="0.25">
      <c r="A7230" s="216" t="s">
        <v>8567</v>
      </c>
      <c r="B7230" s="218" t="s">
        <v>48</v>
      </c>
      <c r="C7230" s="220" t="s">
        <v>5725</v>
      </c>
      <c r="D7230" s="220" t="s">
        <v>166</v>
      </c>
      <c r="E7230" s="165">
        <v>39</v>
      </c>
    </row>
    <row r="7231" spans="1:5" x14ac:dyDescent="0.25">
      <c r="A7231" s="216" t="s">
        <v>9875</v>
      </c>
      <c r="B7231" s="218" t="s">
        <v>48</v>
      </c>
      <c r="C7231" s="220" t="s">
        <v>9876</v>
      </c>
      <c r="D7231" s="220" t="s">
        <v>59</v>
      </c>
      <c r="E7231" s="165">
        <v>39</v>
      </c>
    </row>
    <row r="7232" spans="1:5" x14ac:dyDescent="0.25">
      <c r="A7232" s="216" t="s">
        <v>11715</v>
      </c>
      <c r="B7232" s="218" t="s">
        <v>48</v>
      </c>
      <c r="C7232" s="220" t="s">
        <v>404</v>
      </c>
      <c r="D7232" s="220" t="s">
        <v>277</v>
      </c>
      <c r="E7232" s="165">
        <v>39</v>
      </c>
    </row>
    <row r="7233" spans="1:5" x14ac:dyDescent="0.25">
      <c r="A7233" s="216" t="s">
        <v>11716</v>
      </c>
      <c r="B7233" s="218">
        <v>1</v>
      </c>
      <c r="C7233" s="220" t="s">
        <v>1160</v>
      </c>
      <c r="D7233" s="220" t="s">
        <v>628</v>
      </c>
      <c r="E7233" s="165">
        <v>39</v>
      </c>
    </row>
    <row r="7234" spans="1:5" x14ac:dyDescent="0.25">
      <c r="A7234" s="216" t="s">
        <v>9774</v>
      </c>
      <c r="B7234" s="218">
        <v>1</v>
      </c>
      <c r="C7234" s="220" t="s">
        <v>2240</v>
      </c>
      <c r="D7234" s="220" t="s">
        <v>63</v>
      </c>
      <c r="E7234" s="165">
        <v>39</v>
      </c>
    </row>
    <row r="7235" spans="1:5" x14ac:dyDescent="0.25">
      <c r="A7235" s="216" t="s">
        <v>9680</v>
      </c>
      <c r="B7235" s="218">
        <v>1</v>
      </c>
      <c r="C7235" s="220" t="s">
        <v>3899</v>
      </c>
      <c r="D7235" s="220" t="s">
        <v>69</v>
      </c>
      <c r="E7235" s="165">
        <v>39</v>
      </c>
    </row>
    <row r="7236" spans="1:5" x14ac:dyDescent="0.25">
      <c r="A7236" s="216" t="s">
        <v>9545</v>
      </c>
      <c r="B7236" s="218">
        <v>1</v>
      </c>
      <c r="C7236" s="220" t="s">
        <v>8600</v>
      </c>
      <c r="D7236" s="220" t="s">
        <v>82</v>
      </c>
      <c r="E7236" s="165">
        <v>39</v>
      </c>
    </row>
    <row r="7237" spans="1:5" x14ac:dyDescent="0.25">
      <c r="A7237" s="216" t="s">
        <v>9620</v>
      </c>
      <c r="B7237" s="218">
        <v>1</v>
      </c>
      <c r="C7237" s="220" t="s">
        <v>7066</v>
      </c>
      <c r="D7237" s="220" t="s">
        <v>139</v>
      </c>
      <c r="E7237" s="165">
        <v>39</v>
      </c>
    </row>
    <row r="7238" spans="1:5" x14ac:dyDescent="0.25">
      <c r="A7238" s="216" t="s">
        <v>11717</v>
      </c>
      <c r="B7238" s="218" t="s">
        <v>48</v>
      </c>
      <c r="C7238" s="220" t="s">
        <v>3577</v>
      </c>
      <c r="D7238" s="220" t="s">
        <v>75</v>
      </c>
      <c r="E7238" s="165">
        <v>39</v>
      </c>
    </row>
    <row r="7239" spans="1:5" x14ac:dyDescent="0.25">
      <c r="A7239" s="216" t="s">
        <v>9779</v>
      </c>
      <c r="B7239" s="218">
        <v>1</v>
      </c>
      <c r="C7239" s="220" t="s">
        <v>9780</v>
      </c>
      <c r="D7239" s="220" t="s">
        <v>63</v>
      </c>
      <c r="E7239" s="165">
        <v>39</v>
      </c>
    </row>
    <row r="7240" spans="1:5" x14ac:dyDescent="0.25">
      <c r="A7240" s="216" t="s">
        <v>11718</v>
      </c>
      <c r="B7240" s="218" t="s">
        <v>48</v>
      </c>
      <c r="C7240" s="220" t="s">
        <v>3711</v>
      </c>
      <c r="D7240" s="220" t="s">
        <v>90</v>
      </c>
      <c r="E7240" s="165">
        <v>39</v>
      </c>
    </row>
    <row r="7241" spans="1:5" x14ac:dyDescent="0.25">
      <c r="A7241" s="216" t="s">
        <v>9695</v>
      </c>
      <c r="B7241" s="218">
        <v>1</v>
      </c>
      <c r="C7241" s="220" t="s">
        <v>9696</v>
      </c>
      <c r="D7241" s="220" t="s">
        <v>130</v>
      </c>
      <c r="E7241" s="165">
        <v>39</v>
      </c>
    </row>
    <row r="7242" spans="1:5" x14ac:dyDescent="0.25">
      <c r="A7242" s="216" t="s">
        <v>9698</v>
      </c>
      <c r="B7242" s="218">
        <v>1</v>
      </c>
      <c r="C7242" s="220" t="s">
        <v>1411</v>
      </c>
      <c r="D7242" s="220" t="s">
        <v>93</v>
      </c>
      <c r="E7242" s="165">
        <v>39</v>
      </c>
    </row>
    <row r="7243" spans="1:5" x14ac:dyDescent="0.25">
      <c r="A7243" s="216" t="s">
        <v>7258</v>
      </c>
      <c r="B7243" s="218" t="s">
        <v>48</v>
      </c>
      <c r="C7243" s="220" t="s">
        <v>3038</v>
      </c>
      <c r="D7243" s="220" t="s">
        <v>59</v>
      </c>
      <c r="E7243" s="165">
        <v>39</v>
      </c>
    </row>
    <row r="7244" spans="1:5" x14ac:dyDescent="0.25">
      <c r="A7244" s="216" t="s">
        <v>11719</v>
      </c>
      <c r="B7244" s="218" t="s">
        <v>48</v>
      </c>
      <c r="C7244" s="220" t="s">
        <v>1478</v>
      </c>
      <c r="D7244" s="220" t="s">
        <v>142</v>
      </c>
      <c r="E7244" s="165">
        <v>38</v>
      </c>
    </row>
    <row r="7245" spans="1:5" x14ac:dyDescent="0.25">
      <c r="A7245" s="216" t="s">
        <v>6289</v>
      </c>
      <c r="B7245" s="218">
        <v>1</v>
      </c>
      <c r="C7245" s="220" t="s">
        <v>2052</v>
      </c>
      <c r="D7245" s="220" t="s">
        <v>523</v>
      </c>
      <c r="E7245" s="165">
        <v>38</v>
      </c>
    </row>
    <row r="7246" spans="1:5" x14ac:dyDescent="0.25">
      <c r="A7246" s="216" t="s">
        <v>8397</v>
      </c>
      <c r="B7246" s="218" t="s">
        <v>48</v>
      </c>
      <c r="C7246" s="220" t="s">
        <v>3619</v>
      </c>
      <c r="D7246" s="220" t="s">
        <v>90</v>
      </c>
      <c r="E7246" s="165">
        <v>38</v>
      </c>
    </row>
    <row r="7247" spans="1:5" x14ac:dyDescent="0.25">
      <c r="A7247" s="216" t="s">
        <v>9615</v>
      </c>
      <c r="B7247" s="218">
        <v>1</v>
      </c>
      <c r="C7247" s="220" t="s">
        <v>129</v>
      </c>
      <c r="D7247" s="220" t="s">
        <v>59</v>
      </c>
      <c r="E7247" s="165">
        <v>38</v>
      </c>
    </row>
    <row r="7248" spans="1:5" x14ac:dyDescent="0.25">
      <c r="A7248" s="216" t="s">
        <v>9656</v>
      </c>
      <c r="B7248" s="218">
        <v>1</v>
      </c>
      <c r="C7248" s="220" t="s">
        <v>9657</v>
      </c>
      <c r="D7248" s="220" t="s">
        <v>272</v>
      </c>
      <c r="E7248" s="165">
        <v>38</v>
      </c>
    </row>
    <row r="7249" spans="1:5" x14ac:dyDescent="0.25">
      <c r="A7249" s="216" t="s">
        <v>9843</v>
      </c>
      <c r="B7249" s="218" t="s">
        <v>48</v>
      </c>
      <c r="C7249" s="220" t="s">
        <v>1815</v>
      </c>
      <c r="D7249" s="220" t="s">
        <v>53</v>
      </c>
      <c r="E7249" s="165">
        <v>38</v>
      </c>
    </row>
    <row r="7250" spans="1:5" x14ac:dyDescent="0.25">
      <c r="A7250" s="216" t="s">
        <v>11720</v>
      </c>
      <c r="B7250" s="218">
        <v>1</v>
      </c>
      <c r="C7250" s="220" t="s">
        <v>11721</v>
      </c>
      <c r="D7250" s="220" t="s">
        <v>98</v>
      </c>
      <c r="E7250" s="165">
        <v>38</v>
      </c>
    </row>
    <row r="7251" spans="1:5" x14ac:dyDescent="0.25">
      <c r="A7251" s="216" t="s">
        <v>9770</v>
      </c>
      <c r="B7251" s="218">
        <v>1</v>
      </c>
      <c r="C7251" s="220" t="s">
        <v>9771</v>
      </c>
      <c r="D7251" s="220" t="s">
        <v>78</v>
      </c>
      <c r="E7251" s="165">
        <v>38</v>
      </c>
    </row>
    <row r="7252" spans="1:5" x14ac:dyDescent="0.25">
      <c r="A7252" s="216" t="s">
        <v>9732</v>
      </c>
      <c r="B7252" s="218">
        <v>1</v>
      </c>
      <c r="C7252" s="220" t="s">
        <v>86</v>
      </c>
      <c r="D7252" s="220" t="s">
        <v>78</v>
      </c>
      <c r="E7252" s="165">
        <v>38</v>
      </c>
    </row>
    <row r="7253" spans="1:5" x14ac:dyDescent="0.25">
      <c r="A7253" s="216" t="s">
        <v>9724</v>
      </c>
      <c r="B7253" s="218">
        <v>1</v>
      </c>
      <c r="C7253" s="220" t="s">
        <v>2916</v>
      </c>
      <c r="D7253" s="220" t="s">
        <v>93</v>
      </c>
      <c r="E7253" s="165">
        <v>38</v>
      </c>
    </row>
    <row r="7254" spans="1:5" x14ac:dyDescent="0.25">
      <c r="A7254" s="216" t="s">
        <v>11722</v>
      </c>
      <c r="B7254" s="218">
        <v>1</v>
      </c>
      <c r="C7254" s="220" t="s">
        <v>2927</v>
      </c>
      <c r="D7254" s="220" t="s">
        <v>87</v>
      </c>
      <c r="E7254" s="165">
        <v>38</v>
      </c>
    </row>
    <row r="7255" spans="1:5" x14ac:dyDescent="0.25">
      <c r="A7255" s="216" t="s">
        <v>9866</v>
      </c>
      <c r="B7255" s="218">
        <v>1</v>
      </c>
      <c r="C7255" s="220" t="s">
        <v>9316</v>
      </c>
      <c r="D7255" s="220" t="s">
        <v>56</v>
      </c>
      <c r="E7255" s="165">
        <v>38</v>
      </c>
    </row>
    <row r="7256" spans="1:5" x14ac:dyDescent="0.25">
      <c r="A7256" s="216" t="s">
        <v>9738</v>
      </c>
      <c r="B7256" s="218">
        <v>1</v>
      </c>
      <c r="C7256" s="220" t="s">
        <v>1103</v>
      </c>
      <c r="D7256" s="220" t="s">
        <v>277</v>
      </c>
      <c r="E7256" s="165">
        <v>38</v>
      </c>
    </row>
    <row r="7257" spans="1:5" x14ac:dyDescent="0.25">
      <c r="A7257" s="216" t="s">
        <v>9982</v>
      </c>
      <c r="B7257" s="218" t="s">
        <v>48</v>
      </c>
      <c r="C7257" s="220" t="s">
        <v>9736</v>
      </c>
      <c r="D7257" s="220" t="s">
        <v>59</v>
      </c>
      <c r="E7257" s="165">
        <v>38</v>
      </c>
    </row>
    <row r="7258" spans="1:5" x14ac:dyDescent="0.25">
      <c r="A7258" s="216" t="s">
        <v>9636</v>
      </c>
      <c r="B7258" s="218">
        <v>1</v>
      </c>
      <c r="C7258" s="220" t="s">
        <v>9637</v>
      </c>
      <c r="D7258" s="220" t="s">
        <v>774</v>
      </c>
      <c r="E7258" s="165">
        <v>38</v>
      </c>
    </row>
    <row r="7259" spans="1:5" x14ac:dyDescent="0.25">
      <c r="A7259" s="216" t="s">
        <v>9583</v>
      </c>
      <c r="B7259" s="218">
        <v>1</v>
      </c>
      <c r="C7259" s="220" t="s">
        <v>9584</v>
      </c>
      <c r="D7259" s="220" t="s">
        <v>277</v>
      </c>
      <c r="E7259" s="165">
        <v>38</v>
      </c>
    </row>
    <row r="7260" spans="1:5" x14ac:dyDescent="0.25">
      <c r="A7260" s="216" t="s">
        <v>9716</v>
      </c>
      <c r="B7260" s="218">
        <v>1</v>
      </c>
      <c r="C7260" s="220" t="s">
        <v>2912</v>
      </c>
      <c r="D7260" s="220" t="s">
        <v>222</v>
      </c>
      <c r="E7260" s="165">
        <v>38</v>
      </c>
    </row>
    <row r="7261" spans="1:5" x14ac:dyDescent="0.25">
      <c r="A7261" s="216" t="s">
        <v>9624</v>
      </c>
      <c r="B7261" s="218">
        <v>1</v>
      </c>
      <c r="C7261" s="220" t="s">
        <v>5518</v>
      </c>
      <c r="D7261" s="220" t="s">
        <v>59</v>
      </c>
      <c r="E7261" s="165">
        <v>38</v>
      </c>
    </row>
    <row r="7262" spans="1:5" x14ac:dyDescent="0.25">
      <c r="A7262" s="216" t="s">
        <v>9784</v>
      </c>
      <c r="B7262" s="218">
        <v>1</v>
      </c>
      <c r="C7262" s="220" t="s">
        <v>3192</v>
      </c>
      <c r="D7262" s="220" t="s">
        <v>264</v>
      </c>
      <c r="E7262" s="165">
        <v>38</v>
      </c>
    </row>
    <row r="7263" spans="1:5" x14ac:dyDescent="0.25">
      <c r="A7263" s="216" t="s">
        <v>9785</v>
      </c>
      <c r="B7263" s="218">
        <v>1</v>
      </c>
      <c r="C7263" s="220" t="s">
        <v>6489</v>
      </c>
      <c r="D7263" s="220" t="s">
        <v>66</v>
      </c>
      <c r="E7263" s="165">
        <v>37</v>
      </c>
    </row>
    <row r="7264" spans="1:5" x14ac:dyDescent="0.25">
      <c r="A7264" s="216" t="s">
        <v>9658</v>
      </c>
      <c r="B7264" s="218">
        <v>1</v>
      </c>
      <c r="C7264" s="220" t="s">
        <v>727</v>
      </c>
      <c r="D7264" s="220" t="s">
        <v>93</v>
      </c>
      <c r="E7264" s="165">
        <v>37</v>
      </c>
    </row>
    <row r="7265" spans="1:5" x14ac:dyDescent="0.25">
      <c r="A7265" s="216" t="s">
        <v>9883</v>
      </c>
      <c r="B7265" s="218" t="s">
        <v>48</v>
      </c>
      <c r="C7265" s="220" t="s">
        <v>426</v>
      </c>
      <c r="D7265" s="220" t="s">
        <v>166</v>
      </c>
      <c r="E7265" s="165">
        <v>37</v>
      </c>
    </row>
    <row r="7266" spans="1:5" x14ac:dyDescent="0.25">
      <c r="A7266" s="216" t="s">
        <v>9788</v>
      </c>
      <c r="B7266" s="218" t="s">
        <v>48</v>
      </c>
      <c r="C7266" s="220" t="s">
        <v>1788</v>
      </c>
      <c r="D7266" s="220" t="s">
        <v>59</v>
      </c>
      <c r="E7266" s="165">
        <v>37</v>
      </c>
    </row>
    <row r="7267" spans="1:5" x14ac:dyDescent="0.25">
      <c r="A7267" s="216" t="s">
        <v>9743</v>
      </c>
      <c r="B7267" s="218" t="s">
        <v>48</v>
      </c>
      <c r="C7267" s="220" t="s">
        <v>7272</v>
      </c>
      <c r="D7267" s="220" t="s">
        <v>63</v>
      </c>
      <c r="E7267" s="165">
        <v>37</v>
      </c>
    </row>
    <row r="7268" spans="1:5" x14ac:dyDescent="0.25">
      <c r="A7268" s="216" t="s">
        <v>9646</v>
      </c>
      <c r="B7268" s="218">
        <v>1</v>
      </c>
      <c r="C7268" s="220" t="s">
        <v>562</v>
      </c>
      <c r="D7268" s="220" t="s">
        <v>59</v>
      </c>
      <c r="E7268" s="165">
        <v>37</v>
      </c>
    </row>
    <row r="7269" spans="1:5" x14ac:dyDescent="0.25">
      <c r="A7269" s="216" t="s">
        <v>9681</v>
      </c>
      <c r="B7269" s="218">
        <v>1</v>
      </c>
      <c r="C7269" s="220" t="s">
        <v>9682</v>
      </c>
      <c r="D7269" s="220" t="s">
        <v>93</v>
      </c>
      <c r="E7269" s="165">
        <v>37</v>
      </c>
    </row>
    <row r="7270" spans="1:5" x14ac:dyDescent="0.25">
      <c r="A7270" s="216" t="s">
        <v>6703</v>
      </c>
      <c r="B7270" s="218">
        <v>1</v>
      </c>
      <c r="C7270" s="220" t="s">
        <v>6704</v>
      </c>
      <c r="D7270" s="220" t="s">
        <v>56</v>
      </c>
      <c r="E7270" s="165">
        <v>37</v>
      </c>
    </row>
    <row r="7271" spans="1:5" x14ac:dyDescent="0.25">
      <c r="A7271" s="216" t="s">
        <v>9776</v>
      </c>
      <c r="B7271" s="218">
        <v>1</v>
      </c>
      <c r="C7271" s="220" t="s">
        <v>6812</v>
      </c>
      <c r="D7271" s="220" t="s">
        <v>56</v>
      </c>
      <c r="E7271" s="165">
        <v>37</v>
      </c>
    </row>
    <row r="7272" spans="1:5" x14ac:dyDescent="0.25">
      <c r="A7272" s="216" t="s">
        <v>9581</v>
      </c>
      <c r="B7272" s="218">
        <v>1</v>
      </c>
      <c r="C7272" s="220" t="s">
        <v>9582</v>
      </c>
      <c r="D7272" s="220" t="s">
        <v>523</v>
      </c>
      <c r="E7272" s="165">
        <v>37</v>
      </c>
    </row>
    <row r="7273" spans="1:5" x14ac:dyDescent="0.25">
      <c r="A7273" s="216" t="s">
        <v>9345</v>
      </c>
      <c r="B7273" s="218" t="s">
        <v>48</v>
      </c>
      <c r="C7273" s="220" t="s">
        <v>9346</v>
      </c>
      <c r="D7273" s="220" t="s">
        <v>201</v>
      </c>
      <c r="E7273" s="165">
        <v>37</v>
      </c>
    </row>
    <row r="7274" spans="1:5" x14ac:dyDescent="0.25">
      <c r="A7274" s="216" t="s">
        <v>9701</v>
      </c>
      <c r="B7274" s="218" t="s">
        <v>48</v>
      </c>
      <c r="C7274" s="220" t="s">
        <v>89</v>
      </c>
      <c r="D7274" s="220" t="s">
        <v>90</v>
      </c>
      <c r="E7274" s="165">
        <v>36</v>
      </c>
    </row>
    <row r="7275" spans="1:5" x14ac:dyDescent="0.25">
      <c r="A7275" s="216" t="s">
        <v>9663</v>
      </c>
      <c r="B7275" s="218" t="s">
        <v>48</v>
      </c>
      <c r="C7275" s="220" t="s">
        <v>470</v>
      </c>
      <c r="D7275" s="220" t="s">
        <v>108</v>
      </c>
      <c r="E7275" s="165">
        <v>36</v>
      </c>
    </row>
    <row r="7276" spans="1:5" x14ac:dyDescent="0.25">
      <c r="A7276" s="216" t="s">
        <v>11723</v>
      </c>
      <c r="B7276" s="218">
        <v>1</v>
      </c>
      <c r="C7276" s="220" t="s">
        <v>4983</v>
      </c>
      <c r="D7276" s="220" t="s">
        <v>188</v>
      </c>
      <c r="E7276" s="165">
        <v>36</v>
      </c>
    </row>
    <row r="7277" spans="1:5" x14ac:dyDescent="0.25">
      <c r="A7277" s="216" t="s">
        <v>11724</v>
      </c>
      <c r="B7277" s="218" t="s">
        <v>48</v>
      </c>
      <c r="C7277" s="220" t="s">
        <v>9914</v>
      </c>
      <c r="D7277" s="220" t="s">
        <v>90</v>
      </c>
      <c r="E7277" s="165">
        <v>36</v>
      </c>
    </row>
    <row r="7278" spans="1:5" x14ac:dyDescent="0.25">
      <c r="A7278" s="216" t="s">
        <v>9630</v>
      </c>
      <c r="B7278" s="218">
        <v>1</v>
      </c>
      <c r="C7278" s="220" t="s">
        <v>9631</v>
      </c>
      <c r="D7278" s="220" t="s">
        <v>277</v>
      </c>
      <c r="E7278" s="165">
        <v>36</v>
      </c>
    </row>
    <row r="7279" spans="1:5" x14ac:dyDescent="0.25">
      <c r="A7279" s="216" t="s">
        <v>9632</v>
      </c>
      <c r="B7279" s="218">
        <v>1</v>
      </c>
      <c r="C7279" s="220" t="s">
        <v>8650</v>
      </c>
      <c r="D7279" s="220" t="s">
        <v>277</v>
      </c>
      <c r="E7279" s="165">
        <v>36</v>
      </c>
    </row>
    <row r="7280" spans="1:5" x14ac:dyDescent="0.25">
      <c r="A7280" s="216" t="s">
        <v>9683</v>
      </c>
      <c r="B7280" s="218">
        <v>1</v>
      </c>
      <c r="C7280" s="220" t="s">
        <v>2365</v>
      </c>
      <c r="D7280" s="220" t="s">
        <v>93</v>
      </c>
      <c r="E7280" s="165">
        <v>36</v>
      </c>
    </row>
    <row r="7281" spans="1:5" x14ac:dyDescent="0.25">
      <c r="A7281" s="216" t="s">
        <v>9735</v>
      </c>
      <c r="B7281" s="218" t="s">
        <v>48</v>
      </c>
      <c r="C7281" s="220" t="s">
        <v>9736</v>
      </c>
      <c r="D7281" s="220" t="s">
        <v>59</v>
      </c>
      <c r="E7281" s="165">
        <v>36</v>
      </c>
    </row>
    <row r="7282" spans="1:5" x14ac:dyDescent="0.25">
      <c r="A7282" s="216" t="s">
        <v>9853</v>
      </c>
      <c r="B7282" s="218">
        <v>1</v>
      </c>
      <c r="C7282" s="220" t="s">
        <v>2365</v>
      </c>
      <c r="D7282" s="220" t="s">
        <v>63</v>
      </c>
      <c r="E7282" s="165">
        <v>36</v>
      </c>
    </row>
    <row r="7283" spans="1:5" x14ac:dyDescent="0.25">
      <c r="A7283" s="216" t="s">
        <v>11725</v>
      </c>
      <c r="B7283" s="218">
        <v>1</v>
      </c>
      <c r="C7283" s="220" t="s">
        <v>5446</v>
      </c>
      <c r="D7283" s="220" t="s">
        <v>277</v>
      </c>
      <c r="E7283" s="165">
        <v>36</v>
      </c>
    </row>
    <row r="7284" spans="1:5" x14ac:dyDescent="0.25">
      <c r="A7284" s="216" t="s">
        <v>9795</v>
      </c>
      <c r="B7284" s="218">
        <v>1</v>
      </c>
      <c r="C7284" s="220" t="s">
        <v>9796</v>
      </c>
      <c r="D7284" s="220" t="s">
        <v>72</v>
      </c>
      <c r="E7284" s="165">
        <v>36</v>
      </c>
    </row>
    <row r="7285" spans="1:5" x14ac:dyDescent="0.25">
      <c r="A7285" s="216" t="s">
        <v>9922</v>
      </c>
      <c r="B7285" s="218">
        <v>1</v>
      </c>
      <c r="C7285" s="220" t="s">
        <v>1700</v>
      </c>
      <c r="D7285" s="220" t="s">
        <v>337</v>
      </c>
      <c r="E7285" s="165">
        <v>36</v>
      </c>
    </row>
    <row r="7286" spans="1:5" x14ac:dyDescent="0.25">
      <c r="A7286" s="216" t="s">
        <v>9783</v>
      </c>
      <c r="B7286" s="218">
        <v>1</v>
      </c>
      <c r="C7286" s="220" t="s">
        <v>2218</v>
      </c>
      <c r="D7286" s="220" t="s">
        <v>56</v>
      </c>
      <c r="E7286" s="165">
        <v>36</v>
      </c>
    </row>
    <row r="7287" spans="1:5" x14ac:dyDescent="0.25">
      <c r="A7287" s="216" t="s">
        <v>9638</v>
      </c>
      <c r="B7287" s="218">
        <v>1</v>
      </c>
      <c r="C7287" s="220" t="s">
        <v>5366</v>
      </c>
      <c r="D7287" s="220" t="s">
        <v>277</v>
      </c>
      <c r="E7287" s="165">
        <v>36</v>
      </c>
    </row>
    <row r="7288" spans="1:5" x14ac:dyDescent="0.25">
      <c r="A7288" s="216" t="s">
        <v>8257</v>
      </c>
      <c r="B7288" s="218" t="s">
        <v>48</v>
      </c>
      <c r="C7288" s="220" t="s">
        <v>582</v>
      </c>
      <c r="D7288" s="220" t="s">
        <v>59</v>
      </c>
      <c r="E7288" s="165">
        <v>36</v>
      </c>
    </row>
    <row r="7289" spans="1:5" x14ac:dyDescent="0.25">
      <c r="A7289" s="216" t="s">
        <v>9700</v>
      </c>
      <c r="B7289" s="218">
        <v>1</v>
      </c>
      <c r="C7289" s="220" t="s">
        <v>2916</v>
      </c>
      <c r="D7289" s="220" t="s">
        <v>93</v>
      </c>
      <c r="E7289" s="165">
        <v>36</v>
      </c>
    </row>
    <row r="7290" spans="1:5" x14ac:dyDescent="0.25">
      <c r="A7290" s="216" t="s">
        <v>11726</v>
      </c>
      <c r="B7290" s="218">
        <v>1</v>
      </c>
      <c r="C7290" s="220" t="s">
        <v>5725</v>
      </c>
      <c r="D7290" s="220" t="s">
        <v>166</v>
      </c>
      <c r="E7290" s="165">
        <v>35</v>
      </c>
    </row>
    <row r="7291" spans="1:5" x14ac:dyDescent="0.25">
      <c r="A7291" s="216" t="s">
        <v>9661</v>
      </c>
      <c r="B7291" s="218">
        <v>1</v>
      </c>
      <c r="C7291" s="220" t="s">
        <v>962</v>
      </c>
      <c r="D7291" s="220" t="s">
        <v>53</v>
      </c>
      <c r="E7291" s="165">
        <v>35</v>
      </c>
    </row>
    <row r="7292" spans="1:5" x14ac:dyDescent="0.25">
      <c r="A7292" s="216" t="s">
        <v>9827</v>
      </c>
      <c r="B7292" s="218">
        <v>1</v>
      </c>
      <c r="C7292" s="220" t="s">
        <v>4797</v>
      </c>
      <c r="D7292" s="220" t="s">
        <v>78</v>
      </c>
      <c r="E7292" s="165">
        <v>35</v>
      </c>
    </row>
    <row r="7293" spans="1:5" x14ac:dyDescent="0.25">
      <c r="A7293" s="216" t="s">
        <v>9763</v>
      </c>
      <c r="B7293" s="218">
        <v>1</v>
      </c>
      <c r="C7293" s="220" t="s">
        <v>1626</v>
      </c>
      <c r="D7293" s="220" t="s">
        <v>127</v>
      </c>
      <c r="E7293" s="165">
        <v>35</v>
      </c>
    </row>
    <row r="7294" spans="1:5" x14ac:dyDescent="0.25">
      <c r="A7294" s="216" t="s">
        <v>9830</v>
      </c>
      <c r="B7294" s="218">
        <v>1</v>
      </c>
      <c r="C7294" s="220" t="s">
        <v>9831</v>
      </c>
      <c r="D7294" s="220" t="s">
        <v>63</v>
      </c>
      <c r="E7294" s="165">
        <v>35</v>
      </c>
    </row>
    <row r="7295" spans="1:5" x14ac:dyDescent="0.25">
      <c r="A7295" s="216" t="s">
        <v>10658</v>
      </c>
      <c r="B7295" s="218" t="s">
        <v>48</v>
      </c>
      <c r="C7295" s="220" t="s">
        <v>11727</v>
      </c>
      <c r="D7295" s="220" t="s">
        <v>108</v>
      </c>
      <c r="E7295" s="165">
        <v>35</v>
      </c>
    </row>
    <row r="7296" spans="1:5" x14ac:dyDescent="0.25">
      <c r="A7296" s="216" t="s">
        <v>9832</v>
      </c>
      <c r="B7296" s="218">
        <v>1</v>
      </c>
      <c r="C7296" s="220" t="s">
        <v>9833</v>
      </c>
      <c r="D7296" s="220" t="s">
        <v>63</v>
      </c>
      <c r="E7296" s="165">
        <v>35</v>
      </c>
    </row>
    <row r="7297" spans="1:5" x14ac:dyDescent="0.25">
      <c r="A7297" s="216" t="s">
        <v>11728</v>
      </c>
      <c r="B7297" s="218" t="s">
        <v>48</v>
      </c>
      <c r="C7297" s="220" t="s">
        <v>1047</v>
      </c>
      <c r="D7297" s="220" t="s">
        <v>53</v>
      </c>
      <c r="E7297" s="165">
        <v>35</v>
      </c>
    </row>
    <row r="7298" spans="1:5" x14ac:dyDescent="0.25">
      <c r="A7298" s="216" t="s">
        <v>11729</v>
      </c>
      <c r="B7298" s="218">
        <v>1</v>
      </c>
      <c r="C7298" s="220" t="s">
        <v>988</v>
      </c>
      <c r="D7298" s="220" t="s">
        <v>69</v>
      </c>
      <c r="E7298" s="165">
        <v>35</v>
      </c>
    </row>
    <row r="7299" spans="1:5" x14ac:dyDescent="0.25">
      <c r="A7299" s="216" t="s">
        <v>9490</v>
      </c>
      <c r="B7299" s="218" t="s">
        <v>48</v>
      </c>
      <c r="C7299" s="220" t="s">
        <v>3563</v>
      </c>
      <c r="D7299" s="220" t="s">
        <v>90</v>
      </c>
      <c r="E7299" s="165">
        <v>35</v>
      </c>
    </row>
    <row r="7300" spans="1:5" x14ac:dyDescent="0.25">
      <c r="A7300" s="216" t="s">
        <v>9712</v>
      </c>
      <c r="B7300" s="218">
        <v>1</v>
      </c>
      <c r="C7300" s="220" t="s">
        <v>5984</v>
      </c>
      <c r="D7300" s="220" t="s">
        <v>802</v>
      </c>
      <c r="E7300" s="165">
        <v>35</v>
      </c>
    </row>
    <row r="7301" spans="1:5" x14ac:dyDescent="0.25">
      <c r="A7301" s="216" t="s">
        <v>11730</v>
      </c>
      <c r="B7301" s="218" t="s">
        <v>48</v>
      </c>
      <c r="C7301" s="220" t="s">
        <v>11731</v>
      </c>
      <c r="D7301" s="220" t="s">
        <v>378</v>
      </c>
      <c r="E7301" s="165">
        <v>35</v>
      </c>
    </row>
    <row r="7302" spans="1:5" x14ac:dyDescent="0.25">
      <c r="A7302" s="216" t="s">
        <v>9105</v>
      </c>
      <c r="B7302" s="218" t="s">
        <v>48</v>
      </c>
      <c r="C7302" s="220" t="s">
        <v>1963</v>
      </c>
      <c r="D7302" s="220" t="s">
        <v>90</v>
      </c>
      <c r="E7302" s="165">
        <v>35</v>
      </c>
    </row>
    <row r="7303" spans="1:5" x14ac:dyDescent="0.25">
      <c r="A7303" s="216" t="s">
        <v>9838</v>
      </c>
      <c r="B7303" s="218">
        <v>1</v>
      </c>
      <c r="C7303" s="220" t="s">
        <v>1622</v>
      </c>
      <c r="D7303" s="220" t="s">
        <v>59</v>
      </c>
      <c r="E7303" s="165">
        <v>35</v>
      </c>
    </row>
    <row r="7304" spans="1:5" x14ac:dyDescent="0.25">
      <c r="A7304" s="216" t="s">
        <v>9781</v>
      </c>
      <c r="B7304" s="218">
        <v>1</v>
      </c>
      <c r="C7304" s="220" t="s">
        <v>9782</v>
      </c>
      <c r="D7304" s="220" t="s">
        <v>93</v>
      </c>
      <c r="E7304" s="165">
        <v>35</v>
      </c>
    </row>
    <row r="7305" spans="1:5" x14ac:dyDescent="0.25">
      <c r="A7305" s="216" t="s">
        <v>10172</v>
      </c>
      <c r="B7305" s="218" t="s">
        <v>48</v>
      </c>
      <c r="C7305" s="220" t="s">
        <v>10173</v>
      </c>
      <c r="D7305" s="220" t="s">
        <v>75</v>
      </c>
      <c r="E7305" s="165">
        <v>35</v>
      </c>
    </row>
    <row r="7306" spans="1:5" x14ac:dyDescent="0.25">
      <c r="A7306" s="216" t="s">
        <v>9799</v>
      </c>
      <c r="B7306" s="218">
        <v>1</v>
      </c>
      <c r="C7306" s="220" t="s">
        <v>1295</v>
      </c>
      <c r="D7306" s="220" t="s">
        <v>50</v>
      </c>
      <c r="E7306" s="165">
        <v>35</v>
      </c>
    </row>
    <row r="7307" spans="1:5" x14ac:dyDescent="0.25">
      <c r="A7307" s="216" t="s">
        <v>10095</v>
      </c>
      <c r="B7307" s="218" t="s">
        <v>48</v>
      </c>
      <c r="C7307" s="220" t="s">
        <v>10096</v>
      </c>
      <c r="D7307" s="220" t="s">
        <v>201</v>
      </c>
      <c r="E7307" s="165">
        <v>35</v>
      </c>
    </row>
    <row r="7308" spans="1:5" x14ac:dyDescent="0.25">
      <c r="A7308" s="216" t="s">
        <v>9531</v>
      </c>
      <c r="B7308" s="218" t="s">
        <v>48</v>
      </c>
      <c r="C7308" s="220" t="s">
        <v>11732</v>
      </c>
      <c r="D7308" s="220" t="s">
        <v>56</v>
      </c>
      <c r="E7308" s="165">
        <v>35</v>
      </c>
    </row>
    <row r="7309" spans="1:5" x14ac:dyDescent="0.25">
      <c r="A7309" s="216" t="s">
        <v>9721</v>
      </c>
      <c r="B7309" s="218">
        <v>1</v>
      </c>
      <c r="C7309" s="220" t="s">
        <v>1604</v>
      </c>
      <c r="D7309" s="220" t="s">
        <v>118</v>
      </c>
      <c r="E7309" s="165">
        <v>35</v>
      </c>
    </row>
    <row r="7310" spans="1:5" x14ac:dyDescent="0.25">
      <c r="A7310" s="216" t="s">
        <v>9644</v>
      </c>
      <c r="B7310" s="218">
        <v>1</v>
      </c>
      <c r="C7310" s="220" t="s">
        <v>3119</v>
      </c>
      <c r="D7310" s="220" t="s">
        <v>277</v>
      </c>
      <c r="E7310" s="165">
        <v>34</v>
      </c>
    </row>
    <row r="7311" spans="1:5" x14ac:dyDescent="0.25">
      <c r="A7311" s="216" t="s">
        <v>9813</v>
      </c>
      <c r="B7311" s="218">
        <v>1</v>
      </c>
      <c r="C7311" s="220" t="s">
        <v>9814</v>
      </c>
      <c r="D7311" s="220" t="s">
        <v>98</v>
      </c>
      <c r="E7311" s="165">
        <v>34</v>
      </c>
    </row>
    <row r="7312" spans="1:5" x14ac:dyDescent="0.25">
      <c r="A7312" s="216" t="s">
        <v>6616</v>
      </c>
      <c r="B7312" s="218">
        <v>1</v>
      </c>
      <c r="C7312" s="220" t="s">
        <v>110</v>
      </c>
      <c r="D7312" s="220" t="s">
        <v>69</v>
      </c>
      <c r="E7312" s="165">
        <v>34</v>
      </c>
    </row>
    <row r="7313" spans="1:5" x14ac:dyDescent="0.25">
      <c r="A7313" s="216" t="s">
        <v>11733</v>
      </c>
      <c r="B7313" s="218" t="s">
        <v>48</v>
      </c>
      <c r="C7313" s="220" t="s">
        <v>11432</v>
      </c>
      <c r="D7313" s="220" t="s">
        <v>575</v>
      </c>
      <c r="E7313" s="165">
        <v>34</v>
      </c>
    </row>
    <row r="7314" spans="1:5" x14ac:dyDescent="0.25">
      <c r="A7314" s="216" t="s">
        <v>9723</v>
      </c>
      <c r="B7314" s="218">
        <v>1</v>
      </c>
      <c r="C7314" s="220" t="s">
        <v>1751</v>
      </c>
      <c r="D7314" s="220" t="s">
        <v>108</v>
      </c>
      <c r="E7314" s="165">
        <v>34</v>
      </c>
    </row>
    <row r="7315" spans="1:5" x14ac:dyDescent="0.25">
      <c r="A7315" s="216" t="s">
        <v>10143</v>
      </c>
      <c r="B7315" s="218" t="s">
        <v>48</v>
      </c>
      <c r="C7315" s="220" t="s">
        <v>7305</v>
      </c>
      <c r="D7315" s="220" t="s">
        <v>59</v>
      </c>
      <c r="E7315" s="165">
        <v>34</v>
      </c>
    </row>
    <row r="7316" spans="1:5" x14ac:dyDescent="0.25">
      <c r="A7316" s="216" t="s">
        <v>9804</v>
      </c>
      <c r="B7316" s="218">
        <v>1</v>
      </c>
      <c r="C7316" s="220" t="s">
        <v>1991</v>
      </c>
      <c r="D7316" s="220" t="s">
        <v>78</v>
      </c>
      <c r="E7316" s="165">
        <v>34</v>
      </c>
    </row>
    <row r="7317" spans="1:5" x14ac:dyDescent="0.25">
      <c r="A7317" s="216" t="s">
        <v>10035</v>
      </c>
      <c r="B7317" s="218" t="s">
        <v>48</v>
      </c>
      <c r="C7317" s="220" t="s">
        <v>10036</v>
      </c>
      <c r="D7317" s="220" t="s">
        <v>75</v>
      </c>
      <c r="E7317" s="165">
        <v>34</v>
      </c>
    </row>
    <row r="7318" spans="1:5" x14ac:dyDescent="0.25">
      <c r="A7318" s="216" t="s">
        <v>9816</v>
      </c>
      <c r="B7318" s="218">
        <v>1</v>
      </c>
      <c r="C7318" s="220" t="s">
        <v>9817</v>
      </c>
      <c r="D7318" s="220" t="s">
        <v>98</v>
      </c>
      <c r="E7318" s="165">
        <v>34</v>
      </c>
    </row>
    <row r="7319" spans="1:5" x14ac:dyDescent="0.25">
      <c r="A7319" s="216" t="s">
        <v>10203</v>
      </c>
      <c r="B7319" s="218" t="s">
        <v>48</v>
      </c>
      <c r="C7319" s="220" t="s">
        <v>1253</v>
      </c>
      <c r="D7319" s="220" t="s">
        <v>166</v>
      </c>
      <c r="E7319" s="165">
        <v>34</v>
      </c>
    </row>
    <row r="7320" spans="1:5" x14ac:dyDescent="0.25">
      <c r="A7320" s="216" t="s">
        <v>9685</v>
      </c>
      <c r="B7320" s="218" t="s">
        <v>48</v>
      </c>
      <c r="C7320" s="220" t="s">
        <v>7193</v>
      </c>
      <c r="D7320" s="220" t="s">
        <v>90</v>
      </c>
      <c r="E7320" s="165">
        <v>34</v>
      </c>
    </row>
    <row r="7321" spans="1:5" x14ac:dyDescent="0.25">
      <c r="A7321" s="216" t="s">
        <v>9332</v>
      </c>
      <c r="B7321" s="218" t="s">
        <v>48</v>
      </c>
      <c r="C7321" s="220" t="s">
        <v>501</v>
      </c>
      <c r="D7321" s="220" t="s">
        <v>59</v>
      </c>
      <c r="E7321" s="165">
        <v>34</v>
      </c>
    </row>
    <row r="7322" spans="1:5" x14ac:dyDescent="0.25">
      <c r="A7322" s="216" t="s">
        <v>9856</v>
      </c>
      <c r="B7322" s="218">
        <v>1</v>
      </c>
      <c r="C7322" s="220" t="s">
        <v>9857</v>
      </c>
      <c r="D7322" s="220" t="s">
        <v>130</v>
      </c>
      <c r="E7322" s="165">
        <v>34</v>
      </c>
    </row>
    <row r="7323" spans="1:5" x14ac:dyDescent="0.25">
      <c r="A7323" s="216" t="s">
        <v>9822</v>
      </c>
      <c r="B7323" s="218">
        <v>1</v>
      </c>
      <c r="C7323" s="220" t="s">
        <v>251</v>
      </c>
      <c r="D7323" s="220" t="s">
        <v>98</v>
      </c>
      <c r="E7323" s="165">
        <v>34</v>
      </c>
    </row>
    <row r="7324" spans="1:5" x14ac:dyDescent="0.25">
      <c r="A7324" s="216" t="s">
        <v>9551</v>
      </c>
      <c r="B7324" s="218" t="s">
        <v>48</v>
      </c>
      <c r="C7324" s="220" t="s">
        <v>6669</v>
      </c>
      <c r="D7324" s="220" t="s">
        <v>59</v>
      </c>
      <c r="E7324" s="165">
        <v>33</v>
      </c>
    </row>
    <row r="7325" spans="1:5" x14ac:dyDescent="0.25">
      <c r="A7325" s="216" t="s">
        <v>9882</v>
      </c>
      <c r="B7325" s="218" t="s">
        <v>48</v>
      </c>
      <c r="C7325" s="220" t="s">
        <v>313</v>
      </c>
      <c r="D7325" s="220" t="s">
        <v>90</v>
      </c>
      <c r="E7325" s="165">
        <v>33</v>
      </c>
    </row>
    <row r="7326" spans="1:5" x14ac:dyDescent="0.25">
      <c r="A7326" s="216" t="s">
        <v>9891</v>
      </c>
      <c r="B7326" s="218">
        <v>1</v>
      </c>
      <c r="C7326" s="220" t="s">
        <v>2274</v>
      </c>
      <c r="D7326" s="220" t="s">
        <v>201</v>
      </c>
      <c r="E7326" s="165">
        <v>33</v>
      </c>
    </row>
    <row r="7327" spans="1:5" x14ac:dyDescent="0.25">
      <c r="A7327" s="216" t="s">
        <v>10242</v>
      </c>
      <c r="B7327" s="218" t="s">
        <v>48</v>
      </c>
      <c r="C7327" s="220" t="s">
        <v>10243</v>
      </c>
      <c r="D7327" s="220" t="s">
        <v>75</v>
      </c>
      <c r="E7327" s="165">
        <v>33</v>
      </c>
    </row>
    <row r="7328" spans="1:5" x14ac:dyDescent="0.25">
      <c r="A7328" s="216" t="s">
        <v>11734</v>
      </c>
      <c r="B7328" s="218" t="s">
        <v>48</v>
      </c>
      <c r="C7328" s="220" t="s">
        <v>1103</v>
      </c>
      <c r="D7328" s="220" t="s">
        <v>277</v>
      </c>
      <c r="E7328" s="165">
        <v>33</v>
      </c>
    </row>
    <row r="7329" spans="1:5" x14ac:dyDescent="0.25">
      <c r="A7329" s="216" t="s">
        <v>7854</v>
      </c>
      <c r="B7329" s="218" t="s">
        <v>48</v>
      </c>
      <c r="C7329" s="220" t="s">
        <v>7855</v>
      </c>
      <c r="D7329" s="220" t="s">
        <v>236</v>
      </c>
      <c r="E7329" s="165">
        <v>33</v>
      </c>
    </row>
    <row r="7330" spans="1:5" x14ac:dyDescent="0.25">
      <c r="A7330" s="216" t="s">
        <v>9705</v>
      </c>
      <c r="B7330" s="218">
        <v>1</v>
      </c>
      <c r="C7330" s="220" t="s">
        <v>5421</v>
      </c>
      <c r="D7330" s="220" t="s">
        <v>50</v>
      </c>
      <c r="E7330" s="165">
        <v>33</v>
      </c>
    </row>
    <row r="7331" spans="1:5" x14ac:dyDescent="0.25">
      <c r="A7331" s="216" t="s">
        <v>9930</v>
      </c>
      <c r="B7331" s="218">
        <v>1</v>
      </c>
      <c r="C7331" s="220" t="s">
        <v>6419</v>
      </c>
      <c r="D7331" s="220" t="s">
        <v>56</v>
      </c>
      <c r="E7331" s="165">
        <v>33</v>
      </c>
    </row>
    <row r="7332" spans="1:5" x14ac:dyDescent="0.25">
      <c r="A7332" s="216" t="s">
        <v>9834</v>
      </c>
      <c r="B7332" s="218">
        <v>1</v>
      </c>
      <c r="C7332" s="220" t="s">
        <v>1854</v>
      </c>
      <c r="D7332" s="220" t="s">
        <v>172</v>
      </c>
      <c r="E7332" s="165">
        <v>33</v>
      </c>
    </row>
    <row r="7333" spans="1:5" x14ac:dyDescent="0.25">
      <c r="A7333" s="216" t="s">
        <v>9684</v>
      </c>
      <c r="B7333" s="218" t="s">
        <v>48</v>
      </c>
      <c r="C7333" s="220" t="s">
        <v>1653</v>
      </c>
      <c r="D7333" s="220" t="s">
        <v>90</v>
      </c>
      <c r="E7333" s="165">
        <v>33</v>
      </c>
    </row>
    <row r="7334" spans="1:5" x14ac:dyDescent="0.25">
      <c r="A7334" s="216" t="s">
        <v>9751</v>
      </c>
      <c r="B7334" s="218">
        <v>1</v>
      </c>
      <c r="C7334" s="220" t="s">
        <v>3827</v>
      </c>
      <c r="D7334" s="220" t="s">
        <v>59</v>
      </c>
      <c r="E7334" s="165">
        <v>33</v>
      </c>
    </row>
    <row r="7335" spans="1:5" x14ac:dyDescent="0.25">
      <c r="A7335" s="216" t="s">
        <v>9431</v>
      </c>
      <c r="B7335" s="218" t="s">
        <v>48</v>
      </c>
      <c r="C7335" s="220" t="s">
        <v>3685</v>
      </c>
      <c r="D7335" s="220" t="s">
        <v>90</v>
      </c>
      <c r="E7335" s="165">
        <v>33</v>
      </c>
    </row>
    <row r="7336" spans="1:5" x14ac:dyDescent="0.25">
      <c r="A7336" s="216" t="s">
        <v>9939</v>
      </c>
      <c r="B7336" s="218">
        <v>1</v>
      </c>
      <c r="C7336" s="220" t="s">
        <v>636</v>
      </c>
      <c r="D7336" s="220" t="s">
        <v>272</v>
      </c>
      <c r="E7336" s="165">
        <v>33</v>
      </c>
    </row>
    <row r="7337" spans="1:5" x14ac:dyDescent="0.25">
      <c r="A7337" s="216" t="s">
        <v>4463</v>
      </c>
      <c r="B7337" s="218">
        <v>1</v>
      </c>
      <c r="C7337" s="220" t="s">
        <v>198</v>
      </c>
      <c r="D7337" s="220" t="s">
        <v>56</v>
      </c>
      <c r="E7337" s="165">
        <v>32</v>
      </c>
    </row>
    <row r="7338" spans="1:5" x14ac:dyDescent="0.25">
      <c r="A7338" s="216" t="s">
        <v>11735</v>
      </c>
      <c r="B7338" s="218" t="s">
        <v>48</v>
      </c>
      <c r="C7338" s="220" t="s">
        <v>733</v>
      </c>
      <c r="D7338" s="220" t="s">
        <v>82</v>
      </c>
      <c r="E7338" s="165">
        <v>32</v>
      </c>
    </row>
    <row r="7339" spans="1:5" x14ac:dyDescent="0.25">
      <c r="A7339" s="216" t="s">
        <v>9926</v>
      </c>
      <c r="B7339" s="218" t="s">
        <v>48</v>
      </c>
      <c r="C7339" s="220" t="s">
        <v>9927</v>
      </c>
      <c r="D7339" s="220" t="s">
        <v>59</v>
      </c>
      <c r="E7339" s="165">
        <v>32</v>
      </c>
    </row>
    <row r="7340" spans="1:5" x14ac:dyDescent="0.25">
      <c r="A7340" s="216" t="s">
        <v>8633</v>
      </c>
      <c r="B7340" s="218">
        <v>1</v>
      </c>
      <c r="C7340" s="220" t="s">
        <v>1977</v>
      </c>
      <c r="D7340" s="220" t="s">
        <v>59</v>
      </c>
      <c r="E7340" s="165">
        <v>32</v>
      </c>
    </row>
    <row r="7341" spans="1:5" x14ac:dyDescent="0.25">
      <c r="A7341" s="216" t="s">
        <v>9845</v>
      </c>
      <c r="B7341" s="218">
        <v>1</v>
      </c>
      <c r="C7341" s="220" t="s">
        <v>219</v>
      </c>
      <c r="D7341" s="220" t="s">
        <v>56</v>
      </c>
      <c r="E7341" s="165">
        <v>32</v>
      </c>
    </row>
    <row r="7342" spans="1:5" x14ac:dyDescent="0.25">
      <c r="A7342" s="216" t="s">
        <v>9485</v>
      </c>
      <c r="B7342" s="218" t="s">
        <v>48</v>
      </c>
      <c r="C7342" s="220" t="s">
        <v>483</v>
      </c>
      <c r="D7342" s="220" t="s">
        <v>90</v>
      </c>
      <c r="E7342" s="165">
        <v>32</v>
      </c>
    </row>
    <row r="7343" spans="1:5" x14ac:dyDescent="0.25">
      <c r="A7343" s="216" t="s">
        <v>9862</v>
      </c>
      <c r="B7343" s="218" t="s">
        <v>48</v>
      </c>
      <c r="C7343" s="220" t="s">
        <v>213</v>
      </c>
      <c r="D7343" s="220" t="s">
        <v>75</v>
      </c>
      <c r="E7343" s="165">
        <v>32</v>
      </c>
    </row>
    <row r="7344" spans="1:5" x14ac:dyDescent="0.25">
      <c r="A7344" s="216" t="s">
        <v>9846</v>
      </c>
      <c r="B7344" s="218">
        <v>1</v>
      </c>
      <c r="C7344" s="220" t="s">
        <v>9847</v>
      </c>
      <c r="D7344" s="220" t="s">
        <v>56</v>
      </c>
      <c r="E7344" s="165">
        <v>32</v>
      </c>
    </row>
    <row r="7345" spans="1:5" x14ac:dyDescent="0.25">
      <c r="A7345" s="216" t="s">
        <v>11736</v>
      </c>
      <c r="B7345" s="218" t="s">
        <v>48</v>
      </c>
      <c r="C7345" s="220" t="s">
        <v>1266</v>
      </c>
      <c r="D7345" s="220" t="s">
        <v>166</v>
      </c>
      <c r="E7345" s="165">
        <v>32</v>
      </c>
    </row>
    <row r="7346" spans="1:5" x14ac:dyDescent="0.25">
      <c r="A7346" s="216" t="s">
        <v>9865</v>
      </c>
      <c r="B7346" s="218">
        <v>1</v>
      </c>
      <c r="C7346" s="220" t="s">
        <v>6945</v>
      </c>
      <c r="D7346" s="220" t="s">
        <v>66</v>
      </c>
      <c r="E7346" s="165">
        <v>32</v>
      </c>
    </row>
    <row r="7347" spans="1:5" x14ac:dyDescent="0.25">
      <c r="A7347" s="216" t="s">
        <v>8987</v>
      </c>
      <c r="B7347" s="218" t="s">
        <v>48</v>
      </c>
      <c r="C7347" s="220" t="s">
        <v>2056</v>
      </c>
      <c r="D7347" s="220" t="s">
        <v>585</v>
      </c>
      <c r="E7347" s="165">
        <v>32</v>
      </c>
    </row>
    <row r="7348" spans="1:5" x14ac:dyDescent="0.25">
      <c r="A7348" s="216" t="s">
        <v>9850</v>
      </c>
      <c r="B7348" s="218" t="s">
        <v>48</v>
      </c>
      <c r="C7348" s="220" t="s">
        <v>473</v>
      </c>
      <c r="D7348" s="220" t="s">
        <v>82</v>
      </c>
      <c r="E7348" s="165">
        <v>32</v>
      </c>
    </row>
    <row r="7349" spans="1:5" x14ac:dyDescent="0.25">
      <c r="A7349" s="216" t="s">
        <v>9837</v>
      </c>
      <c r="B7349" s="218">
        <v>1</v>
      </c>
      <c r="C7349" s="220" t="s">
        <v>5543</v>
      </c>
      <c r="D7349" s="220" t="s">
        <v>166</v>
      </c>
      <c r="E7349" s="165">
        <v>32</v>
      </c>
    </row>
    <row r="7350" spans="1:5" x14ac:dyDescent="0.25">
      <c r="A7350" s="216" t="s">
        <v>10874</v>
      </c>
      <c r="B7350" s="218" t="s">
        <v>48</v>
      </c>
      <c r="C7350" s="220" t="s">
        <v>584</v>
      </c>
      <c r="D7350" s="220" t="s">
        <v>585</v>
      </c>
      <c r="E7350" s="165">
        <v>32</v>
      </c>
    </row>
    <row r="7351" spans="1:5" x14ac:dyDescent="0.25">
      <c r="A7351" s="216" t="s">
        <v>9974</v>
      </c>
      <c r="B7351" s="218">
        <v>1</v>
      </c>
      <c r="C7351" s="220" t="s">
        <v>9975</v>
      </c>
      <c r="D7351" s="220" t="s">
        <v>139</v>
      </c>
      <c r="E7351" s="165">
        <v>31</v>
      </c>
    </row>
    <row r="7352" spans="1:5" x14ac:dyDescent="0.25">
      <c r="A7352" s="216" t="s">
        <v>9908</v>
      </c>
      <c r="B7352" s="218">
        <v>1</v>
      </c>
      <c r="C7352" s="220" t="s">
        <v>9909</v>
      </c>
      <c r="D7352" s="220" t="s">
        <v>63</v>
      </c>
      <c r="E7352" s="165">
        <v>31</v>
      </c>
    </row>
    <row r="7353" spans="1:5" x14ac:dyDescent="0.25">
      <c r="A7353" s="216" t="s">
        <v>11737</v>
      </c>
      <c r="B7353" s="218" t="s">
        <v>48</v>
      </c>
      <c r="C7353" s="220" t="s">
        <v>11738</v>
      </c>
      <c r="D7353" s="220" t="s">
        <v>166</v>
      </c>
      <c r="E7353" s="165">
        <v>31</v>
      </c>
    </row>
    <row r="7354" spans="1:5" x14ac:dyDescent="0.25">
      <c r="A7354" s="216" t="s">
        <v>6940</v>
      </c>
      <c r="B7354" s="218">
        <v>1</v>
      </c>
      <c r="C7354" s="220" t="s">
        <v>363</v>
      </c>
      <c r="D7354" s="220" t="s">
        <v>56</v>
      </c>
      <c r="E7354" s="165">
        <v>31</v>
      </c>
    </row>
    <row r="7355" spans="1:5" x14ac:dyDescent="0.25">
      <c r="A7355" s="216" t="s">
        <v>9894</v>
      </c>
      <c r="B7355" s="218">
        <v>1</v>
      </c>
      <c r="C7355" s="220" t="s">
        <v>52</v>
      </c>
      <c r="D7355" s="220" t="s">
        <v>53</v>
      </c>
      <c r="E7355" s="165">
        <v>31</v>
      </c>
    </row>
    <row r="7356" spans="1:5" x14ac:dyDescent="0.25">
      <c r="A7356" s="216" t="s">
        <v>9828</v>
      </c>
      <c r="B7356" s="218">
        <v>1</v>
      </c>
      <c r="C7356" s="220" t="s">
        <v>238</v>
      </c>
      <c r="D7356" s="220" t="s">
        <v>93</v>
      </c>
      <c r="E7356" s="165">
        <v>31</v>
      </c>
    </row>
    <row r="7357" spans="1:5" x14ac:dyDescent="0.25">
      <c r="A7357" s="216" t="s">
        <v>9829</v>
      </c>
      <c r="B7357" s="218">
        <v>1</v>
      </c>
      <c r="C7357" s="220" t="s">
        <v>102</v>
      </c>
      <c r="D7357" s="220" t="s">
        <v>93</v>
      </c>
      <c r="E7357" s="165">
        <v>31</v>
      </c>
    </row>
    <row r="7358" spans="1:5" x14ac:dyDescent="0.25">
      <c r="A7358" s="216" t="s">
        <v>9895</v>
      </c>
      <c r="B7358" s="218">
        <v>1</v>
      </c>
      <c r="C7358" s="220" t="s">
        <v>198</v>
      </c>
      <c r="D7358" s="220" t="s">
        <v>63</v>
      </c>
      <c r="E7358" s="165">
        <v>31</v>
      </c>
    </row>
    <row r="7359" spans="1:5" x14ac:dyDescent="0.25">
      <c r="A7359" s="216" t="s">
        <v>9979</v>
      </c>
      <c r="B7359" s="218" t="s">
        <v>48</v>
      </c>
      <c r="C7359" s="220" t="s">
        <v>1913</v>
      </c>
      <c r="D7359" s="220" t="s">
        <v>90</v>
      </c>
      <c r="E7359" s="165">
        <v>31</v>
      </c>
    </row>
    <row r="7360" spans="1:5" x14ac:dyDescent="0.25">
      <c r="A7360" s="216" t="s">
        <v>9873</v>
      </c>
      <c r="B7360" s="218">
        <v>1</v>
      </c>
      <c r="C7360" s="220" t="s">
        <v>1889</v>
      </c>
      <c r="D7360" s="220" t="s">
        <v>486</v>
      </c>
      <c r="E7360" s="165">
        <v>31</v>
      </c>
    </row>
    <row r="7361" spans="1:5" x14ac:dyDescent="0.25">
      <c r="A7361" s="216" t="s">
        <v>8191</v>
      </c>
      <c r="B7361" s="218">
        <v>1</v>
      </c>
      <c r="C7361" s="220" t="s">
        <v>8192</v>
      </c>
      <c r="D7361" s="220" t="s">
        <v>108</v>
      </c>
      <c r="E7361" s="165">
        <v>31</v>
      </c>
    </row>
    <row r="7362" spans="1:5" x14ac:dyDescent="0.25">
      <c r="A7362" s="216" t="s">
        <v>9994</v>
      </c>
      <c r="B7362" s="218" t="s">
        <v>48</v>
      </c>
      <c r="C7362" s="220" t="s">
        <v>5319</v>
      </c>
      <c r="D7362" s="220" t="s">
        <v>59</v>
      </c>
      <c r="E7362" s="165">
        <v>31</v>
      </c>
    </row>
    <row r="7363" spans="1:5" x14ac:dyDescent="0.25">
      <c r="A7363" s="216" t="s">
        <v>9807</v>
      </c>
      <c r="B7363" s="218">
        <v>1</v>
      </c>
      <c r="C7363" s="220" t="s">
        <v>1450</v>
      </c>
      <c r="D7363" s="220" t="s">
        <v>139</v>
      </c>
      <c r="E7363" s="165">
        <v>31</v>
      </c>
    </row>
    <row r="7364" spans="1:5" x14ac:dyDescent="0.25">
      <c r="A7364" s="216" t="s">
        <v>10041</v>
      </c>
      <c r="B7364" s="218">
        <v>1</v>
      </c>
      <c r="C7364" s="220" t="s">
        <v>9358</v>
      </c>
      <c r="D7364" s="220" t="s">
        <v>118</v>
      </c>
      <c r="E7364" s="165">
        <v>31</v>
      </c>
    </row>
    <row r="7365" spans="1:5" x14ac:dyDescent="0.25">
      <c r="A7365" s="216" t="s">
        <v>9854</v>
      </c>
      <c r="B7365" s="218" t="s">
        <v>48</v>
      </c>
      <c r="C7365" s="220" t="s">
        <v>9855</v>
      </c>
      <c r="D7365" s="220" t="s">
        <v>75</v>
      </c>
      <c r="E7365" s="165">
        <v>31</v>
      </c>
    </row>
    <row r="7366" spans="1:5" x14ac:dyDescent="0.25">
      <c r="A7366" s="216" t="s">
        <v>11739</v>
      </c>
      <c r="B7366" s="218" t="s">
        <v>48</v>
      </c>
      <c r="C7366" s="220" t="s">
        <v>266</v>
      </c>
      <c r="D7366" s="220" t="s">
        <v>206</v>
      </c>
      <c r="E7366" s="165">
        <v>31</v>
      </c>
    </row>
    <row r="7367" spans="1:5" x14ac:dyDescent="0.25">
      <c r="A7367" s="216" t="s">
        <v>9946</v>
      </c>
      <c r="B7367" s="218" t="s">
        <v>48</v>
      </c>
      <c r="C7367" s="220" t="s">
        <v>9947</v>
      </c>
      <c r="D7367" s="220" t="s">
        <v>90</v>
      </c>
      <c r="E7367" s="165">
        <v>31</v>
      </c>
    </row>
    <row r="7368" spans="1:5" x14ac:dyDescent="0.25">
      <c r="A7368" s="216" t="s">
        <v>9906</v>
      </c>
      <c r="B7368" s="218">
        <v>1</v>
      </c>
      <c r="C7368" s="220" t="s">
        <v>9279</v>
      </c>
      <c r="D7368" s="220" t="s">
        <v>188</v>
      </c>
      <c r="E7368" s="165">
        <v>31</v>
      </c>
    </row>
    <row r="7369" spans="1:5" x14ac:dyDescent="0.25">
      <c r="A7369" s="216" t="s">
        <v>9643</v>
      </c>
      <c r="B7369" s="218" t="s">
        <v>48</v>
      </c>
      <c r="C7369" s="220" t="s">
        <v>6162</v>
      </c>
      <c r="D7369" s="220" t="s">
        <v>82</v>
      </c>
      <c r="E7369" s="165">
        <v>30</v>
      </c>
    </row>
    <row r="7370" spans="1:5" x14ac:dyDescent="0.25">
      <c r="A7370" s="216" t="s">
        <v>9884</v>
      </c>
      <c r="B7370" s="218">
        <v>1</v>
      </c>
      <c r="C7370" s="220" t="s">
        <v>3544</v>
      </c>
      <c r="D7370" s="220" t="s">
        <v>56</v>
      </c>
      <c r="E7370" s="165">
        <v>30</v>
      </c>
    </row>
    <row r="7371" spans="1:5" x14ac:dyDescent="0.25">
      <c r="A7371" s="216" t="s">
        <v>9896</v>
      </c>
      <c r="B7371" s="218">
        <v>1</v>
      </c>
      <c r="C7371" s="220" t="s">
        <v>1431</v>
      </c>
      <c r="D7371" s="220" t="s">
        <v>63</v>
      </c>
      <c r="E7371" s="165">
        <v>30</v>
      </c>
    </row>
    <row r="7372" spans="1:5" x14ac:dyDescent="0.25">
      <c r="A7372" s="216" t="s">
        <v>9897</v>
      </c>
      <c r="B7372" s="218">
        <v>1</v>
      </c>
      <c r="C7372" s="220" t="s">
        <v>1481</v>
      </c>
      <c r="D7372" s="220" t="s">
        <v>63</v>
      </c>
      <c r="E7372" s="165">
        <v>30</v>
      </c>
    </row>
    <row r="7373" spans="1:5" x14ac:dyDescent="0.25">
      <c r="A7373" s="216" t="s">
        <v>9874</v>
      </c>
      <c r="B7373" s="218">
        <v>1</v>
      </c>
      <c r="C7373" s="220" t="s">
        <v>1513</v>
      </c>
      <c r="D7373" s="220" t="s">
        <v>188</v>
      </c>
      <c r="E7373" s="165">
        <v>30</v>
      </c>
    </row>
    <row r="7374" spans="1:5" x14ac:dyDescent="0.25">
      <c r="A7374" s="216" t="s">
        <v>9790</v>
      </c>
      <c r="B7374" s="218">
        <v>1</v>
      </c>
      <c r="C7374" s="220" t="s">
        <v>9791</v>
      </c>
      <c r="D7374" s="220" t="s">
        <v>50</v>
      </c>
      <c r="E7374" s="165">
        <v>30</v>
      </c>
    </row>
    <row r="7375" spans="1:5" x14ac:dyDescent="0.25">
      <c r="A7375" s="216" t="s">
        <v>9767</v>
      </c>
      <c r="B7375" s="218">
        <v>1</v>
      </c>
      <c r="C7375" s="220" t="s">
        <v>9768</v>
      </c>
      <c r="D7375" s="220" t="s">
        <v>50</v>
      </c>
      <c r="E7375" s="165">
        <v>30</v>
      </c>
    </row>
    <row r="7376" spans="1:5" x14ac:dyDescent="0.25">
      <c r="A7376" s="216" t="s">
        <v>9886</v>
      </c>
      <c r="B7376" s="218">
        <v>1</v>
      </c>
      <c r="C7376" s="220" t="s">
        <v>110</v>
      </c>
      <c r="D7376" s="220" t="s">
        <v>69</v>
      </c>
      <c r="E7376" s="165">
        <v>30</v>
      </c>
    </row>
    <row r="7377" spans="1:5" x14ac:dyDescent="0.25">
      <c r="A7377" s="216" t="s">
        <v>10328</v>
      </c>
      <c r="B7377" s="218" t="s">
        <v>48</v>
      </c>
      <c r="C7377" s="220" t="s">
        <v>9465</v>
      </c>
      <c r="D7377" s="220" t="s">
        <v>82</v>
      </c>
      <c r="E7377" s="165">
        <v>30</v>
      </c>
    </row>
    <row r="7378" spans="1:5" x14ac:dyDescent="0.25">
      <c r="A7378" s="216" t="s">
        <v>10042</v>
      </c>
      <c r="B7378" s="218" t="s">
        <v>48</v>
      </c>
      <c r="C7378" s="220" t="s">
        <v>10043</v>
      </c>
      <c r="D7378" s="220" t="s">
        <v>59</v>
      </c>
      <c r="E7378" s="165">
        <v>30</v>
      </c>
    </row>
    <row r="7379" spans="1:5" x14ac:dyDescent="0.25">
      <c r="A7379" s="216" t="s">
        <v>9858</v>
      </c>
      <c r="B7379" s="218" t="s">
        <v>48</v>
      </c>
      <c r="C7379" s="220" t="s">
        <v>9859</v>
      </c>
      <c r="D7379" s="220" t="s">
        <v>272</v>
      </c>
      <c r="E7379" s="165">
        <v>30</v>
      </c>
    </row>
    <row r="7380" spans="1:5" x14ac:dyDescent="0.25">
      <c r="A7380" s="216" t="s">
        <v>9592</v>
      </c>
      <c r="B7380" s="218">
        <v>1</v>
      </c>
      <c r="C7380" s="220" t="s">
        <v>428</v>
      </c>
      <c r="D7380" s="220" t="s">
        <v>394</v>
      </c>
      <c r="E7380" s="165">
        <v>30</v>
      </c>
    </row>
    <row r="7381" spans="1:5" x14ac:dyDescent="0.25">
      <c r="A7381" s="216" t="s">
        <v>9175</v>
      </c>
      <c r="B7381" s="218" t="s">
        <v>48</v>
      </c>
      <c r="C7381" s="220" t="s">
        <v>9176</v>
      </c>
      <c r="D7381" s="220" t="s">
        <v>59</v>
      </c>
      <c r="E7381" s="165">
        <v>30</v>
      </c>
    </row>
    <row r="7382" spans="1:5" x14ac:dyDescent="0.25">
      <c r="A7382" s="216" t="s">
        <v>8869</v>
      </c>
      <c r="B7382" s="218" t="s">
        <v>48</v>
      </c>
      <c r="C7382" s="220" t="s">
        <v>681</v>
      </c>
      <c r="D7382" s="220" t="s">
        <v>90</v>
      </c>
      <c r="E7382" s="165">
        <v>29</v>
      </c>
    </row>
    <row r="7383" spans="1:5" x14ac:dyDescent="0.25">
      <c r="A7383" s="216" t="s">
        <v>8150</v>
      </c>
      <c r="B7383" s="218">
        <v>1</v>
      </c>
      <c r="C7383" s="220" t="s">
        <v>665</v>
      </c>
      <c r="D7383" s="220" t="s">
        <v>188</v>
      </c>
      <c r="E7383" s="165">
        <v>29</v>
      </c>
    </row>
    <row r="7384" spans="1:5" x14ac:dyDescent="0.25">
      <c r="A7384" s="216" t="s">
        <v>6081</v>
      </c>
      <c r="B7384" s="218" t="s">
        <v>48</v>
      </c>
      <c r="C7384" s="220" t="s">
        <v>605</v>
      </c>
      <c r="D7384" s="220" t="s">
        <v>585</v>
      </c>
      <c r="E7384" s="165">
        <v>29</v>
      </c>
    </row>
    <row r="7385" spans="1:5" x14ac:dyDescent="0.25">
      <c r="A7385" s="216" t="s">
        <v>9898</v>
      </c>
      <c r="B7385" s="218">
        <v>1</v>
      </c>
      <c r="C7385" s="220" t="s">
        <v>2432</v>
      </c>
      <c r="D7385" s="220" t="s">
        <v>66</v>
      </c>
      <c r="E7385" s="165">
        <v>29</v>
      </c>
    </row>
    <row r="7386" spans="1:5" x14ac:dyDescent="0.25">
      <c r="A7386" s="216" t="s">
        <v>9394</v>
      </c>
      <c r="B7386" s="218" t="s">
        <v>48</v>
      </c>
      <c r="C7386" s="220" t="s">
        <v>9395</v>
      </c>
      <c r="D7386" s="220" t="s">
        <v>90</v>
      </c>
      <c r="E7386" s="165">
        <v>29</v>
      </c>
    </row>
    <row r="7387" spans="1:5" x14ac:dyDescent="0.25">
      <c r="A7387" s="216" t="s">
        <v>9917</v>
      </c>
      <c r="B7387" s="218">
        <v>1</v>
      </c>
      <c r="C7387" s="220" t="s">
        <v>9918</v>
      </c>
      <c r="D7387" s="220" t="s">
        <v>63</v>
      </c>
      <c r="E7387" s="165">
        <v>29</v>
      </c>
    </row>
    <row r="7388" spans="1:5" x14ac:dyDescent="0.25">
      <c r="A7388" s="216" t="s">
        <v>9003</v>
      </c>
      <c r="B7388" s="218">
        <v>1</v>
      </c>
      <c r="C7388" s="220" t="s">
        <v>2912</v>
      </c>
      <c r="D7388" s="220" t="s">
        <v>69</v>
      </c>
      <c r="E7388" s="165">
        <v>29</v>
      </c>
    </row>
    <row r="7389" spans="1:5" x14ac:dyDescent="0.25">
      <c r="A7389" s="216" t="s">
        <v>11740</v>
      </c>
      <c r="B7389" s="218">
        <v>1</v>
      </c>
      <c r="C7389" s="220" t="s">
        <v>11741</v>
      </c>
      <c r="D7389" s="220" t="s">
        <v>63</v>
      </c>
      <c r="E7389" s="165">
        <v>29</v>
      </c>
    </row>
    <row r="7390" spans="1:5" x14ac:dyDescent="0.25">
      <c r="A7390" s="216" t="s">
        <v>9851</v>
      </c>
      <c r="B7390" s="218">
        <v>1</v>
      </c>
      <c r="C7390" s="220" t="s">
        <v>4914</v>
      </c>
      <c r="D7390" s="220" t="s">
        <v>87</v>
      </c>
      <c r="E7390" s="165">
        <v>29</v>
      </c>
    </row>
    <row r="7391" spans="1:5" x14ac:dyDescent="0.25">
      <c r="A7391" s="216" t="s">
        <v>9604</v>
      </c>
      <c r="B7391" s="218" t="s">
        <v>48</v>
      </c>
      <c r="C7391" s="220" t="s">
        <v>3771</v>
      </c>
      <c r="D7391" s="220" t="s">
        <v>59</v>
      </c>
      <c r="E7391" s="165">
        <v>29</v>
      </c>
    </row>
    <row r="7392" spans="1:5" x14ac:dyDescent="0.25">
      <c r="A7392" s="216" t="s">
        <v>9778</v>
      </c>
      <c r="B7392" s="218" t="s">
        <v>48</v>
      </c>
      <c r="C7392" s="220" t="s">
        <v>86</v>
      </c>
      <c r="D7392" s="220" t="s">
        <v>78</v>
      </c>
      <c r="E7392" s="165">
        <v>29</v>
      </c>
    </row>
    <row r="7393" spans="1:5" x14ac:dyDescent="0.25">
      <c r="A7393" s="216" t="s">
        <v>9903</v>
      </c>
      <c r="B7393" s="218">
        <v>1</v>
      </c>
      <c r="C7393" s="220" t="s">
        <v>245</v>
      </c>
      <c r="D7393" s="220" t="s">
        <v>69</v>
      </c>
      <c r="E7393" s="165">
        <v>29</v>
      </c>
    </row>
    <row r="7394" spans="1:5" x14ac:dyDescent="0.25">
      <c r="A7394" s="216" t="s">
        <v>6744</v>
      </c>
      <c r="B7394" s="218">
        <v>1</v>
      </c>
      <c r="C7394" s="220" t="s">
        <v>536</v>
      </c>
      <c r="D7394" s="220" t="s">
        <v>56</v>
      </c>
      <c r="E7394" s="165">
        <v>29</v>
      </c>
    </row>
    <row r="7395" spans="1:5" x14ac:dyDescent="0.25">
      <c r="A7395" s="216" t="s">
        <v>9812</v>
      </c>
      <c r="B7395" s="218">
        <v>1</v>
      </c>
      <c r="C7395" s="220" t="s">
        <v>4606</v>
      </c>
      <c r="D7395" s="220" t="s">
        <v>277</v>
      </c>
      <c r="E7395" s="165">
        <v>29</v>
      </c>
    </row>
    <row r="7396" spans="1:5" x14ac:dyDescent="0.25">
      <c r="A7396" s="216" t="s">
        <v>9952</v>
      </c>
      <c r="B7396" s="218" t="s">
        <v>48</v>
      </c>
      <c r="C7396" s="220" t="s">
        <v>2017</v>
      </c>
      <c r="D7396" s="220" t="s">
        <v>166</v>
      </c>
      <c r="E7396" s="165">
        <v>28</v>
      </c>
    </row>
    <row r="7397" spans="1:5" x14ac:dyDescent="0.25">
      <c r="A7397" s="216" t="s">
        <v>11742</v>
      </c>
      <c r="B7397" s="218">
        <v>1</v>
      </c>
      <c r="C7397" s="220" t="s">
        <v>11743</v>
      </c>
      <c r="D7397" s="220" t="s">
        <v>277</v>
      </c>
      <c r="E7397" s="165">
        <v>28</v>
      </c>
    </row>
    <row r="7398" spans="1:5" x14ac:dyDescent="0.25">
      <c r="A7398" s="216" t="s">
        <v>11744</v>
      </c>
      <c r="B7398" s="218">
        <v>1</v>
      </c>
      <c r="C7398" s="220" t="s">
        <v>1807</v>
      </c>
      <c r="D7398" s="220" t="s">
        <v>222</v>
      </c>
      <c r="E7398" s="165">
        <v>28</v>
      </c>
    </row>
    <row r="7399" spans="1:5" x14ac:dyDescent="0.25">
      <c r="A7399" s="216" t="s">
        <v>9928</v>
      </c>
      <c r="B7399" s="218" t="s">
        <v>48</v>
      </c>
      <c r="C7399" s="220" t="s">
        <v>9929</v>
      </c>
      <c r="D7399" s="220" t="s">
        <v>201</v>
      </c>
      <c r="E7399" s="165">
        <v>28</v>
      </c>
    </row>
    <row r="7400" spans="1:5" x14ac:dyDescent="0.25">
      <c r="A7400" s="216" t="s">
        <v>9912</v>
      </c>
      <c r="B7400" s="218">
        <v>1</v>
      </c>
      <c r="C7400" s="220" t="s">
        <v>84</v>
      </c>
      <c r="D7400" s="220" t="s">
        <v>56</v>
      </c>
      <c r="E7400" s="165">
        <v>28</v>
      </c>
    </row>
    <row r="7401" spans="1:5" x14ac:dyDescent="0.25">
      <c r="A7401" s="216" t="s">
        <v>11745</v>
      </c>
      <c r="B7401" s="218">
        <v>1</v>
      </c>
      <c r="C7401" s="220" t="s">
        <v>6106</v>
      </c>
      <c r="D7401" s="220" t="s">
        <v>63</v>
      </c>
      <c r="E7401" s="165">
        <v>28</v>
      </c>
    </row>
    <row r="7402" spans="1:5" x14ac:dyDescent="0.25">
      <c r="A7402" s="216" t="s">
        <v>10133</v>
      </c>
      <c r="B7402" s="218" t="s">
        <v>48</v>
      </c>
      <c r="C7402" s="220" t="s">
        <v>10134</v>
      </c>
      <c r="D7402" s="220" t="s">
        <v>53</v>
      </c>
      <c r="E7402" s="165">
        <v>28</v>
      </c>
    </row>
    <row r="7403" spans="1:5" x14ac:dyDescent="0.25">
      <c r="A7403" s="216" t="s">
        <v>9885</v>
      </c>
      <c r="B7403" s="218" t="s">
        <v>48</v>
      </c>
      <c r="C7403" s="220" t="s">
        <v>7221</v>
      </c>
      <c r="D7403" s="220" t="s">
        <v>127</v>
      </c>
      <c r="E7403" s="165">
        <v>28</v>
      </c>
    </row>
    <row r="7404" spans="1:5" x14ac:dyDescent="0.25">
      <c r="A7404" s="216" t="s">
        <v>5677</v>
      </c>
      <c r="B7404" s="218" t="s">
        <v>48</v>
      </c>
      <c r="C7404" s="220" t="s">
        <v>4227</v>
      </c>
      <c r="D7404" s="220" t="s">
        <v>166</v>
      </c>
      <c r="E7404" s="165">
        <v>28</v>
      </c>
    </row>
    <row r="7405" spans="1:5" x14ac:dyDescent="0.25">
      <c r="A7405" s="216" t="s">
        <v>9931</v>
      </c>
      <c r="B7405" s="218">
        <v>1</v>
      </c>
      <c r="C7405" s="220" t="s">
        <v>9932</v>
      </c>
      <c r="D7405" s="220" t="s">
        <v>63</v>
      </c>
      <c r="E7405" s="165">
        <v>28</v>
      </c>
    </row>
    <row r="7406" spans="1:5" x14ac:dyDescent="0.25">
      <c r="A7406" s="216" t="s">
        <v>10135</v>
      </c>
      <c r="B7406" s="218" t="s">
        <v>48</v>
      </c>
      <c r="C7406" s="220" t="s">
        <v>257</v>
      </c>
      <c r="D7406" s="220" t="s">
        <v>108</v>
      </c>
      <c r="E7406" s="165">
        <v>28</v>
      </c>
    </row>
    <row r="7407" spans="1:5" x14ac:dyDescent="0.25">
      <c r="A7407" s="216" t="s">
        <v>11746</v>
      </c>
      <c r="B7407" s="218">
        <v>1</v>
      </c>
      <c r="C7407" s="220" t="s">
        <v>2240</v>
      </c>
      <c r="D7407" s="220" t="s">
        <v>53</v>
      </c>
      <c r="E7407" s="165">
        <v>28</v>
      </c>
    </row>
    <row r="7408" spans="1:5" x14ac:dyDescent="0.25">
      <c r="A7408" s="216" t="s">
        <v>9923</v>
      </c>
      <c r="B7408" s="218">
        <v>1</v>
      </c>
      <c r="C7408" s="220" t="s">
        <v>1317</v>
      </c>
      <c r="D7408" s="220" t="s">
        <v>56</v>
      </c>
      <c r="E7408" s="165">
        <v>28</v>
      </c>
    </row>
    <row r="7409" spans="1:5" x14ac:dyDescent="0.25">
      <c r="A7409" s="216" t="s">
        <v>9904</v>
      </c>
      <c r="B7409" s="218">
        <v>1</v>
      </c>
      <c r="C7409" s="220" t="s">
        <v>1953</v>
      </c>
      <c r="D7409" s="220" t="s">
        <v>50</v>
      </c>
      <c r="E7409" s="165">
        <v>28</v>
      </c>
    </row>
    <row r="7410" spans="1:5" x14ac:dyDescent="0.25">
      <c r="A7410" s="216" t="s">
        <v>10099</v>
      </c>
      <c r="B7410" s="218" t="s">
        <v>48</v>
      </c>
      <c r="C7410" s="220" t="s">
        <v>263</v>
      </c>
      <c r="D7410" s="220" t="s">
        <v>264</v>
      </c>
      <c r="E7410" s="165">
        <v>28</v>
      </c>
    </row>
    <row r="7411" spans="1:5" x14ac:dyDescent="0.25">
      <c r="A7411" s="216" t="s">
        <v>5682</v>
      </c>
      <c r="B7411" s="218">
        <v>1</v>
      </c>
      <c r="C7411" s="220" t="s">
        <v>5683</v>
      </c>
      <c r="D7411" s="220" t="s">
        <v>93</v>
      </c>
      <c r="E7411" s="165">
        <v>27</v>
      </c>
    </row>
    <row r="7412" spans="1:5" x14ac:dyDescent="0.25">
      <c r="A7412" s="216" t="s">
        <v>9890</v>
      </c>
      <c r="B7412" s="218" t="s">
        <v>48</v>
      </c>
      <c r="C7412" s="220" t="s">
        <v>3403</v>
      </c>
      <c r="D7412" s="220" t="s">
        <v>166</v>
      </c>
      <c r="E7412" s="165">
        <v>27</v>
      </c>
    </row>
    <row r="7413" spans="1:5" x14ac:dyDescent="0.25">
      <c r="A7413" s="216" t="s">
        <v>11747</v>
      </c>
      <c r="B7413" s="218" t="s">
        <v>48</v>
      </c>
      <c r="C7413" s="220" t="s">
        <v>7114</v>
      </c>
      <c r="D7413" s="220" t="s">
        <v>63</v>
      </c>
      <c r="E7413" s="165">
        <v>27</v>
      </c>
    </row>
    <row r="7414" spans="1:5" x14ac:dyDescent="0.25">
      <c r="A7414" s="216" t="s">
        <v>9989</v>
      </c>
      <c r="B7414" s="218">
        <v>1</v>
      </c>
      <c r="C7414" s="220" t="s">
        <v>2888</v>
      </c>
      <c r="D7414" s="220" t="s">
        <v>90</v>
      </c>
      <c r="E7414" s="165">
        <v>27</v>
      </c>
    </row>
    <row r="7415" spans="1:5" x14ac:dyDescent="0.25">
      <c r="A7415" s="216" t="s">
        <v>9249</v>
      </c>
      <c r="B7415" s="218" t="s">
        <v>48</v>
      </c>
      <c r="C7415" s="220" t="s">
        <v>1283</v>
      </c>
      <c r="D7415" s="220" t="s">
        <v>82</v>
      </c>
      <c r="E7415" s="165">
        <v>27</v>
      </c>
    </row>
    <row r="7416" spans="1:5" x14ac:dyDescent="0.25">
      <c r="A7416" s="216" t="s">
        <v>10205</v>
      </c>
      <c r="B7416" s="218" t="s">
        <v>48</v>
      </c>
      <c r="C7416" s="220" t="s">
        <v>10206</v>
      </c>
      <c r="D7416" s="220" t="s">
        <v>75</v>
      </c>
      <c r="E7416" s="165">
        <v>27</v>
      </c>
    </row>
    <row r="7417" spans="1:5" x14ac:dyDescent="0.25">
      <c r="A7417" s="216" t="s">
        <v>9808</v>
      </c>
      <c r="B7417" s="218" t="s">
        <v>48</v>
      </c>
      <c r="C7417" s="220" t="s">
        <v>9809</v>
      </c>
      <c r="D7417" s="220" t="s">
        <v>53</v>
      </c>
      <c r="E7417" s="165">
        <v>27</v>
      </c>
    </row>
    <row r="7418" spans="1:5" x14ac:dyDescent="0.25">
      <c r="A7418" s="216" t="s">
        <v>9966</v>
      </c>
      <c r="B7418" s="218" t="s">
        <v>48</v>
      </c>
      <c r="C7418" s="220" t="s">
        <v>8298</v>
      </c>
      <c r="D7418" s="220" t="s">
        <v>59</v>
      </c>
      <c r="E7418" s="165">
        <v>27</v>
      </c>
    </row>
    <row r="7419" spans="1:5" x14ac:dyDescent="0.25">
      <c r="A7419" s="216" t="s">
        <v>9699</v>
      </c>
      <c r="B7419" s="218" t="s">
        <v>48</v>
      </c>
      <c r="C7419" s="220" t="s">
        <v>3109</v>
      </c>
      <c r="D7419" s="220" t="s">
        <v>75</v>
      </c>
      <c r="E7419" s="165">
        <v>27</v>
      </c>
    </row>
    <row r="7420" spans="1:5" x14ac:dyDescent="0.25">
      <c r="A7420" s="216" t="s">
        <v>9948</v>
      </c>
      <c r="B7420" s="218">
        <v>1</v>
      </c>
      <c r="C7420" s="220" t="s">
        <v>86</v>
      </c>
      <c r="D7420" s="220" t="s">
        <v>78</v>
      </c>
      <c r="E7420" s="165">
        <v>26</v>
      </c>
    </row>
    <row r="7421" spans="1:5" x14ac:dyDescent="0.25">
      <c r="A7421" s="216" t="s">
        <v>9031</v>
      </c>
      <c r="B7421" s="218" t="s">
        <v>48</v>
      </c>
      <c r="C7421" s="220" t="s">
        <v>9032</v>
      </c>
      <c r="D7421" s="220" t="s">
        <v>166</v>
      </c>
      <c r="E7421" s="165">
        <v>26</v>
      </c>
    </row>
    <row r="7422" spans="1:5" x14ac:dyDescent="0.25">
      <c r="A7422" s="216" t="s">
        <v>9949</v>
      </c>
      <c r="B7422" s="218">
        <v>1</v>
      </c>
      <c r="C7422" s="220" t="s">
        <v>9950</v>
      </c>
      <c r="D7422" s="220" t="s">
        <v>78</v>
      </c>
      <c r="E7422" s="165">
        <v>26</v>
      </c>
    </row>
    <row r="7423" spans="1:5" x14ac:dyDescent="0.25">
      <c r="A7423" s="216" t="s">
        <v>11748</v>
      </c>
      <c r="B7423" s="218" t="s">
        <v>48</v>
      </c>
      <c r="C7423" s="220" t="s">
        <v>2017</v>
      </c>
      <c r="D7423" s="220" t="s">
        <v>166</v>
      </c>
      <c r="E7423" s="165">
        <v>26</v>
      </c>
    </row>
    <row r="7424" spans="1:5" x14ac:dyDescent="0.25">
      <c r="A7424" s="216" t="s">
        <v>7619</v>
      </c>
      <c r="B7424" s="218" t="s">
        <v>48</v>
      </c>
      <c r="C7424" s="220" t="s">
        <v>466</v>
      </c>
      <c r="D7424" s="220" t="s">
        <v>206</v>
      </c>
      <c r="E7424" s="165">
        <v>26</v>
      </c>
    </row>
    <row r="7425" spans="1:5" x14ac:dyDescent="0.25">
      <c r="A7425" s="216" t="s">
        <v>8092</v>
      </c>
      <c r="B7425" s="218">
        <v>1</v>
      </c>
      <c r="C7425" s="220" t="s">
        <v>4977</v>
      </c>
      <c r="D7425" s="220" t="s">
        <v>264</v>
      </c>
      <c r="E7425" s="165">
        <v>26</v>
      </c>
    </row>
    <row r="7426" spans="1:5" x14ac:dyDescent="0.25">
      <c r="A7426" s="216" t="s">
        <v>9842</v>
      </c>
      <c r="B7426" s="218">
        <v>1</v>
      </c>
      <c r="C7426" s="220" t="s">
        <v>1113</v>
      </c>
      <c r="D7426" s="220" t="s">
        <v>50</v>
      </c>
      <c r="E7426" s="165">
        <v>26</v>
      </c>
    </row>
    <row r="7427" spans="1:5" x14ac:dyDescent="0.25">
      <c r="A7427" s="216" t="s">
        <v>9910</v>
      </c>
      <c r="B7427" s="218">
        <v>1</v>
      </c>
      <c r="C7427" s="220" t="s">
        <v>9911</v>
      </c>
      <c r="D7427" s="220" t="s">
        <v>201</v>
      </c>
      <c r="E7427" s="165">
        <v>26</v>
      </c>
    </row>
    <row r="7428" spans="1:5" x14ac:dyDescent="0.25">
      <c r="A7428" s="216" t="s">
        <v>9940</v>
      </c>
      <c r="B7428" s="218">
        <v>1</v>
      </c>
      <c r="C7428" s="220" t="s">
        <v>922</v>
      </c>
      <c r="D7428" s="220" t="s">
        <v>188</v>
      </c>
      <c r="E7428" s="165">
        <v>26</v>
      </c>
    </row>
    <row r="7429" spans="1:5" x14ac:dyDescent="0.25">
      <c r="A7429" s="216" t="s">
        <v>9844</v>
      </c>
      <c r="B7429" s="218">
        <v>1</v>
      </c>
      <c r="C7429" s="220" t="s">
        <v>8280</v>
      </c>
      <c r="D7429" s="220" t="s">
        <v>50</v>
      </c>
      <c r="E7429" s="165">
        <v>26</v>
      </c>
    </row>
    <row r="7430" spans="1:5" x14ac:dyDescent="0.25">
      <c r="A7430" s="216" t="s">
        <v>8840</v>
      </c>
      <c r="B7430" s="218">
        <v>1</v>
      </c>
      <c r="C7430" s="220" t="s">
        <v>138</v>
      </c>
      <c r="D7430" s="220" t="s">
        <v>139</v>
      </c>
      <c r="E7430" s="165">
        <v>26</v>
      </c>
    </row>
    <row r="7431" spans="1:5" x14ac:dyDescent="0.25">
      <c r="A7431" s="216" t="s">
        <v>9714</v>
      </c>
      <c r="B7431" s="218" t="s">
        <v>48</v>
      </c>
      <c r="C7431" s="220" t="s">
        <v>9715</v>
      </c>
      <c r="D7431" s="220" t="s">
        <v>166</v>
      </c>
      <c r="E7431" s="165">
        <v>26</v>
      </c>
    </row>
    <row r="7432" spans="1:5" x14ac:dyDescent="0.25">
      <c r="A7432" s="216" t="s">
        <v>9944</v>
      </c>
      <c r="B7432" s="218" t="s">
        <v>48</v>
      </c>
      <c r="C7432" s="220" t="s">
        <v>9945</v>
      </c>
      <c r="D7432" s="220" t="s">
        <v>82</v>
      </c>
      <c r="E7432" s="165">
        <v>26</v>
      </c>
    </row>
    <row r="7433" spans="1:5" x14ac:dyDescent="0.25">
      <c r="A7433" s="216" t="s">
        <v>11749</v>
      </c>
      <c r="B7433" s="218">
        <v>1</v>
      </c>
      <c r="C7433" s="220" t="s">
        <v>259</v>
      </c>
      <c r="D7433" s="220" t="s">
        <v>50</v>
      </c>
      <c r="E7433" s="165">
        <v>26</v>
      </c>
    </row>
    <row r="7434" spans="1:5" x14ac:dyDescent="0.25">
      <c r="A7434" s="216" t="s">
        <v>9968</v>
      </c>
      <c r="B7434" s="218">
        <v>1</v>
      </c>
      <c r="C7434" s="220" t="s">
        <v>2994</v>
      </c>
      <c r="D7434" s="220" t="s">
        <v>98</v>
      </c>
      <c r="E7434" s="165">
        <v>26</v>
      </c>
    </row>
    <row r="7435" spans="1:5" x14ac:dyDescent="0.25">
      <c r="A7435" s="216" t="s">
        <v>10005</v>
      </c>
      <c r="B7435" s="218">
        <v>1</v>
      </c>
      <c r="C7435" s="220" t="s">
        <v>10006</v>
      </c>
      <c r="D7435" s="220" t="s">
        <v>56</v>
      </c>
      <c r="E7435" s="165">
        <v>26</v>
      </c>
    </row>
    <row r="7436" spans="1:5" x14ac:dyDescent="0.25">
      <c r="A7436" s="216" t="s">
        <v>5549</v>
      </c>
      <c r="B7436" s="218">
        <v>1</v>
      </c>
      <c r="C7436" s="220" t="s">
        <v>6399</v>
      </c>
      <c r="D7436" s="220" t="s">
        <v>56</v>
      </c>
      <c r="E7436" s="165">
        <v>26</v>
      </c>
    </row>
    <row r="7437" spans="1:5" x14ac:dyDescent="0.25">
      <c r="A7437" s="216" t="s">
        <v>9972</v>
      </c>
      <c r="B7437" s="218">
        <v>1</v>
      </c>
      <c r="C7437" s="220" t="s">
        <v>9973</v>
      </c>
      <c r="D7437" s="220" t="s">
        <v>222</v>
      </c>
      <c r="E7437" s="165">
        <v>26</v>
      </c>
    </row>
    <row r="7438" spans="1:5" x14ac:dyDescent="0.25">
      <c r="A7438" s="216" t="s">
        <v>8425</v>
      </c>
      <c r="B7438" s="218" t="s">
        <v>48</v>
      </c>
      <c r="C7438" s="220" t="s">
        <v>3485</v>
      </c>
      <c r="D7438" s="220" t="s">
        <v>90</v>
      </c>
      <c r="E7438" s="165">
        <v>25</v>
      </c>
    </row>
    <row r="7439" spans="1:5" x14ac:dyDescent="0.25">
      <c r="A7439" s="216" t="s">
        <v>9987</v>
      </c>
      <c r="B7439" s="218">
        <v>1</v>
      </c>
      <c r="C7439" s="220" t="s">
        <v>9988</v>
      </c>
      <c r="D7439" s="220" t="s">
        <v>59</v>
      </c>
      <c r="E7439" s="165">
        <v>25</v>
      </c>
    </row>
    <row r="7440" spans="1:5" x14ac:dyDescent="0.25">
      <c r="A7440" s="216" t="s">
        <v>11750</v>
      </c>
      <c r="B7440" s="218" t="s">
        <v>48</v>
      </c>
      <c r="C7440" s="220" t="s">
        <v>6210</v>
      </c>
      <c r="D7440" s="220" t="s">
        <v>166</v>
      </c>
      <c r="E7440" s="165">
        <v>25</v>
      </c>
    </row>
    <row r="7441" spans="1:5" x14ac:dyDescent="0.25">
      <c r="A7441" s="216" t="s">
        <v>9957</v>
      </c>
      <c r="B7441" s="218">
        <v>1</v>
      </c>
      <c r="C7441" s="220" t="s">
        <v>3357</v>
      </c>
      <c r="D7441" s="220" t="s">
        <v>78</v>
      </c>
      <c r="E7441" s="165">
        <v>25</v>
      </c>
    </row>
    <row r="7442" spans="1:5" x14ac:dyDescent="0.25">
      <c r="A7442" s="216" t="s">
        <v>5578</v>
      </c>
      <c r="B7442" s="218">
        <v>1</v>
      </c>
      <c r="C7442" s="220" t="s">
        <v>2445</v>
      </c>
      <c r="D7442" s="220" t="s">
        <v>56</v>
      </c>
      <c r="E7442" s="165">
        <v>25</v>
      </c>
    </row>
    <row r="7443" spans="1:5" x14ac:dyDescent="0.25">
      <c r="A7443" s="216" t="s">
        <v>9933</v>
      </c>
      <c r="B7443" s="218">
        <v>1</v>
      </c>
      <c r="C7443" s="220" t="s">
        <v>9934</v>
      </c>
      <c r="D7443" s="220" t="s">
        <v>87</v>
      </c>
      <c r="E7443" s="165">
        <v>25</v>
      </c>
    </row>
    <row r="7444" spans="1:5" x14ac:dyDescent="0.25">
      <c r="A7444" s="216" t="s">
        <v>9543</v>
      </c>
      <c r="B7444" s="218">
        <v>1</v>
      </c>
      <c r="C7444" s="220" t="s">
        <v>9544</v>
      </c>
      <c r="D7444" s="220" t="s">
        <v>50</v>
      </c>
      <c r="E7444" s="165">
        <v>25</v>
      </c>
    </row>
    <row r="7445" spans="1:5" x14ac:dyDescent="0.25">
      <c r="A7445" s="216" t="s">
        <v>9960</v>
      </c>
      <c r="B7445" s="218">
        <v>1</v>
      </c>
      <c r="C7445" s="220" t="s">
        <v>2847</v>
      </c>
      <c r="D7445" s="220" t="s">
        <v>66</v>
      </c>
      <c r="E7445" s="165">
        <v>25</v>
      </c>
    </row>
    <row r="7446" spans="1:5" x14ac:dyDescent="0.25">
      <c r="A7446" s="216" t="s">
        <v>9413</v>
      </c>
      <c r="B7446" s="218" t="s">
        <v>48</v>
      </c>
      <c r="C7446" s="220" t="s">
        <v>7558</v>
      </c>
      <c r="D7446" s="220" t="s">
        <v>166</v>
      </c>
      <c r="E7446" s="165">
        <v>25</v>
      </c>
    </row>
    <row r="7447" spans="1:5" x14ac:dyDescent="0.25">
      <c r="A7447" s="216" t="s">
        <v>11751</v>
      </c>
      <c r="B7447" s="218">
        <v>1</v>
      </c>
      <c r="C7447" s="220" t="s">
        <v>1508</v>
      </c>
      <c r="D7447" s="220" t="s">
        <v>69</v>
      </c>
      <c r="E7447" s="165">
        <v>25</v>
      </c>
    </row>
    <row r="7448" spans="1:5" x14ac:dyDescent="0.25">
      <c r="A7448" s="216" t="s">
        <v>9889</v>
      </c>
      <c r="B7448" s="218">
        <v>1</v>
      </c>
      <c r="C7448" s="220" t="s">
        <v>485</v>
      </c>
      <c r="D7448" s="220" t="s">
        <v>486</v>
      </c>
      <c r="E7448" s="165">
        <v>25</v>
      </c>
    </row>
    <row r="7449" spans="1:5" x14ac:dyDescent="0.25">
      <c r="A7449" s="216" t="s">
        <v>9963</v>
      </c>
      <c r="B7449" s="218">
        <v>1</v>
      </c>
      <c r="C7449" s="220" t="s">
        <v>9964</v>
      </c>
      <c r="D7449" s="220" t="s">
        <v>1200</v>
      </c>
      <c r="E7449" s="165">
        <v>25</v>
      </c>
    </row>
    <row r="7450" spans="1:5" x14ac:dyDescent="0.25">
      <c r="A7450" s="216" t="s">
        <v>9965</v>
      </c>
      <c r="B7450" s="218">
        <v>1</v>
      </c>
      <c r="C7450" s="220" t="s">
        <v>9496</v>
      </c>
      <c r="D7450" s="220" t="s">
        <v>78</v>
      </c>
      <c r="E7450" s="165">
        <v>25</v>
      </c>
    </row>
    <row r="7451" spans="1:5" x14ac:dyDescent="0.25">
      <c r="A7451" s="216" t="s">
        <v>11752</v>
      </c>
      <c r="B7451" s="218" t="s">
        <v>48</v>
      </c>
      <c r="C7451" s="220" t="s">
        <v>11753</v>
      </c>
      <c r="D7451" s="220" t="s">
        <v>585</v>
      </c>
      <c r="E7451" s="165">
        <v>25</v>
      </c>
    </row>
    <row r="7452" spans="1:5" x14ac:dyDescent="0.25">
      <c r="A7452" s="216" t="s">
        <v>9867</v>
      </c>
      <c r="B7452" s="218" t="s">
        <v>48</v>
      </c>
      <c r="C7452" s="220" t="s">
        <v>1915</v>
      </c>
      <c r="D7452" s="220" t="s">
        <v>75</v>
      </c>
      <c r="E7452" s="165">
        <v>25</v>
      </c>
    </row>
    <row r="7453" spans="1:5" x14ac:dyDescent="0.25">
      <c r="A7453" s="216" t="s">
        <v>9983</v>
      </c>
      <c r="B7453" s="218">
        <v>1</v>
      </c>
      <c r="C7453" s="220" t="s">
        <v>9825</v>
      </c>
      <c r="D7453" s="220" t="s">
        <v>63</v>
      </c>
      <c r="E7453" s="165">
        <v>25</v>
      </c>
    </row>
    <row r="7454" spans="1:5" x14ac:dyDescent="0.25">
      <c r="A7454" s="216" t="s">
        <v>11754</v>
      </c>
      <c r="B7454" s="218">
        <v>1</v>
      </c>
      <c r="C7454" s="220" t="s">
        <v>5107</v>
      </c>
      <c r="D7454" s="220" t="s">
        <v>585</v>
      </c>
      <c r="E7454" s="165">
        <v>25</v>
      </c>
    </row>
    <row r="7455" spans="1:5" x14ac:dyDescent="0.25">
      <c r="A7455" s="216" t="s">
        <v>11755</v>
      </c>
      <c r="B7455" s="218" t="s">
        <v>48</v>
      </c>
      <c r="C7455" s="220" t="s">
        <v>8600</v>
      </c>
      <c r="D7455" s="220" t="s">
        <v>82</v>
      </c>
      <c r="E7455" s="165">
        <v>25</v>
      </c>
    </row>
    <row r="7456" spans="1:5" x14ac:dyDescent="0.25">
      <c r="A7456" s="216" t="s">
        <v>11756</v>
      </c>
      <c r="B7456" s="218">
        <v>1</v>
      </c>
      <c r="C7456" s="220" t="s">
        <v>8111</v>
      </c>
      <c r="D7456" s="220" t="s">
        <v>192</v>
      </c>
      <c r="E7456" s="165">
        <v>25</v>
      </c>
    </row>
    <row r="7457" spans="1:5" x14ac:dyDescent="0.25">
      <c r="A7457" s="216" t="s">
        <v>9861</v>
      </c>
      <c r="B7457" s="218">
        <v>1</v>
      </c>
      <c r="C7457" s="220" t="s">
        <v>2277</v>
      </c>
      <c r="D7457" s="220" t="s">
        <v>272</v>
      </c>
      <c r="E7457" s="165">
        <v>25</v>
      </c>
    </row>
    <row r="7458" spans="1:5" x14ac:dyDescent="0.25">
      <c r="A7458" s="216" t="s">
        <v>10007</v>
      </c>
      <c r="B7458" s="218">
        <v>1</v>
      </c>
      <c r="C7458" s="220" t="s">
        <v>10008</v>
      </c>
      <c r="D7458" s="220" t="s">
        <v>69</v>
      </c>
      <c r="E7458" s="165">
        <v>25</v>
      </c>
    </row>
    <row r="7459" spans="1:5" x14ac:dyDescent="0.25">
      <c r="A7459" s="216" t="s">
        <v>8582</v>
      </c>
      <c r="B7459" s="218" t="s">
        <v>48</v>
      </c>
      <c r="C7459" s="220" t="s">
        <v>8019</v>
      </c>
      <c r="D7459" s="220" t="s">
        <v>166</v>
      </c>
      <c r="E7459" s="165">
        <v>24</v>
      </c>
    </row>
    <row r="7460" spans="1:5" x14ac:dyDescent="0.25">
      <c r="A7460" s="216" t="s">
        <v>9953</v>
      </c>
      <c r="B7460" s="218">
        <v>1</v>
      </c>
      <c r="C7460" s="220" t="s">
        <v>1266</v>
      </c>
      <c r="D7460" s="220" t="s">
        <v>166</v>
      </c>
      <c r="E7460" s="165">
        <v>24</v>
      </c>
    </row>
    <row r="7461" spans="1:5" x14ac:dyDescent="0.25">
      <c r="A7461" s="216" t="s">
        <v>11757</v>
      </c>
      <c r="B7461" s="218" t="s">
        <v>48</v>
      </c>
      <c r="C7461" s="220" t="s">
        <v>11758</v>
      </c>
      <c r="D7461" s="220" t="s">
        <v>166</v>
      </c>
      <c r="E7461" s="165">
        <v>24</v>
      </c>
    </row>
    <row r="7462" spans="1:5" x14ac:dyDescent="0.25">
      <c r="A7462" s="216" t="s">
        <v>11759</v>
      </c>
      <c r="B7462" s="218" t="s">
        <v>48</v>
      </c>
      <c r="C7462" s="220" t="s">
        <v>80</v>
      </c>
      <c r="D7462" s="220" t="s">
        <v>139</v>
      </c>
      <c r="E7462" s="165">
        <v>24</v>
      </c>
    </row>
    <row r="7463" spans="1:5" x14ac:dyDescent="0.25">
      <c r="A7463" s="216" t="s">
        <v>10291</v>
      </c>
      <c r="B7463" s="218" t="s">
        <v>48</v>
      </c>
      <c r="C7463" s="220" t="s">
        <v>2718</v>
      </c>
      <c r="D7463" s="220" t="s">
        <v>575</v>
      </c>
      <c r="E7463" s="165">
        <v>24</v>
      </c>
    </row>
    <row r="7464" spans="1:5" x14ac:dyDescent="0.25">
      <c r="A7464" s="216" t="s">
        <v>9990</v>
      </c>
      <c r="B7464" s="218">
        <v>1</v>
      </c>
      <c r="C7464" s="220" t="s">
        <v>259</v>
      </c>
      <c r="D7464" s="220" t="s">
        <v>50</v>
      </c>
      <c r="E7464" s="165">
        <v>24</v>
      </c>
    </row>
    <row r="7465" spans="1:5" x14ac:dyDescent="0.25">
      <c r="A7465" s="216" t="s">
        <v>10165</v>
      </c>
      <c r="B7465" s="218" t="s">
        <v>48</v>
      </c>
      <c r="C7465" s="220" t="s">
        <v>595</v>
      </c>
      <c r="D7465" s="220" t="s">
        <v>53</v>
      </c>
      <c r="E7465" s="165">
        <v>24</v>
      </c>
    </row>
    <row r="7466" spans="1:5" x14ac:dyDescent="0.25">
      <c r="A7466" s="216" t="s">
        <v>11760</v>
      </c>
      <c r="B7466" s="218" t="s">
        <v>48</v>
      </c>
      <c r="C7466" s="220" t="s">
        <v>10267</v>
      </c>
      <c r="D7466" s="220" t="s">
        <v>59</v>
      </c>
      <c r="E7466" s="165">
        <v>24</v>
      </c>
    </row>
    <row r="7467" spans="1:5" x14ac:dyDescent="0.25">
      <c r="A7467" s="216" t="s">
        <v>9958</v>
      </c>
      <c r="B7467" s="218">
        <v>1</v>
      </c>
      <c r="C7467" s="220" t="s">
        <v>9959</v>
      </c>
      <c r="D7467" s="220" t="s">
        <v>236</v>
      </c>
      <c r="E7467" s="165">
        <v>24</v>
      </c>
    </row>
    <row r="7468" spans="1:5" x14ac:dyDescent="0.25">
      <c r="A7468" s="216" t="s">
        <v>9793</v>
      </c>
      <c r="B7468" s="218" t="s">
        <v>48</v>
      </c>
      <c r="C7468" s="220" t="s">
        <v>9794</v>
      </c>
      <c r="D7468" s="220" t="s">
        <v>108</v>
      </c>
      <c r="E7468" s="165">
        <v>24</v>
      </c>
    </row>
    <row r="7469" spans="1:5" x14ac:dyDescent="0.25">
      <c r="A7469" s="216" t="s">
        <v>9961</v>
      </c>
      <c r="B7469" s="218">
        <v>1</v>
      </c>
      <c r="C7469" s="220" t="s">
        <v>9962</v>
      </c>
      <c r="D7469" s="220" t="s">
        <v>201</v>
      </c>
      <c r="E7469" s="165">
        <v>24</v>
      </c>
    </row>
    <row r="7470" spans="1:5" x14ac:dyDescent="0.25">
      <c r="A7470" s="216" t="s">
        <v>9981</v>
      </c>
      <c r="B7470" s="218" t="s">
        <v>48</v>
      </c>
      <c r="C7470" s="220" t="s">
        <v>8817</v>
      </c>
      <c r="D7470" s="220" t="s">
        <v>90</v>
      </c>
      <c r="E7470" s="165">
        <v>24</v>
      </c>
    </row>
    <row r="7471" spans="1:5" x14ac:dyDescent="0.25">
      <c r="A7471" s="216" t="s">
        <v>9995</v>
      </c>
      <c r="B7471" s="218">
        <v>1</v>
      </c>
      <c r="C7471" s="220" t="s">
        <v>9996</v>
      </c>
      <c r="D7471" s="220" t="s">
        <v>264</v>
      </c>
      <c r="E7471" s="165">
        <v>24</v>
      </c>
    </row>
    <row r="7472" spans="1:5" x14ac:dyDescent="0.25">
      <c r="A7472" s="216" t="s">
        <v>11761</v>
      </c>
      <c r="B7472" s="218" t="s">
        <v>48</v>
      </c>
      <c r="C7472" s="220" t="s">
        <v>1669</v>
      </c>
      <c r="D7472" s="220" t="s">
        <v>378</v>
      </c>
      <c r="E7472" s="165">
        <v>24</v>
      </c>
    </row>
    <row r="7473" spans="1:5" x14ac:dyDescent="0.25">
      <c r="A7473" s="216" t="s">
        <v>3742</v>
      </c>
      <c r="B7473" s="218" t="s">
        <v>48</v>
      </c>
      <c r="C7473" s="220" t="s">
        <v>3743</v>
      </c>
      <c r="D7473" s="220" t="s">
        <v>93</v>
      </c>
      <c r="E7473" s="165">
        <v>24</v>
      </c>
    </row>
    <row r="7474" spans="1:5" x14ac:dyDescent="0.25">
      <c r="A7474" s="216" t="s">
        <v>8470</v>
      </c>
      <c r="B7474" s="218">
        <v>1</v>
      </c>
      <c r="C7474" s="220" t="s">
        <v>5107</v>
      </c>
      <c r="D7474" s="220" t="s">
        <v>585</v>
      </c>
      <c r="E7474" s="165">
        <v>24</v>
      </c>
    </row>
    <row r="7475" spans="1:5" x14ac:dyDescent="0.25">
      <c r="A7475" s="216" t="s">
        <v>7897</v>
      </c>
      <c r="B7475" s="218" t="s">
        <v>48</v>
      </c>
      <c r="C7475" s="220" t="s">
        <v>5429</v>
      </c>
      <c r="D7475" s="220" t="s">
        <v>53</v>
      </c>
      <c r="E7475" s="165">
        <v>24</v>
      </c>
    </row>
    <row r="7476" spans="1:5" x14ac:dyDescent="0.25">
      <c r="A7476" s="216" t="s">
        <v>11762</v>
      </c>
      <c r="B7476" s="218">
        <v>1</v>
      </c>
      <c r="C7476" s="220" t="s">
        <v>11763</v>
      </c>
      <c r="D7476" s="220" t="s">
        <v>63</v>
      </c>
      <c r="E7476" s="165">
        <v>24</v>
      </c>
    </row>
    <row r="7477" spans="1:5" x14ac:dyDescent="0.25">
      <c r="A7477" s="216" t="s">
        <v>11764</v>
      </c>
      <c r="B7477" s="218" t="s">
        <v>48</v>
      </c>
      <c r="C7477" s="220" t="s">
        <v>11765</v>
      </c>
      <c r="D7477" s="220" t="s">
        <v>63</v>
      </c>
      <c r="E7477" s="165">
        <v>24</v>
      </c>
    </row>
    <row r="7478" spans="1:5" x14ac:dyDescent="0.25">
      <c r="A7478" s="216" t="s">
        <v>9971</v>
      </c>
      <c r="B7478" s="218">
        <v>1</v>
      </c>
      <c r="C7478" s="220" t="s">
        <v>337</v>
      </c>
      <c r="D7478" s="220" t="s">
        <v>93</v>
      </c>
      <c r="E7478" s="165">
        <v>24</v>
      </c>
    </row>
    <row r="7479" spans="1:5" x14ac:dyDescent="0.25">
      <c r="A7479" s="216" t="s">
        <v>10105</v>
      </c>
      <c r="B7479" s="218" t="s">
        <v>48</v>
      </c>
      <c r="C7479" s="220" t="s">
        <v>5319</v>
      </c>
      <c r="D7479" s="220" t="s">
        <v>59</v>
      </c>
      <c r="E7479" s="165">
        <v>23</v>
      </c>
    </row>
    <row r="7480" spans="1:5" x14ac:dyDescent="0.25">
      <c r="A7480" s="216" t="s">
        <v>8236</v>
      </c>
      <c r="B7480" s="218" t="s">
        <v>48</v>
      </c>
      <c r="C7480" s="220" t="s">
        <v>8237</v>
      </c>
      <c r="D7480" s="220" t="s">
        <v>585</v>
      </c>
      <c r="E7480" s="165">
        <v>23</v>
      </c>
    </row>
    <row r="7481" spans="1:5" x14ac:dyDescent="0.25">
      <c r="A7481" s="216" t="s">
        <v>9992</v>
      </c>
      <c r="B7481" s="218">
        <v>1</v>
      </c>
      <c r="C7481" s="220" t="s">
        <v>9993</v>
      </c>
      <c r="D7481" s="220" t="s">
        <v>56</v>
      </c>
      <c r="E7481" s="165">
        <v>23</v>
      </c>
    </row>
    <row r="7482" spans="1:5" x14ac:dyDescent="0.25">
      <c r="A7482" s="216" t="s">
        <v>10090</v>
      </c>
      <c r="B7482" s="218">
        <v>1</v>
      </c>
      <c r="C7482" s="220" t="s">
        <v>4786</v>
      </c>
      <c r="D7482" s="220" t="s">
        <v>59</v>
      </c>
      <c r="E7482" s="165">
        <v>23</v>
      </c>
    </row>
    <row r="7483" spans="1:5" x14ac:dyDescent="0.25">
      <c r="A7483" s="216" t="s">
        <v>10056</v>
      </c>
      <c r="B7483" s="218">
        <v>1</v>
      </c>
      <c r="C7483" s="220" t="s">
        <v>1268</v>
      </c>
      <c r="D7483" s="220" t="s">
        <v>63</v>
      </c>
      <c r="E7483" s="165">
        <v>23</v>
      </c>
    </row>
    <row r="7484" spans="1:5" x14ac:dyDescent="0.25">
      <c r="A7484" s="216" t="s">
        <v>8878</v>
      </c>
      <c r="B7484" s="218" t="s">
        <v>48</v>
      </c>
      <c r="C7484" s="220" t="s">
        <v>8879</v>
      </c>
      <c r="D7484" s="220" t="s">
        <v>710</v>
      </c>
      <c r="E7484" s="165">
        <v>23</v>
      </c>
    </row>
    <row r="7485" spans="1:5" x14ac:dyDescent="0.25">
      <c r="A7485" s="216" t="s">
        <v>9999</v>
      </c>
      <c r="B7485" s="218">
        <v>1</v>
      </c>
      <c r="C7485" s="220" t="s">
        <v>1349</v>
      </c>
      <c r="D7485" s="220" t="s">
        <v>56</v>
      </c>
      <c r="E7485" s="165">
        <v>23</v>
      </c>
    </row>
    <row r="7486" spans="1:5" x14ac:dyDescent="0.25">
      <c r="A7486" s="216" t="s">
        <v>10000</v>
      </c>
      <c r="B7486" s="218">
        <v>1</v>
      </c>
      <c r="C7486" s="220" t="s">
        <v>1643</v>
      </c>
      <c r="D7486" s="220" t="s">
        <v>56</v>
      </c>
      <c r="E7486" s="165">
        <v>23</v>
      </c>
    </row>
    <row r="7487" spans="1:5" x14ac:dyDescent="0.25">
      <c r="A7487" s="216" t="s">
        <v>9797</v>
      </c>
      <c r="B7487" s="218" t="s">
        <v>48</v>
      </c>
      <c r="C7487" s="220" t="s">
        <v>3505</v>
      </c>
      <c r="D7487" s="220" t="s">
        <v>59</v>
      </c>
      <c r="E7487" s="165">
        <v>23</v>
      </c>
    </row>
    <row r="7488" spans="1:5" x14ac:dyDescent="0.25">
      <c r="A7488" s="216" t="s">
        <v>10004</v>
      </c>
      <c r="B7488" s="218">
        <v>1</v>
      </c>
      <c r="C7488" s="220" t="s">
        <v>1628</v>
      </c>
      <c r="D7488" s="220" t="s">
        <v>56</v>
      </c>
      <c r="E7488" s="165">
        <v>23</v>
      </c>
    </row>
    <row r="7489" spans="1:5" x14ac:dyDescent="0.25">
      <c r="A7489" s="216" t="s">
        <v>9985</v>
      </c>
      <c r="B7489" s="218">
        <v>1</v>
      </c>
      <c r="C7489" s="220" t="s">
        <v>522</v>
      </c>
      <c r="D7489" s="220" t="s">
        <v>523</v>
      </c>
      <c r="E7489" s="165">
        <v>23</v>
      </c>
    </row>
    <row r="7490" spans="1:5" x14ac:dyDescent="0.25">
      <c r="A7490" s="216" t="s">
        <v>7968</v>
      </c>
      <c r="B7490" s="218" t="s">
        <v>48</v>
      </c>
      <c r="C7490" s="220" t="s">
        <v>7969</v>
      </c>
      <c r="D7490" s="220" t="s">
        <v>75</v>
      </c>
      <c r="E7490" s="165">
        <v>22</v>
      </c>
    </row>
    <row r="7491" spans="1:5" x14ac:dyDescent="0.25">
      <c r="A7491" s="216" t="s">
        <v>8284</v>
      </c>
      <c r="B7491" s="218" t="s">
        <v>48</v>
      </c>
      <c r="C7491" s="220" t="s">
        <v>1542</v>
      </c>
      <c r="D7491" s="220" t="s">
        <v>710</v>
      </c>
      <c r="E7491" s="165">
        <v>22</v>
      </c>
    </row>
    <row r="7492" spans="1:5" x14ac:dyDescent="0.25">
      <c r="A7492" s="216" t="s">
        <v>10070</v>
      </c>
      <c r="B7492" s="218">
        <v>1</v>
      </c>
      <c r="C7492" s="220" t="s">
        <v>10071</v>
      </c>
      <c r="D7492" s="220" t="s">
        <v>575</v>
      </c>
      <c r="E7492" s="165">
        <v>22</v>
      </c>
    </row>
    <row r="7493" spans="1:5" x14ac:dyDescent="0.25">
      <c r="A7493" s="216" t="s">
        <v>9113</v>
      </c>
      <c r="B7493" s="218" t="s">
        <v>48</v>
      </c>
      <c r="C7493" s="220" t="s">
        <v>9114</v>
      </c>
      <c r="D7493" s="220" t="s">
        <v>82</v>
      </c>
      <c r="E7493" s="165">
        <v>22</v>
      </c>
    </row>
    <row r="7494" spans="1:5" x14ac:dyDescent="0.25">
      <c r="A7494" s="216" t="s">
        <v>4367</v>
      </c>
      <c r="B7494" s="218" t="s">
        <v>48</v>
      </c>
      <c r="C7494" s="220" t="s">
        <v>144</v>
      </c>
      <c r="D7494" s="220" t="s">
        <v>59</v>
      </c>
      <c r="E7494" s="165">
        <v>22</v>
      </c>
    </row>
    <row r="7495" spans="1:5" x14ac:dyDescent="0.25">
      <c r="A7495" s="216" t="s">
        <v>7198</v>
      </c>
      <c r="B7495" s="218" t="s">
        <v>48</v>
      </c>
      <c r="C7495" s="220" t="s">
        <v>7199</v>
      </c>
      <c r="D7495" s="220" t="s">
        <v>166</v>
      </c>
      <c r="E7495" s="165">
        <v>22</v>
      </c>
    </row>
    <row r="7496" spans="1:5" x14ac:dyDescent="0.25">
      <c r="A7496" s="216" t="s">
        <v>9977</v>
      </c>
      <c r="B7496" s="218" t="s">
        <v>48</v>
      </c>
      <c r="C7496" s="220" t="s">
        <v>9978</v>
      </c>
      <c r="D7496" s="220" t="s">
        <v>166</v>
      </c>
      <c r="E7496" s="165">
        <v>22</v>
      </c>
    </row>
    <row r="7497" spans="1:5" x14ac:dyDescent="0.25">
      <c r="A7497" s="216" t="s">
        <v>10086</v>
      </c>
      <c r="B7497" s="218">
        <v>1</v>
      </c>
      <c r="C7497" s="220" t="s">
        <v>536</v>
      </c>
      <c r="D7497" s="220" t="s">
        <v>56</v>
      </c>
      <c r="E7497" s="165">
        <v>22</v>
      </c>
    </row>
    <row r="7498" spans="1:5" x14ac:dyDescent="0.25">
      <c r="A7498" s="216" t="s">
        <v>9215</v>
      </c>
      <c r="B7498" s="218" t="s">
        <v>48</v>
      </c>
      <c r="C7498" s="220" t="s">
        <v>9216</v>
      </c>
      <c r="D7498" s="220" t="s">
        <v>90</v>
      </c>
      <c r="E7498" s="165">
        <v>22</v>
      </c>
    </row>
    <row r="7499" spans="1:5" x14ac:dyDescent="0.25">
      <c r="A7499" s="216" t="s">
        <v>9991</v>
      </c>
      <c r="B7499" s="218">
        <v>1</v>
      </c>
      <c r="C7499" s="220" t="s">
        <v>86</v>
      </c>
      <c r="D7499" s="220" t="s">
        <v>78</v>
      </c>
      <c r="E7499" s="165">
        <v>22</v>
      </c>
    </row>
    <row r="7500" spans="1:5" x14ac:dyDescent="0.25">
      <c r="A7500" s="216" t="s">
        <v>10013</v>
      </c>
      <c r="B7500" s="218">
        <v>1</v>
      </c>
      <c r="C7500" s="220" t="s">
        <v>2172</v>
      </c>
      <c r="D7500" s="220" t="s">
        <v>188</v>
      </c>
      <c r="E7500" s="165">
        <v>22</v>
      </c>
    </row>
    <row r="7501" spans="1:5" x14ac:dyDescent="0.25">
      <c r="A7501" s="216" t="s">
        <v>10054</v>
      </c>
      <c r="B7501" s="218">
        <v>1</v>
      </c>
      <c r="C7501" s="220" t="s">
        <v>10055</v>
      </c>
      <c r="D7501" s="220" t="s">
        <v>63</v>
      </c>
      <c r="E7501" s="165">
        <v>22</v>
      </c>
    </row>
    <row r="7502" spans="1:5" x14ac:dyDescent="0.25">
      <c r="A7502" s="216" t="s">
        <v>11766</v>
      </c>
      <c r="B7502" s="218">
        <v>1</v>
      </c>
      <c r="C7502" s="220" t="s">
        <v>10130</v>
      </c>
      <c r="D7502" s="220" t="s">
        <v>75</v>
      </c>
      <c r="E7502" s="165">
        <v>22</v>
      </c>
    </row>
    <row r="7503" spans="1:5" x14ac:dyDescent="0.25">
      <c r="A7503" s="216" t="s">
        <v>10057</v>
      </c>
      <c r="B7503" s="218">
        <v>1</v>
      </c>
      <c r="C7503" s="220" t="s">
        <v>864</v>
      </c>
      <c r="D7503" s="220" t="s">
        <v>63</v>
      </c>
      <c r="E7503" s="165">
        <v>22</v>
      </c>
    </row>
    <row r="7504" spans="1:5" x14ac:dyDescent="0.25">
      <c r="A7504" s="216" t="s">
        <v>11767</v>
      </c>
      <c r="B7504" s="218">
        <v>1</v>
      </c>
      <c r="C7504" s="220" t="s">
        <v>473</v>
      </c>
      <c r="D7504" s="220" t="s">
        <v>82</v>
      </c>
      <c r="E7504" s="165">
        <v>22</v>
      </c>
    </row>
    <row r="7505" spans="1:5" x14ac:dyDescent="0.25">
      <c r="A7505" s="216" t="s">
        <v>10060</v>
      </c>
      <c r="B7505" s="218">
        <v>1</v>
      </c>
      <c r="C7505" s="220" t="s">
        <v>1391</v>
      </c>
      <c r="D7505" s="220" t="s">
        <v>53</v>
      </c>
      <c r="E7505" s="165">
        <v>22</v>
      </c>
    </row>
    <row r="7506" spans="1:5" x14ac:dyDescent="0.25">
      <c r="A7506" s="216" t="s">
        <v>8922</v>
      </c>
      <c r="B7506" s="218" t="s">
        <v>48</v>
      </c>
      <c r="C7506" s="220" t="s">
        <v>3059</v>
      </c>
      <c r="D7506" s="220" t="s">
        <v>56</v>
      </c>
      <c r="E7506" s="165">
        <v>22</v>
      </c>
    </row>
    <row r="7507" spans="1:5" x14ac:dyDescent="0.25">
      <c r="A7507" s="216" t="s">
        <v>11768</v>
      </c>
      <c r="B7507" s="218">
        <v>1</v>
      </c>
      <c r="C7507" s="220" t="s">
        <v>11769</v>
      </c>
      <c r="D7507" s="220" t="s">
        <v>63</v>
      </c>
      <c r="E7507" s="165">
        <v>22</v>
      </c>
    </row>
    <row r="7508" spans="1:5" x14ac:dyDescent="0.25">
      <c r="A7508" s="216" t="s">
        <v>10020</v>
      </c>
      <c r="B7508" s="218">
        <v>1</v>
      </c>
      <c r="C7508" s="220" t="s">
        <v>4876</v>
      </c>
      <c r="D7508" s="220" t="s">
        <v>72</v>
      </c>
      <c r="E7508" s="165">
        <v>22</v>
      </c>
    </row>
    <row r="7509" spans="1:5" x14ac:dyDescent="0.25">
      <c r="A7509" s="216" t="s">
        <v>10061</v>
      </c>
      <c r="B7509" s="218" t="s">
        <v>48</v>
      </c>
      <c r="C7509" s="220" t="s">
        <v>2443</v>
      </c>
      <c r="D7509" s="220" t="s">
        <v>59</v>
      </c>
      <c r="E7509" s="165">
        <v>22</v>
      </c>
    </row>
    <row r="7510" spans="1:5" x14ac:dyDescent="0.25">
      <c r="A7510" s="216" t="s">
        <v>8678</v>
      </c>
      <c r="B7510" s="218" t="s">
        <v>48</v>
      </c>
      <c r="C7510" s="220" t="s">
        <v>285</v>
      </c>
      <c r="D7510" s="220" t="s">
        <v>75</v>
      </c>
      <c r="E7510" s="165">
        <v>22</v>
      </c>
    </row>
    <row r="7511" spans="1:5" x14ac:dyDescent="0.25">
      <c r="A7511" s="216" t="s">
        <v>11770</v>
      </c>
      <c r="B7511" s="218" t="s">
        <v>48</v>
      </c>
      <c r="C7511" s="220" t="s">
        <v>11771</v>
      </c>
      <c r="D7511" s="220" t="s">
        <v>50</v>
      </c>
      <c r="E7511" s="165">
        <v>22</v>
      </c>
    </row>
    <row r="7512" spans="1:5" x14ac:dyDescent="0.25">
      <c r="A7512" s="216" t="s">
        <v>10009</v>
      </c>
      <c r="B7512" s="218">
        <v>1</v>
      </c>
      <c r="C7512" s="220" t="s">
        <v>10010</v>
      </c>
      <c r="D7512" s="220" t="s">
        <v>93</v>
      </c>
      <c r="E7512" s="165">
        <v>21</v>
      </c>
    </row>
    <row r="7513" spans="1:5" x14ac:dyDescent="0.25">
      <c r="A7513" s="216" t="s">
        <v>11772</v>
      </c>
      <c r="B7513" s="218" t="s">
        <v>48</v>
      </c>
      <c r="C7513" s="220" t="s">
        <v>5937</v>
      </c>
      <c r="D7513" s="220" t="s">
        <v>75</v>
      </c>
      <c r="E7513" s="165">
        <v>21</v>
      </c>
    </row>
    <row r="7514" spans="1:5" x14ac:dyDescent="0.25">
      <c r="A7514" s="216" t="s">
        <v>10049</v>
      </c>
      <c r="B7514" s="218">
        <v>1</v>
      </c>
      <c r="C7514" s="220" t="s">
        <v>9513</v>
      </c>
      <c r="D7514" s="220" t="s">
        <v>264</v>
      </c>
      <c r="E7514" s="165">
        <v>21</v>
      </c>
    </row>
    <row r="7515" spans="1:5" x14ac:dyDescent="0.25">
      <c r="A7515" s="216" t="s">
        <v>9892</v>
      </c>
      <c r="B7515" s="218" t="s">
        <v>48</v>
      </c>
      <c r="C7515" s="220" t="s">
        <v>9893</v>
      </c>
      <c r="D7515" s="220" t="s">
        <v>59</v>
      </c>
      <c r="E7515" s="165">
        <v>21</v>
      </c>
    </row>
    <row r="7516" spans="1:5" x14ac:dyDescent="0.25">
      <c r="A7516" s="216" t="s">
        <v>10050</v>
      </c>
      <c r="B7516" s="218">
        <v>1</v>
      </c>
      <c r="C7516" s="220" t="s">
        <v>86</v>
      </c>
      <c r="D7516" s="220" t="s">
        <v>78</v>
      </c>
      <c r="E7516" s="165">
        <v>21</v>
      </c>
    </row>
    <row r="7517" spans="1:5" x14ac:dyDescent="0.25">
      <c r="A7517" s="216" t="s">
        <v>9162</v>
      </c>
      <c r="B7517" s="218">
        <v>1</v>
      </c>
      <c r="C7517" s="220" t="s">
        <v>9163</v>
      </c>
      <c r="D7517" s="220" t="s">
        <v>90</v>
      </c>
      <c r="E7517" s="165">
        <v>21</v>
      </c>
    </row>
    <row r="7518" spans="1:5" x14ac:dyDescent="0.25">
      <c r="A7518" s="216" t="s">
        <v>10028</v>
      </c>
      <c r="B7518" s="218">
        <v>1</v>
      </c>
      <c r="C7518" s="220" t="s">
        <v>10029</v>
      </c>
      <c r="D7518" s="220" t="s">
        <v>124</v>
      </c>
      <c r="E7518" s="165">
        <v>21</v>
      </c>
    </row>
    <row r="7519" spans="1:5" x14ac:dyDescent="0.25">
      <c r="A7519" s="216" t="s">
        <v>10254</v>
      </c>
      <c r="B7519" s="218" t="s">
        <v>48</v>
      </c>
      <c r="C7519" s="220" t="s">
        <v>857</v>
      </c>
      <c r="D7519" s="220" t="s">
        <v>378</v>
      </c>
      <c r="E7519" s="165">
        <v>21</v>
      </c>
    </row>
    <row r="7520" spans="1:5" x14ac:dyDescent="0.25">
      <c r="A7520" s="216" t="s">
        <v>10089</v>
      </c>
      <c r="B7520" s="218" t="s">
        <v>48</v>
      </c>
      <c r="C7520" s="220" t="s">
        <v>9988</v>
      </c>
      <c r="D7520" s="220" t="s">
        <v>59</v>
      </c>
      <c r="E7520" s="165">
        <v>21</v>
      </c>
    </row>
    <row r="7521" spans="1:5" x14ac:dyDescent="0.25">
      <c r="A7521" s="216" t="s">
        <v>9943</v>
      </c>
      <c r="B7521" s="218" t="s">
        <v>48</v>
      </c>
      <c r="C7521" s="220" t="s">
        <v>8055</v>
      </c>
      <c r="D7521" s="220" t="s">
        <v>82</v>
      </c>
      <c r="E7521" s="165">
        <v>21</v>
      </c>
    </row>
    <row r="7522" spans="1:5" x14ac:dyDescent="0.25">
      <c r="A7522" s="216" t="s">
        <v>9260</v>
      </c>
      <c r="B7522" s="218">
        <v>1</v>
      </c>
      <c r="C7522" s="220" t="s">
        <v>5829</v>
      </c>
      <c r="D7522" s="220" t="s">
        <v>87</v>
      </c>
      <c r="E7522" s="165">
        <v>21</v>
      </c>
    </row>
    <row r="7523" spans="1:5" x14ac:dyDescent="0.25">
      <c r="A7523" s="216" t="s">
        <v>10167</v>
      </c>
      <c r="B7523" s="218" t="s">
        <v>48</v>
      </c>
      <c r="C7523" s="220" t="s">
        <v>10168</v>
      </c>
      <c r="D7523" s="220" t="s">
        <v>82</v>
      </c>
      <c r="E7523" s="165">
        <v>21</v>
      </c>
    </row>
    <row r="7524" spans="1:5" x14ac:dyDescent="0.25">
      <c r="A7524" s="216" t="s">
        <v>9805</v>
      </c>
      <c r="B7524" s="218" t="s">
        <v>48</v>
      </c>
      <c r="C7524" s="220" t="s">
        <v>9806</v>
      </c>
      <c r="D7524" s="220" t="s">
        <v>585</v>
      </c>
      <c r="E7524" s="165">
        <v>21</v>
      </c>
    </row>
    <row r="7525" spans="1:5" x14ac:dyDescent="0.25">
      <c r="A7525" s="216" t="s">
        <v>10040</v>
      </c>
      <c r="B7525" s="218">
        <v>1</v>
      </c>
      <c r="C7525" s="220" t="s">
        <v>9358</v>
      </c>
      <c r="D7525" s="220" t="s">
        <v>98</v>
      </c>
      <c r="E7525" s="165">
        <v>21</v>
      </c>
    </row>
    <row r="7526" spans="1:5" x14ac:dyDescent="0.25">
      <c r="A7526" s="216" t="s">
        <v>10058</v>
      </c>
      <c r="B7526" s="218">
        <v>1</v>
      </c>
      <c r="C7526" s="220" t="s">
        <v>10059</v>
      </c>
      <c r="D7526" s="220" t="s">
        <v>124</v>
      </c>
      <c r="E7526" s="165">
        <v>21</v>
      </c>
    </row>
    <row r="7527" spans="1:5" x14ac:dyDescent="0.25">
      <c r="A7527" s="216" t="s">
        <v>10064</v>
      </c>
      <c r="B7527" s="218" t="s">
        <v>48</v>
      </c>
      <c r="C7527" s="220" t="s">
        <v>10065</v>
      </c>
      <c r="D7527" s="220" t="s">
        <v>82</v>
      </c>
      <c r="E7527" s="165">
        <v>21</v>
      </c>
    </row>
    <row r="7528" spans="1:5" x14ac:dyDescent="0.25">
      <c r="A7528" s="216" t="s">
        <v>5298</v>
      </c>
      <c r="B7528" s="218">
        <v>1</v>
      </c>
      <c r="C7528" s="220" t="s">
        <v>2179</v>
      </c>
      <c r="D7528" s="220" t="s">
        <v>66</v>
      </c>
      <c r="E7528" s="165">
        <v>21</v>
      </c>
    </row>
    <row r="7529" spans="1:5" x14ac:dyDescent="0.25">
      <c r="A7529" s="216" t="s">
        <v>9532</v>
      </c>
      <c r="B7529" s="218" t="s">
        <v>48</v>
      </c>
      <c r="C7529" s="220" t="s">
        <v>9533</v>
      </c>
      <c r="D7529" s="220" t="s">
        <v>277</v>
      </c>
      <c r="E7529" s="165">
        <v>21</v>
      </c>
    </row>
    <row r="7530" spans="1:5" x14ac:dyDescent="0.25">
      <c r="A7530" s="216" t="s">
        <v>10045</v>
      </c>
      <c r="B7530" s="218">
        <v>1</v>
      </c>
      <c r="C7530" s="220" t="s">
        <v>2295</v>
      </c>
      <c r="D7530" s="220" t="s">
        <v>628</v>
      </c>
      <c r="E7530" s="165">
        <v>20</v>
      </c>
    </row>
    <row r="7531" spans="1:5" x14ac:dyDescent="0.25">
      <c r="A7531" s="216" t="s">
        <v>9823</v>
      </c>
      <c r="B7531" s="218" t="s">
        <v>48</v>
      </c>
      <c r="C7531" s="220" t="s">
        <v>3850</v>
      </c>
      <c r="D7531" s="220" t="s">
        <v>93</v>
      </c>
      <c r="E7531" s="165">
        <v>20</v>
      </c>
    </row>
    <row r="7532" spans="1:5" x14ac:dyDescent="0.25">
      <c r="A7532" s="216" t="s">
        <v>5828</v>
      </c>
      <c r="B7532" s="218">
        <v>1</v>
      </c>
      <c r="C7532" s="220" t="s">
        <v>5829</v>
      </c>
      <c r="D7532" s="220" t="s">
        <v>53</v>
      </c>
      <c r="E7532" s="165">
        <v>20</v>
      </c>
    </row>
    <row r="7533" spans="1:5" x14ac:dyDescent="0.25">
      <c r="A7533" s="216" t="s">
        <v>10023</v>
      </c>
      <c r="B7533" s="218">
        <v>1</v>
      </c>
      <c r="C7533" s="220" t="s">
        <v>163</v>
      </c>
      <c r="D7533" s="220" t="s">
        <v>201</v>
      </c>
      <c r="E7533" s="165">
        <v>20</v>
      </c>
    </row>
    <row r="7534" spans="1:5" x14ac:dyDescent="0.25">
      <c r="A7534" s="216" t="s">
        <v>10078</v>
      </c>
      <c r="B7534" s="218">
        <v>1</v>
      </c>
      <c r="C7534" s="220" t="s">
        <v>10079</v>
      </c>
      <c r="D7534" s="220" t="s">
        <v>63</v>
      </c>
      <c r="E7534" s="165">
        <v>20</v>
      </c>
    </row>
    <row r="7535" spans="1:5" x14ac:dyDescent="0.25">
      <c r="A7535" s="216" t="s">
        <v>4393</v>
      </c>
      <c r="B7535" s="218" t="s">
        <v>48</v>
      </c>
      <c r="C7535" s="220" t="s">
        <v>283</v>
      </c>
      <c r="D7535" s="220" t="s">
        <v>59</v>
      </c>
      <c r="E7535" s="165">
        <v>20</v>
      </c>
    </row>
    <row r="7536" spans="1:5" x14ac:dyDescent="0.25">
      <c r="A7536" s="216" t="s">
        <v>10026</v>
      </c>
      <c r="B7536" s="218">
        <v>1</v>
      </c>
      <c r="C7536" s="220" t="s">
        <v>9794</v>
      </c>
      <c r="D7536" s="220" t="s">
        <v>201</v>
      </c>
      <c r="E7536" s="165">
        <v>20</v>
      </c>
    </row>
    <row r="7537" spans="1:5" x14ac:dyDescent="0.25">
      <c r="A7537" s="216" t="s">
        <v>10080</v>
      </c>
      <c r="B7537" s="218">
        <v>1</v>
      </c>
      <c r="C7537" s="220" t="s">
        <v>10081</v>
      </c>
      <c r="D7537" s="220" t="s">
        <v>56</v>
      </c>
      <c r="E7537" s="165">
        <v>20</v>
      </c>
    </row>
    <row r="7538" spans="1:5" x14ac:dyDescent="0.25">
      <c r="A7538" s="216" t="s">
        <v>11773</v>
      </c>
      <c r="B7538" s="218">
        <v>1</v>
      </c>
      <c r="C7538" s="220" t="s">
        <v>701</v>
      </c>
      <c r="D7538" s="220" t="s">
        <v>50</v>
      </c>
      <c r="E7538" s="165">
        <v>20</v>
      </c>
    </row>
    <row r="7539" spans="1:5" x14ac:dyDescent="0.25">
      <c r="A7539" s="216" t="s">
        <v>6941</v>
      </c>
      <c r="B7539" s="218" t="s">
        <v>48</v>
      </c>
      <c r="C7539" s="220" t="s">
        <v>274</v>
      </c>
      <c r="D7539" s="220" t="s">
        <v>188</v>
      </c>
      <c r="E7539" s="165">
        <v>20</v>
      </c>
    </row>
    <row r="7540" spans="1:5" x14ac:dyDescent="0.25">
      <c r="A7540" s="216" t="s">
        <v>11774</v>
      </c>
      <c r="B7540" s="218">
        <v>1</v>
      </c>
      <c r="C7540" s="220" t="s">
        <v>68</v>
      </c>
      <c r="D7540" s="220" t="s">
        <v>63</v>
      </c>
      <c r="E7540" s="165">
        <v>20</v>
      </c>
    </row>
    <row r="7541" spans="1:5" x14ac:dyDescent="0.25">
      <c r="A7541" s="216" t="s">
        <v>8711</v>
      </c>
      <c r="B7541" s="218" t="s">
        <v>48</v>
      </c>
      <c r="C7541" s="220" t="s">
        <v>8712</v>
      </c>
      <c r="D7541" s="220" t="s">
        <v>124</v>
      </c>
      <c r="E7541" s="165">
        <v>20</v>
      </c>
    </row>
    <row r="7542" spans="1:5" x14ac:dyDescent="0.25">
      <c r="A7542" s="216" t="s">
        <v>10083</v>
      </c>
      <c r="B7542" s="218" t="s">
        <v>48</v>
      </c>
      <c r="C7542" s="220" t="s">
        <v>540</v>
      </c>
      <c r="D7542" s="220" t="s">
        <v>523</v>
      </c>
      <c r="E7542" s="165">
        <v>20</v>
      </c>
    </row>
    <row r="7543" spans="1:5" x14ac:dyDescent="0.25">
      <c r="A7543" s="216" t="s">
        <v>10031</v>
      </c>
      <c r="B7543" s="218">
        <v>1</v>
      </c>
      <c r="C7543" s="220" t="s">
        <v>10032</v>
      </c>
      <c r="D7543" s="220" t="s">
        <v>523</v>
      </c>
      <c r="E7543" s="165">
        <v>20</v>
      </c>
    </row>
    <row r="7544" spans="1:5" x14ac:dyDescent="0.25">
      <c r="A7544" s="216" t="s">
        <v>10052</v>
      </c>
      <c r="B7544" s="218">
        <v>1</v>
      </c>
      <c r="C7544" s="220" t="s">
        <v>6435</v>
      </c>
      <c r="D7544" s="220" t="s">
        <v>50</v>
      </c>
      <c r="E7544" s="165">
        <v>20</v>
      </c>
    </row>
    <row r="7545" spans="1:5" x14ac:dyDescent="0.25">
      <c r="A7545" s="216" t="s">
        <v>10053</v>
      </c>
      <c r="B7545" s="218">
        <v>1</v>
      </c>
      <c r="C7545" s="220" t="s">
        <v>4454</v>
      </c>
      <c r="D7545" s="220" t="s">
        <v>50</v>
      </c>
      <c r="E7545" s="165">
        <v>20</v>
      </c>
    </row>
    <row r="7546" spans="1:5" x14ac:dyDescent="0.25">
      <c r="A7546" s="216" t="s">
        <v>9899</v>
      </c>
      <c r="B7546" s="218" t="s">
        <v>48</v>
      </c>
      <c r="C7546" s="220" t="s">
        <v>9900</v>
      </c>
      <c r="D7546" s="220" t="s">
        <v>53</v>
      </c>
      <c r="E7546" s="165">
        <v>20</v>
      </c>
    </row>
    <row r="7547" spans="1:5" x14ac:dyDescent="0.25">
      <c r="A7547" s="216" t="s">
        <v>8935</v>
      </c>
      <c r="B7547" s="218">
        <v>1</v>
      </c>
      <c r="C7547" s="220" t="s">
        <v>1295</v>
      </c>
      <c r="D7547" s="220" t="s">
        <v>50</v>
      </c>
      <c r="E7547" s="165">
        <v>20</v>
      </c>
    </row>
    <row r="7548" spans="1:5" x14ac:dyDescent="0.25">
      <c r="A7548" s="216" t="s">
        <v>11775</v>
      </c>
      <c r="B7548" s="218" t="s">
        <v>48</v>
      </c>
      <c r="C7548" s="220" t="s">
        <v>2519</v>
      </c>
      <c r="D7548" s="220" t="s">
        <v>523</v>
      </c>
      <c r="E7548" s="165">
        <v>20</v>
      </c>
    </row>
    <row r="7549" spans="1:5" x14ac:dyDescent="0.25">
      <c r="A7549" s="216" t="s">
        <v>9852</v>
      </c>
      <c r="B7549" s="218">
        <v>1</v>
      </c>
      <c r="C7549" s="220" t="s">
        <v>8353</v>
      </c>
      <c r="D7549" s="220" t="s">
        <v>188</v>
      </c>
      <c r="E7549" s="165">
        <v>20</v>
      </c>
    </row>
    <row r="7550" spans="1:5" x14ac:dyDescent="0.25">
      <c r="A7550" s="216" t="s">
        <v>9937</v>
      </c>
      <c r="B7550" s="218" t="s">
        <v>48</v>
      </c>
      <c r="C7550" s="220" t="s">
        <v>5973</v>
      </c>
      <c r="D7550" s="220" t="s">
        <v>69</v>
      </c>
      <c r="E7550" s="165">
        <v>20</v>
      </c>
    </row>
    <row r="7551" spans="1:5" x14ac:dyDescent="0.25">
      <c r="A7551" s="216" t="s">
        <v>10075</v>
      </c>
      <c r="B7551" s="218">
        <v>1</v>
      </c>
      <c r="C7551" s="220" t="s">
        <v>3276</v>
      </c>
      <c r="D7551" s="220" t="s">
        <v>63</v>
      </c>
      <c r="E7551" s="165">
        <v>20</v>
      </c>
    </row>
    <row r="7552" spans="1:5" x14ac:dyDescent="0.25">
      <c r="A7552" s="216" t="s">
        <v>11776</v>
      </c>
      <c r="B7552" s="218">
        <v>1</v>
      </c>
      <c r="C7552" s="220" t="s">
        <v>3747</v>
      </c>
      <c r="D7552" s="220" t="s">
        <v>50</v>
      </c>
      <c r="E7552" s="165">
        <v>20</v>
      </c>
    </row>
    <row r="7553" spans="1:5" x14ac:dyDescent="0.25">
      <c r="A7553" s="216" t="s">
        <v>7872</v>
      </c>
      <c r="B7553" s="218" t="s">
        <v>48</v>
      </c>
      <c r="C7553" s="220" t="s">
        <v>7873</v>
      </c>
      <c r="D7553" s="220" t="s">
        <v>378</v>
      </c>
      <c r="E7553" s="165">
        <v>20</v>
      </c>
    </row>
    <row r="7554" spans="1:5" x14ac:dyDescent="0.25">
      <c r="A7554" s="216" t="s">
        <v>10094</v>
      </c>
      <c r="B7554" s="218">
        <v>1</v>
      </c>
      <c r="C7554" s="220" t="s">
        <v>1643</v>
      </c>
      <c r="D7554" s="220" t="s">
        <v>56</v>
      </c>
      <c r="E7554" s="165">
        <v>20</v>
      </c>
    </row>
    <row r="7555" spans="1:5" x14ac:dyDescent="0.25">
      <c r="A7555" s="216" t="s">
        <v>10024</v>
      </c>
      <c r="B7555" s="218">
        <v>1</v>
      </c>
      <c r="C7555" s="220" t="s">
        <v>10025</v>
      </c>
      <c r="D7555" s="220" t="s">
        <v>93</v>
      </c>
      <c r="E7555" s="165">
        <v>19</v>
      </c>
    </row>
    <row r="7556" spans="1:5" x14ac:dyDescent="0.25">
      <c r="A7556" s="216" t="s">
        <v>9501</v>
      </c>
      <c r="B7556" s="218" t="s">
        <v>48</v>
      </c>
      <c r="C7556" s="220" t="s">
        <v>2345</v>
      </c>
      <c r="D7556" s="220" t="s">
        <v>166</v>
      </c>
      <c r="E7556" s="165">
        <v>19</v>
      </c>
    </row>
    <row r="7557" spans="1:5" x14ac:dyDescent="0.25">
      <c r="A7557" s="216" t="s">
        <v>10596</v>
      </c>
      <c r="B7557" s="218" t="s">
        <v>48</v>
      </c>
      <c r="C7557" s="220" t="s">
        <v>11777</v>
      </c>
      <c r="D7557" s="220" t="s">
        <v>75</v>
      </c>
      <c r="E7557" s="165">
        <v>19</v>
      </c>
    </row>
    <row r="7558" spans="1:5" x14ac:dyDescent="0.25">
      <c r="A7558" s="216" t="s">
        <v>9621</v>
      </c>
      <c r="B7558" s="218" t="s">
        <v>48</v>
      </c>
      <c r="C7558" s="220" t="s">
        <v>9622</v>
      </c>
      <c r="D7558" s="220" t="s">
        <v>90</v>
      </c>
      <c r="E7558" s="165">
        <v>19</v>
      </c>
    </row>
    <row r="7559" spans="1:5" x14ac:dyDescent="0.25">
      <c r="A7559" s="216" t="s">
        <v>11778</v>
      </c>
      <c r="B7559" s="218" t="s">
        <v>48</v>
      </c>
      <c r="C7559" s="220" t="s">
        <v>274</v>
      </c>
      <c r="D7559" s="220" t="s">
        <v>188</v>
      </c>
      <c r="E7559" s="165">
        <v>19</v>
      </c>
    </row>
    <row r="7560" spans="1:5" x14ac:dyDescent="0.25">
      <c r="A7560" s="216" t="s">
        <v>6543</v>
      </c>
      <c r="B7560" s="218">
        <v>1</v>
      </c>
      <c r="C7560" s="220" t="s">
        <v>2277</v>
      </c>
      <c r="D7560" s="220" t="s">
        <v>277</v>
      </c>
      <c r="E7560" s="165">
        <v>19</v>
      </c>
    </row>
    <row r="7561" spans="1:5" x14ac:dyDescent="0.25">
      <c r="A7561" s="216" t="s">
        <v>11779</v>
      </c>
      <c r="B7561" s="218">
        <v>1</v>
      </c>
      <c r="C7561" s="220" t="s">
        <v>11780</v>
      </c>
      <c r="D7561" s="220" t="s">
        <v>93</v>
      </c>
      <c r="E7561" s="165">
        <v>19</v>
      </c>
    </row>
    <row r="7562" spans="1:5" x14ac:dyDescent="0.25">
      <c r="A7562" s="216" t="s">
        <v>10003</v>
      </c>
      <c r="B7562" s="218">
        <v>1</v>
      </c>
      <c r="C7562" s="220" t="s">
        <v>5357</v>
      </c>
      <c r="D7562" s="220" t="s">
        <v>50</v>
      </c>
      <c r="E7562" s="165">
        <v>19</v>
      </c>
    </row>
    <row r="7563" spans="1:5" x14ac:dyDescent="0.25">
      <c r="A7563" s="216" t="s">
        <v>10097</v>
      </c>
      <c r="B7563" s="218">
        <v>1</v>
      </c>
      <c r="C7563" s="220" t="s">
        <v>10098</v>
      </c>
      <c r="D7563" s="220" t="s">
        <v>63</v>
      </c>
      <c r="E7563" s="165">
        <v>19</v>
      </c>
    </row>
    <row r="7564" spans="1:5" x14ac:dyDescent="0.25">
      <c r="A7564" s="216" t="s">
        <v>10111</v>
      </c>
      <c r="B7564" s="218">
        <v>1</v>
      </c>
      <c r="C7564" s="220" t="s">
        <v>5109</v>
      </c>
      <c r="D7564" s="220" t="s">
        <v>188</v>
      </c>
      <c r="E7564" s="165">
        <v>18</v>
      </c>
    </row>
    <row r="7565" spans="1:5" x14ac:dyDescent="0.25">
      <c r="A7565" s="216" t="s">
        <v>9666</v>
      </c>
      <c r="B7565" s="218">
        <v>1</v>
      </c>
      <c r="C7565" s="220" t="s">
        <v>5941</v>
      </c>
      <c r="D7565" s="220" t="s">
        <v>348</v>
      </c>
      <c r="E7565" s="165">
        <v>18</v>
      </c>
    </row>
    <row r="7566" spans="1:5" x14ac:dyDescent="0.25">
      <c r="A7566" s="216" t="s">
        <v>10051</v>
      </c>
      <c r="B7566" s="218">
        <v>1</v>
      </c>
      <c r="C7566" s="220" t="s">
        <v>4525</v>
      </c>
      <c r="D7566" s="220" t="s">
        <v>87</v>
      </c>
      <c r="E7566" s="165">
        <v>18</v>
      </c>
    </row>
    <row r="7567" spans="1:5" x14ac:dyDescent="0.25">
      <c r="A7567" s="216" t="s">
        <v>10084</v>
      </c>
      <c r="B7567" s="218">
        <v>1</v>
      </c>
      <c r="C7567" s="220" t="s">
        <v>10085</v>
      </c>
      <c r="D7567" s="220" t="s">
        <v>56</v>
      </c>
      <c r="E7567" s="165">
        <v>18</v>
      </c>
    </row>
    <row r="7568" spans="1:5" x14ac:dyDescent="0.25">
      <c r="A7568" s="216" t="s">
        <v>9119</v>
      </c>
      <c r="B7568" s="218" t="s">
        <v>48</v>
      </c>
      <c r="C7568" s="220" t="s">
        <v>1798</v>
      </c>
      <c r="D7568" s="220" t="s">
        <v>98</v>
      </c>
      <c r="E7568" s="165">
        <v>18</v>
      </c>
    </row>
    <row r="7569" spans="1:5" x14ac:dyDescent="0.25">
      <c r="A7569" s="216" t="s">
        <v>10030</v>
      </c>
      <c r="B7569" s="218">
        <v>1</v>
      </c>
      <c r="C7569" s="220" t="s">
        <v>5498</v>
      </c>
      <c r="D7569" s="220" t="s">
        <v>172</v>
      </c>
      <c r="E7569" s="165">
        <v>18</v>
      </c>
    </row>
    <row r="7570" spans="1:5" x14ac:dyDescent="0.25">
      <c r="A7570" s="216" t="s">
        <v>7695</v>
      </c>
      <c r="B7570" s="218">
        <v>1</v>
      </c>
      <c r="C7570" s="220" t="s">
        <v>7696</v>
      </c>
      <c r="D7570" s="220" t="s">
        <v>108</v>
      </c>
      <c r="E7570" s="165">
        <v>18</v>
      </c>
    </row>
    <row r="7571" spans="1:5" x14ac:dyDescent="0.25">
      <c r="A7571" s="216" t="s">
        <v>9150</v>
      </c>
      <c r="B7571" s="218" t="s">
        <v>48</v>
      </c>
      <c r="C7571" s="220" t="s">
        <v>3697</v>
      </c>
      <c r="D7571" s="220" t="s">
        <v>108</v>
      </c>
      <c r="E7571" s="165">
        <v>18</v>
      </c>
    </row>
    <row r="7572" spans="1:5" x14ac:dyDescent="0.25">
      <c r="A7572" s="216" t="s">
        <v>10091</v>
      </c>
      <c r="B7572" s="218">
        <v>1</v>
      </c>
      <c r="C7572" s="220" t="s">
        <v>55</v>
      </c>
      <c r="D7572" s="220" t="s">
        <v>56</v>
      </c>
      <c r="E7572" s="165">
        <v>18</v>
      </c>
    </row>
    <row r="7573" spans="1:5" x14ac:dyDescent="0.25">
      <c r="A7573" s="216" t="s">
        <v>10092</v>
      </c>
      <c r="B7573" s="218">
        <v>1</v>
      </c>
      <c r="C7573" s="220" t="s">
        <v>2938</v>
      </c>
      <c r="D7573" s="220" t="s">
        <v>56</v>
      </c>
      <c r="E7573" s="165">
        <v>18</v>
      </c>
    </row>
    <row r="7574" spans="1:5" x14ac:dyDescent="0.25">
      <c r="A7574" s="216" t="s">
        <v>10039</v>
      </c>
      <c r="B7574" s="218">
        <v>1</v>
      </c>
      <c r="C7574" s="220" t="s">
        <v>481</v>
      </c>
      <c r="D7574" s="220" t="s">
        <v>172</v>
      </c>
      <c r="E7574" s="165">
        <v>18</v>
      </c>
    </row>
    <row r="7575" spans="1:5" x14ac:dyDescent="0.25">
      <c r="A7575" s="216" t="s">
        <v>10016</v>
      </c>
      <c r="B7575" s="218">
        <v>1</v>
      </c>
      <c r="C7575" s="220" t="s">
        <v>10017</v>
      </c>
      <c r="D7575" s="220" t="s">
        <v>90</v>
      </c>
      <c r="E7575" s="165">
        <v>18</v>
      </c>
    </row>
    <row r="7576" spans="1:5" x14ac:dyDescent="0.25">
      <c r="A7576" s="216" t="s">
        <v>9634</v>
      </c>
      <c r="B7576" s="218" t="s">
        <v>48</v>
      </c>
      <c r="C7576" s="220" t="s">
        <v>9635</v>
      </c>
      <c r="D7576" s="220" t="s">
        <v>585</v>
      </c>
      <c r="E7576" s="165">
        <v>18</v>
      </c>
    </row>
    <row r="7577" spans="1:5" x14ac:dyDescent="0.25">
      <c r="A7577" s="216" t="s">
        <v>10834</v>
      </c>
      <c r="B7577" s="218" t="s">
        <v>48</v>
      </c>
      <c r="C7577" s="220" t="s">
        <v>1347</v>
      </c>
      <c r="D7577" s="220" t="s">
        <v>59</v>
      </c>
      <c r="E7577" s="165">
        <v>18</v>
      </c>
    </row>
    <row r="7578" spans="1:5" x14ac:dyDescent="0.25">
      <c r="A7578" s="216" t="s">
        <v>6622</v>
      </c>
      <c r="B7578" s="218">
        <v>1</v>
      </c>
      <c r="C7578" s="220" t="s">
        <v>144</v>
      </c>
      <c r="D7578" s="220" t="s">
        <v>59</v>
      </c>
      <c r="E7578" s="165">
        <v>18</v>
      </c>
    </row>
    <row r="7579" spans="1:5" x14ac:dyDescent="0.25">
      <c r="A7579" s="216" t="s">
        <v>10044</v>
      </c>
      <c r="B7579" s="218">
        <v>1</v>
      </c>
      <c r="C7579" s="220" t="s">
        <v>4760</v>
      </c>
      <c r="D7579" s="220" t="s">
        <v>277</v>
      </c>
      <c r="E7579" s="165">
        <v>17</v>
      </c>
    </row>
    <row r="7580" spans="1:5" x14ac:dyDescent="0.25">
      <c r="A7580" s="216" t="s">
        <v>10068</v>
      </c>
      <c r="B7580" s="218">
        <v>1</v>
      </c>
      <c r="C7580" s="220" t="s">
        <v>10069</v>
      </c>
      <c r="D7580" s="220" t="s">
        <v>59</v>
      </c>
      <c r="E7580" s="165">
        <v>17</v>
      </c>
    </row>
    <row r="7581" spans="1:5" x14ac:dyDescent="0.25">
      <c r="A7581" s="216" t="s">
        <v>9839</v>
      </c>
      <c r="B7581" s="218" t="s">
        <v>48</v>
      </c>
      <c r="C7581" s="220" t="s">
        <v>3485</v>
      </c>
      <c r="D7581" s="220" t="s">
        <v>90</v>
      </c>
      <c r="E7581" s="165">
        <v>17</v>
      </c>
    </row>
    <row r="7582" spans="1:5" x14ac:dyDescent="0.25">
      <c r="A7582" s="216" t="s">
        <v>10108</v>
      </c>
      <c r="B7582" s="218">
        <v>1</v>
      </c>
      <c r="C7582" s="220" t="s">
        <v>689</v>
      </c>
      <c r="D7582" s="220" t="s">
        <v>124</v>
      </c>
      <c r="E7582" s="165">
        <v>17</v>
      </c>
    </row>
    <row r="7583" spans="1:5" x14ac:dyDescent="0.25">
      <c r="A7583" s="216" t="s">
        <v>11781</v>
      </c>
      <c r="B7583" s="218" t="s">
        <v>48</v>
      </c>
      <c r="C7583" s="220" t="s">
        <v>8024</v>
      </c>
      <c r="D7583" s="220" t="s">
        <v>378</v>
      </c>
      <c r="E7583" s="165">
        <v>17</v>
      </c>
    </row>
    <row r="7584" spans="1:5" x14ac:dyDescent="0.25">
      <c r="A7584" s="216" t="s">
        <v>10301</v>
      </c>
      <c r="B7584" s="218">
        <v>1</v>
      </c>
      <c r="C7584" s="220" t="s">
        <v>10302</v>
      </c>
      <c r="D7584" s="220" t="s">
        <v>50</v>
      </c>
      <c r="E7584" s="165">
        <v>17</v>
      </c>
    </row>
    <row r="7585" spans="1:5" x14ac:dyDescent="0.25">
      <c r="A7585" s="216" t="s">
        <v>11782</v>
      </c>
      <c r="B7585" s="218" t="s">
        <v>48</v>
      </c>
      <c r="C7585" s="220" t="s">
        <v>289</v>
      </c>
      <c r="D7585" s="220" t="s">
        <v>69</v>
      </c>
      <c r="E7585" s="165">
        <v>17</v>
      </c>
    </row>
    <row r="7586" spans="1:5" x14ac:dyDescent="0.25">
      <c r="A7586" s="216" t="s">
        <v>10102</v>
      </c>
      <c r="B7586" s="218">
        <v>1</v>
      </c>
      <c r="C7586" s="220" t="s">
        <v>2834</v>
      </c>
      <c r="D7586" s="220" t="s">
        <v>272</v>
      </c>
      <c r="E7586" s="165">
        <v>17</v>
      </c>
    </row>
    <row r="7587" spans="1:5" x14ac:dyDescent="0.25">
      <c r="A7587" s="216" t="s">
        <v>10082</v>
      </c>
      <c r="B7587" s="218">
        <v>1</v>
      </c>
      <c r="C7587" s="220" t="s">
        <v>4417</v>
      </c>
      <c r="D7587" s="220" t="s">
        <v>87</v>
      </c>
      <c r="E7587" s="165">
        <v>17</v>
      </c>
    </row>
    <row r="7588" spans="1:5" x14ac:dyDescent="0.25">
      <c r="A7588" s="216" t="s">
        <v>10087</v>
      </c>
      <c r="B7588" s="218" t="s">
        <v>48</v>
      </c>
      <c r="C7588" s="220" t="s">
        <v>10088</v>
      </c>
      <c r="D7588" s="220" t="s">
        <v>75</v>
      </c>
      <c r="E7588" s="165">
        <v>17</v>
      </c>
    </row>
    <row r="7589" spans="1:5" x14ac:dyDescent="0.25">
      <c r="A7589" s="216" t="s">
        <v>10185</v>
      </c>
      <c r="B7589" s="218" t="s">
        <v>48</v>
      </c>
      <c r="C7589" s="220" t="s">
        <v>390</v>
      </c>
      <c r="D7589" s="220" t="s">
        <v>75</v>
      </c>
      <c r="E7589" s="165">
        <v>17</v>
      </c>
    </row>
    <row r="7590" spans="1:5" x14ac:dyDescent="0.25">
      <c r="A7590" s="216" t="s">
        <v>10230</v>
      </c>
      <c r="B7590" s="218" t="s">
        <v>48</v>
      </c>
      <c r="C7590" s="220" t="s">
        <v>10231</v>
      </c>
      <c r="D7590" s="220" t="s">
        <v>59</v>
      </c>
      <c r="E7590" s="165">
        <v>17</v>
      </c>
    </row>
    <row r="7591" spans="1:5" x14ac:dyDescent="0.25">
      <c r="A7591" s="216" t="s">
        <v>7129</v>
      </c>
      <c r="B7591" s="218" t="s">
        <v>48</v>
      </c>
      <c r="C7591" s="220" t="s">
        <v>319</v>
      </c>
      <c r="D7591" s="220" t="s">
        <v>53</v>
      </c>
      <c r="E7591" s="165">
        <v>17</v>
      </c>
    </row>
    <row r="7592" spans="1:5" x14ac:dyDescent="0.25">
      <c r="A7592" s="216" t="s">
        <v>10115</v>
      </c>
      <c r="B7592" s="218">
        <v>1</v>
      </c>
      <c r="C7592" s="220" t="s">
        <v>65</v>
      </c>
      <c r="D7592" s="220" t="s">
        <v>66</v>
      </c>
      <c r="E7592" s="165">
        <v>17</v>
      </c>
    </row>
    <row r="7593" spans="1:5" x14ac:dyDescent="0.25">
      <c r="A7593" s="216" t="s">
        <v>11783</v>
      </c>
      <c r="B7593" s="218">
        <v>1</v>
      </c>
      <c r="C7593" s="220" t="s">
        <v>891</v>
      </c>
      <c r="D7593" s="220" t="s">
        <v>56</v>
      </c>
      <c r="E7593" s="165">
        <v>17</v>
      </c>
    </row>
    <row r="7594" spans="1:5" x14ac:dyDescent="0.25">
      <c r="A7594" s="216" t="s">
        <v>9881</v>
      </c>
      <c r="B7594" s="218" t="s">
        <v>48</v>
      </c>
      <c r="C7594" s="220" t="s">
        <v>2105</v>
      </c>
      <c r="D7594" s="220" t="s">
        <v>59</v>
      </c>
      <c r="E7594" s="165">
        <v>17</v>
      </c>
    </row>
    <row r="7595" spans="1:5" x14ac:dyDescent="0.25">
      <c r="A7595" s="216" t="s">
        <v>7086</v>
      </c>
      <c r="B7595" s="218">
        <v>1</v>
      </c>
      <c r="C7595" s="220" t="s">
        <v>7087</v>
      </c>
      <c r="D7595" s="220" t="s">
        <v>63</v>
      </c>
      <c r="E7595" s="165">
        <v>17</v>
      </c>
    </row>
    <row r="7596" spans="1:5" x14ac:dyDescent="0.25">
      <c r="A7596" s="216" t="s">
        <v>10117</v>
      </c>
      <c r="B7596" s="218">
        <v>1</v>
      </c>
      <c r="C7596" s="220" t="s">
        <v>10118</v>
      </c>
      <c r="D7596" s="220" t="s">
        <v>53</v>
      </c>
      <c r="E7596" s="165">
        <v>16</v>
      </c>
    </row>
    <row r="7597" spans="1:5" x14ac:dyDescent="0.25">
      <c r="A7597" s="216" t="s">
        <v>9655</v>
      </c>
      <c r="B7597" s="218" t="s">
        <v>48</v>
      </c>
      <c r="C7597" s="220" t="s">
        <v>3056</v>
      </c>
      <c r="D7597" s="220" t="s">
        <v>90</v>
      </c>
      <c r="E7597" s="165">
        <v>16</v>
      </c>
    </row>
    <row r="7598" spans="1:5" x14ac:dyDescent="0.25">
      <c r="A7598" s="216" t="s">
        <v>10109</v>
      </c>
      <c r="B7598" s="218">
        <v>1</v>
      </c>
      <c r="C7598" s="220" t="s">
        <v>10110</v>
      </c>
      <c r="D7598" s="220" t="s">
        <v>166</v>
      </c>
      <c r="E7598" s="165">
        <v>16</v>
      </c>
    </row>
    <row r="7599" spans="1:5" x14ac:dyDescent="0.25">
      <c r="A7599" s="216" t="s">
        <v>10131</v>
      </c>
      <c r="B7599" s="218">
        <v>1</v>
      </c>
      <c r="C7599" s="220" t="s">
        <v>10132</v>
      </c>
      <c r="D7599" s="220" t="s">
        <v>63</v>
      </c>
      <c r="E7599" s="165">
        <v>16</v>
      </c>
    </row>
    <row r="7600" spans="1:5" x14ac:dyDescent="0.25">
      <c r="A7600" s="216" t="s">
        <v>10326</v>
      </c>
      <c r="B7600" s="218" t="s">
        <v>48</v>
      </c>
      <c r="C7600" s="220" t="s">
        <v>10327</v>
      </c>
      <c r="D7600" s="220" t="s">
        <v>82</v>
      </c>
      <c r="E7600" s="165">
        <v>16</v>
      </c>
    </row>
    <row r="7601" spans="1:5" x14ac:dyDescent="0.25">
      <c r="A7601" s="216" t="s">
        <v>9878</v>
      </c>
      <c r="B7601" s="218" t="s">
        <v>48</v>
      </c>
      <c r="C7601" s="220" t="s">
        <v>235</v>
      </c>
      <c r="D7601" s="220" t="s">
        <v>710</v>
      </c>
      <c r="E7601" s="165">
        <v>16</v>
      </c>
    </row>
    <row r="7602" spans="1:5" x14ac:dyDescent="0.25">
      <c r="A7602" s="216" t="s">
        <v>9921</v>
      </c>
      <c r="B7602" s="218" t="s">
        <v>48</v>
      </c>
      <c r="C7602" s="220" t="s">
        <v>7906</v>
      </c>
      <c r="D7602" s="220" t="s">
        <v>59</v>
      </c>
      <c r="E7602" s="165">
        <v>16</v>
      </c>
    </row>
    <row r="7603" spans="1:5" x14ac:dyDescent="0.25">
      <c r="A7603" s="216" t="s">
        <v>9717</v>
      </c>
      <c r="B7603" s="218">
        <v>1</v>
      </c>
      <c r="C7603" s="220" t="s">
        <v>511</v>
      </c>
      <c r="D7603" s="220" t="s">
        <v>394</v>
      </c>
      <c r="E7603" s="165">
        <v>16</v>
      </c>
    </row>
    <row r="7604" spans="1:5" x14ac:dyDescent="0.25">
      <c r="A7604" s="216" t="s">
        <v>10138</v>
      </c>
      <c r="B7604" s="218">
        <v>1</v>
      </c>
      <c r="C7604" s="220" t="s">
        <v>8791</v>
      </c>
      <c r="D7604" s="220" t="s">
        <v>56</v>
      </c>
      <c r="E7604" s="165">
        <v>15</v>
      </c>
    </row>
    <row r="7605" spans="1:5" x14ac:dyDescent="0.25">
      <c r="A7605" s="216" t="s">
        <v>10127</v>
      </c>
      <c r="B7605" s="218">
        <v>1</v>
      </c>
      <c r="C7605" s="220" t="s">
        <v>10128</v>
      </c>
      <c r="D7605" s="220" t="s">
        <v>264</v>
      </c>
      <c r="E7605" s="165">
        <v>15</v>
      </c>
    </row>
    <row r="7606" spans="1:5" x14ac:dyDescent="0.25">
      <c r="A7606" s="216" t="s">
        <v>10116</v>
      </c>
      <c r="B7606" s="218">
        <v>1</v>
      </c>
      <c r="C7606" s="220" t="s">
        <v>289</v>
      </c>
      <c r="D7606" s="220" t="s">
        <v>69</v>
      </c>
      <c r="E7606" s="165">
        <v>15</v>
      </c>
    </row>
    <row r="7607" spans="1:5" x14ac:dyDescent="0.25">
      <c r="A7607" s="216" t="s">
        <v>3903</v>
      </c>
      <c r="B7607" s="218" t="s">
        <v>48</v>
      </c>
      <c r="C7607" s="220" t="s">
        <v>3904</v>
      </c>
      <c r="D7607" s="220" t="s">
        <v>585</v>
      </c>
      <c r="E7607" s="165">
        <v>15</v>
      </c>
    </row>
    <row r="7608" spans="1:5" x14ac:dyDescent="0.25">
      <c r="A7608" s="216" t="s">
        <v>10139</v>
      </c>
      <c r="B7608" s="218">
        <v>1</v>
      </c>
      <c r="C7608" s="220" t="s">
        <v>300</v>
      </c>
      <c r="D7608" s="220" t="s">
        <v>69</v>
      </c>
      <c r="E7608" s="165">
        <v>15</v>
      </c>
    </row>
    <row r="7609" spans="1:5" x14ac:dyDescent="0.25">
      <c r="A7609" s="216" t="s">
        <v>10178</v>
      </c>
      <c r="B7609" s="218" t="s">
        <v>48</v>
      </c>
      <c r="C7609" s="220" t="s">
        <v>4985</v>
      </c>
      <c r="D7609" s="220" t="s">
        <v>90</v>
      </c>
      <c r="E7609" s="165">
        <v>15</v>
      </c>
    </row>
    <row r="7610" spans="1:5" x14ac:dyDescent="0.25">
      <c r="A7610" s="216" t="s">
        <v>9704</v>
      </c>
      <c r="B7610" s="218" t="s">
        <v>48</v>
      </c>
      <c r="C7610" s="220" t="s">
        <v>4376</v>
      </c>
      <c r="D7610" s="220" t="s">
        <v>166</v>
      </c>
      <c r="E7610" s="165">
        <v>15</v>
      </c>
    </row>
    <row r="7611" spans="1:5" x14ac:dyDescent="0.25">
      <c r="A7611" s="216" t="s">
        <v>11784</v>
      </c>
      <c r="B7611" s="218" t="s">
        <v>48</v>
      </c>
      <c r="C7611" s="220" t="s">
        <v>2017</v>
      </c>
      <c r="D7611" s="220" t="s">
        <v>166</v>
      </c>
      <c r="E7611" s="165">
        <v>15</v>
      </c>
    </row>
    <row r="7612" spans="1:5" x14ac:dyDescent="0.25">
      <c r="A7612" s="216" t="s">
        <v>10033</v>
      </c>
      <c r="B7612" s="218">
        <v>1</v>
      </c>
      <c r="C7612" s="220" t="s">
        <v>10034</v>
      </c>
      <c r="D7612" s="220" t="s">
        <v>166</v>
      </c>
      <c r="E7612" s="165">
        <v>15</v>
      </c>
    </row>
    <row r="7613" spans="1:5" x14ac:dyDescent="0.25">
      <c r="A7613" s="216" t="s">
        <v>10144</v>
      </c>
      <c r="B7613" s="218">
        <v>1</v>
      </c>
      <c r="C7613" s="220" t="s">
        <v>2019</v>
      </c>
      <c r="D7613" s="220" t="s">
        <v>50</v>
      </c>
      <c r="E7613" s="165">
        <v>15</v>
      </c>
    </row>
    <row r="7614" spans="1:5" x14ac:dyDescent="0.25">
      <c r="A7614" s="216" t="s">
        <v>10229</v>
      </c>
      <c r="B7614" s="218" t="s">
        <v>48</v>
      </c>
      <c r="C7614" s="220" t="s">
        <v>9796</v>
      </c>
      <c r="D7614" s="220" t="s">
        <v>72</v>
      </c>
      <c r="E7614" s="165">
        <v>15</v>
      </c>
    </row>
    <row r="7615" spans="1:5" x14ac:dyDescent="0.25">
      <c r="A7615" s="216" t="s">
        <v>11785</v>
      </c>
      <c r="B7615" s="218" t="s">
        <v>48</v>
      </c>
      <c r="C7615" s="220" t="s">
        <v>10123</v>
      </c>
      <c r="D7615" s="220" t="s">
        <v>53</v>
      </c>
      <c r="E7615" s="165">
        <v>15</v>
      </c>
    </row>
    <row r="7616" spans="1:5" x14ac:dyDescent="0.25">
      <c r="A7616" s="216" t="s">
        <v>10169</v>
      </c>
      <c r="B7616" s="218" t="s">
        <v>48</v>
      </c>
      <c r="C7616" s="220" t="s">
        <v>10022</v>
      </c>
      <c r="D7616" s="220" t="s">
        <v>90</v>
      </c>
      <c r="E7616" s="165">
        <v>15</v>
      </c>
    </row>
    <row r="7617" spans="1:5" x14ac:dyDescent="0.25">
      <c r="A7617" s="216" t="s">
        <v>10170</v>
      </c>
      <c r="B7617" s="218" t="s">
        <v>48</v>
      </c>
      <c r="C7617" s="220" t="s">
        <v>313</v>
      </c>
      <c r="D7617" s="220" t="s">
        <v>90</v>
      </c>
      <c r="E7617" s="165">
        <v>15</v>
      </c>
    </row>
    <row r="7618" spans="1:5" x14ac:dyDescent="0.25">
      <c r="A7618" s="216" t="s">
        <v>10103</v>
      </c>
      <c r="B7618" s="218" t="s">
        <v>48</v>
      </c>
      <c r="C7618" s="220" t="s">
        <v>10104</v>
      </c>
      <c r="D7618" s="220" t="s">
        <v>59</v>
      </c>
      <c r="E7618" s="165">
        <v>15</v>
      </c>
    </row>
    <row r="7619" spans="1:5" x14ac:dyDescent="0.25">
      <c r="A7619" s="216" t="s">
        <v>9639</v>
      </c>
      <c r="B7619" s="218" t="s">
        <v>48</v>
      </c>
      <c r="C7619" s="220" t="s">
        <v>89</v>
      </c>
      <c r="D7619" s="220" t="s">
        <v>90</v>
      </c>
      <c r="E7619" s="165">
        <v>15</v>
      </c>
    </row>
    <row r="7620" spans="1:5" x14ac:dyDescent="0.25">
      <c r="A7620" s="216" t="s">
        <v>10077</v>
      </c>
      <c r="B7620" s="218">
        <v>1</v>
      </c>
      <c r="C7620" s="220" t="s">
        <v>235</v>
      </c>
      <c r="D7620" s="220" t="s">
        <v>166</v>
      </c>
      <c r="E7620" s="165">
        <v>14</v>
      </c>
    </row>
    <row r="7621" spans="1:5" x14ac:dyDescent="0.25">
      <c r="A7621" s="216" t="s">
        <v>11786</v>
      </c>
      <c r="B7621" s="218" t="s">
        <v>48</v>
      </c>
      <c r="C7621" s="220" t="s">
        <v>6511</v>
      </c>
      <c r="D7621" s="220" t="s">
        <v>82</v>
      </c>
      <c r="E7621" s="165">
        <v>14</v>
      </c>
    </row>
    <row r="7622" spans="1:5" x14ac:dyDescent="0.25">
      <c r="A7622" s="216" t="s">
        <v>6633</v>
      </c>
      <c r="B7622" s="218" t="s">
        <v>48</v>
      </c>
      <c r="C7622" s="220" t="s">
        <v>6634</v>
      </c>
      <c r="D7622" s="220" t="s">
        <v>585</v>
      </c>
      <c r="E7622" s="165">
        <v>14</v>
      </c>
    </row>
    <row r="7623" spans="1:5" x14ac:dyDescent="0.25">
      <c r="A7623" s="216" t="s">
        <v>10106</v>
      </c>
      <c r="B7623" s="218">
        <v>1</v>
      </c>
      <c r="C7623" s="220" t="s">
        <v>10107</v>
      </c>
      <c r="D7623" s="220" t="s">
        <v>523</v>
      </c>
      <c r="E7623" s="165">
        <v>14</v>
      </c>
    </row>
    <row r="7624" spans="1:5" x14ac:dyDescent="0.25">
      <c r="A7624" s="216" t="s">
        <v>6412</v>
      </c>
      <c r="B7624" s="218" t="s">
        <v>48</v>
      </c>
      <c r="C7624" s="220" t="s">
        <v>6413</v>
      </c>
      <c r="D7624" s="220" t="s">
        <v>59</v>
      </c>
      <c r="E7624" s="165">
        <v>14</v>
      </c>
    </row>
    <row r="7625" spans="1:5" x14ac:dyDescent="0.25">
      <c r="A7625" s="216" t="s">
        <v>9213</v>
      </c>
      <c r="B7625" s="218" t="s">
        <v>48</v>
      </c>
      <c r="C7625" s="220" t="s">
        <v>3915</v>
      </c>
      <c r="D7625" s="220" t="s">
        <v>75</v>
      </c>
      <c r="E7625" s="165">
        <v>14</v>
      </c>
    </row>
    <row r="7626" spans="1:5" x14ac:dyDescent="0.25">
      <c r="A7626" s="216" t="s">
        <v>10073</v>
      </c>
      <c r="B7626" s="218">
        <v>1</v>
      </c>
      <c r="C7626" s="220" t="s">
        <v>10074</v>
      </c>
      <c r="D7626" s="220" t="s">
        <v>201</v>
      </c>
      <c r="E7626" s="165">
        <v>14</v>
      </c>
    </row>
    <row r="7627" spans="1:5" x14ac:dyDescent="0.25">
      <c r="A7627" s="216" t="s">
        <v>10101</v>
      </c>
      <c r="B7627" s="218" t="s">
        <v>48</v>
      </c>
      <c r="C7627" s="220" t="s">
        <v>3357</v>
      </c>
      <c r="D7627" s="220" t="s">
        <v>53</v>
      </c>
      <c r="E7627" s="165">
        <v>14</v>
      </c>
    </row>
    <row r="7628" spans="1:5" x14ac:dyDescent="0.25">
      <c r="A7628" s="216" t="s">
        <v>10179</v>
      </c>
      <c r="B7628" s="218" t="s">
        <v>48</v>
      </c>
      <c r="C7628" s="220" t="s">
        <v>579</v>
      </c>
      <c r="D7628" s="220" t="s">
        <v>82</v>
      </c>
      <c r="E7628" s="165">
        <v>14</v>
      </c>
    </row>
    <row r="7629" spans="1:5" x14ac:dyDescent="0.25">
      <c r="A7629" s="216" t="s">
        <v>10141</v>
      </c>
      <c r="B7629" s="218">
        <v>1</v>
      </c>
      <c r="C7629" s="220" t="s">
        <v>10142</v>
      </c>
      <c r="D7629" s="220" t="s">
        <v>56</v>
      </c>
      <c r="E7629" s="165">
        <v>14</v>
      </c>
    </row>
    <row r="7630" spans="1:5" x14ac:dyDescent="0.25">
      <c r="A7630" s="216" t="s">
        <v>10112</v>
      </c>
      <c r="B7630" s="218">
        <v>1</v>
      </c>
      <c r="C7630" s="220" t="s">
        <v>10113</v>
      </c>
      <c r="D7630" s="220" t="s">
        <v>50</v>
      </c>
      <c r="E7630" s="165">
        <v>14</v>
      </c>
    </row>
    <row r="7631" spans="1:5" x14ac:dyDescent="0.25">
      <c r="A7631" s="216" t="s">
        <v>9245</v>
      </c>
      <c r="B7631" s="218" t="s">
        <v>48</v>
      </c>
      <c r="C7631" s="220" t="s">
        <v>9246</v>
      </c>
      <c r="D7631" s="220" t="s">
        <v>90</v>
      </c>
      <c r="E7631" s="165">
        <v>14</v>
      </c>
    </row>
    <row r="7632" spans="1:5" x14ac:dyDescent="0.25">
      <c r="A7632" s="216" t="s">
        <v>9122</v>
      </c>
      <c r="B7632" s="218" t="s">
        <v>48</v>
      </c>
      <c r="C7632" s="220" t="s">
        <v>483</v>
      </c>
      <c r="D7632" s="220" t="s">
        <v>90</v>
      </c>
      <c r="E7632" s="165">
        <v>14</v>
      </c>
    </row>
    <row r="7633" spans="1:5" x14ac:dyDescent="0.25">
      <c r="A7633" s="216" t="s">
        <v>11787</v>
      </c>
      <c r="B7633" s="218">
        <v>1</v>
      </c>
      <c r="C7633" s="220" t="s">
        <v>5210</v>
      </c>
      <c r="D7633" s="220" t="s">
        <v>69</v>
      </c>
      <c r="E7633" s="165">
        <v>14</v>
      </c>
    </row>
    <row r="7634" spans="1:5" x14ac:dyDescent="0.25">
      <c r="A7634" s="216" t="s">
        <v>11788</v>
      </c>
      <c r="B7634" s="218" t="s">
        <v>48</v>
      </c>
      <c r="C7634" s="220" t="s">
        <v>300</v>
      </c>
      <c r="D7634" s="220" t="s">
        <v>69</v>
      </c>
      <c r="E7634" s="165">
        <v>14</v>
      </c>
    </row>
    <row r="7635" spans="1:5" x14ac:dyDescent="0.25">
      <c r="A7635" s="216" t="s">
        <v>10808</v>
      </c>
      <c r="B7635" s="218">
        <v>1</v>
      </c>
      <c r="C7635" s="220" t="s">
        <v>11789</v>
      </c>
      <c r="D7635" s="220" t="s">
        <v>87</v>
      </c>
      <c r="E7635" s="165">
        <v>14</v>
      </c>
    </row>
    <row r="7636" spans="1:5" x14ac:dyDescent="0.25">
      <c r="A7636" s="216" t="s">
        <v>10152</v>
      </c>
      <c r="B7636" s="218">
        <v>1</v>
      </c>
      <c r="C7636" s="220" t="s">
        <v>10153</v>
      </c>
      <c r="D7636" s="220" t="s">
        <v>59</v>
      </c>
      <c r="E7636" s="165">
        <v>14</v>
      </c>
    </row>
    <row r="7637" spans="1:5" x14ac:dyDescent="0.25">
      <c r="A7637" s="216" t="s">
        <v>9967</v>
      </c>
      <c r="B7637" s="218" t="s">
        <v>48</v>
      </c>
      <c r="C7637" s="220" t="s">
        <v>89</v>
      </c>
      <c r="D7637" s="220" t="s">
        <v>90</v>
      </c>
      <c r="E7637" s="165">
        <v>14</v>
      </c>
    </row>
    <row r="7638" spans="1:5" x14ac:dyDescent="0.25">
      <c r="A7638" s="216" t="s">
        <v>10156</v>
      </c>
      <c r="B7638" s="218">
        <v>1</v>
      </c>
      <c r="C7638" s="220" t="s">
        <v>10157</v>
      </c>
      <c r="D7638" s="220" t="s">
        <v>56</v>
      </c>
      <c r="E7638" s="165">
        <v>14</v>
      </c>
    </row>
    <row r="7639" spans="1:5" x14ac:dyDescent="0.25">
      <c r="A7639" s="216" t="s">
        <v>10158</v>
      </c>
      <c r="B7639" s="218">
        <v>1</v>
      </c>
      <c r="C7639" s="220" t="s">
        <v>1889</v>
      </c>
      <c r="D7639" s="220" t="s">
        <v>78</v>
      </c>
      <c r="E7639" s="165">
        <v>13</v>
      </c>
    </row>
    <row r="7640" spans="1:5" x14ac:dyDescent="0.25">
      <c r="A7640" s="216" t="s">
        <v>8624</v>
      </c>
      <c r="B7640" s="218">
        <v>1</v>
      </c>
      <c r="C7640" s="220" t="s">
        <v>4612</v>
      </c>
      <c r="D7640" s="220" t="s">
        <v>66</v>
      </c>
      <c r="E7640" s="165">
        <v>13</v>
      </c>
    </row>
    <row r="7641" spans="1:5" x14ac:dyDescent="0.25">
      <c r="A7641" s="216" t="s">
        <v>10163</v>
      </c>
      <c r="B7641" s="218">
        <v>1</v>
      </c>
      <c r="C7641" s="220" t="s">
        <v>10164</v>
      </c>
      <c r="D7641" s="220" t="s">
        <v>56</v>
      </c>
      <c r="E7641" s="165">
        <v>13</v>
      </c>
    </row>
    <row r="7642" spans="1:5" x14ac:dyDescent="0.25">
      <c r="A7642" s="216" t="s">
        <v>11790</v>
      </c>
      <c r="B7642" s="218" t="s">
        <v>48</v>
      </c>
      <c r="C7642" s="220" t="s">
        <v>11791</v>
      </c>
      <c r="D7642" s="220" t="s">
        <v>166</v>
      </c>
      <c r="E7642" s="165">
        <v>13</v>
      </c>
    </row>
    <row r="7643" spans="1:5" x14ac:dyDescent="0.25">
      <c r="A7643" s="216" t="s">
        <v>11792</v>
      </c>
      <c r="B7643" s="218" t="s">
        <v>48</v>
      </c>
      <c r="C7643" s="220" t="s">
        <v>270</v>
      </c>
      <c r="D7643" s="220" t="s">
        <v>177</v>
      </c>
      <c r="E7643" s="165">
        <v>13</v>
      </c>
    </row>
    <row r="7644" spans="1:5" x14ac:dyDescent="0.25">
      <c r="A7644" s="216" t="s">
        <v>7613</v>
      </c>
      <c r="B7644" s="218">
        <v>1</v>
      </c>
      <c r="C7644" s="220" t="s">
        <v>3349</v>
      </c>
      <c r="D7644" s="220" t="s">
        <v>142</v>
      </c>
      <c r="E7644" s="165">
        <v>13</v>
      </c>
    </row>
    <row r="7645" spans="1:5" x14ac:dyDescent="0.25">
      <c r="A7645" s="216" t="s">
        <v>11793</v>
      </c>
      <c r="B7645" s="218" t="s">
        <v>48</v>
      </c>
      <c r="C7645" s="220" t="s">
        <v>11794</v>
      </c>
      <c r="D7645" s="220" t="s">
        <v>710</v>
      </c>
      <c r="E7645" s="165">
        <v>13</v>
      </c>
    </row>
    <row r="7646" spans="1:5" x14ac:dyDescent="0.25">
      <c r="A7646" s="216" t="s">
        <v>10151</v>
      </c>
      <c r="B7646" s="218">
        <v>1</v>
      </c>
      <c r="C7646" s="220" t="s">
        <v>481</v>
      </c>
      <c r="D7646" s="220" t="s">
        <v>142</v>
      </c>
      <c r="E7646" s="165">
        <v>13</v>
      </c>
    </row>
    <row r="7647" spans="1:5" x14ac:dyDescent="0.25">
      <c r="A7647" s="216" t="s">
        <v>10137</v>
      </c>
      <c r="B7647" s="218">
        <v>1</v>
      </c>
      <c r="C7647" s="220" t="s">
        <v>221</v>
      </c>
      <c r="D7647" s="220" t="s">
        <v>87</v>
      </c>
      <c r="E7647" s="165">
        <v>13</v>
      </c>
    </row>
    <row r="7648" spans="1:5" x14ac:dyDescent="0.25">
      <c r="A7648" s="216" t="s">
        <v>9984</v>
      </c>
      <c r="B7648" s="218" t="s">
        <v>48</v>
      </c>
      <c r="C7648" s="220" t="s">
        <v>150</v>
      </c>
      <c r="D7648" s="220" t="s">
        <v>90</v>
      </c>
      <c r="E7648" s="165">
        <v>13</v>
      </c>
    </row>
    <row r="7649" spans="1:5" x14ac:dyDescent="0.25">
      <c r="A7649" s="216" t="s">
        <v>10368</v>
      </c>
      <c r="B7649" s="218" t="s">
        <v>48</v>
      </c>
      <c r="C7649" s="220" t="s">
        <v>1293</v>
      </c>
      <c r="D7649" s="220" t="s">
        <v>166</v>
      </c>
      <c r="E7649" s="165">
        <v>13</v>
      </c>
    </row>
    <row r="7650" spans="1:5" x14ac:dyDescent="0.25">
      <c r="A7650" s="216" t="s">
        <v>6176</v>
      </c>
      <c r="B7650" s="218" t="s">
        <v>48</v>
      </c>
      <c r="C7650" s="220" t="s">
        <v>6177</v>
      </c>
      <c r="D7650" s="220" t="s">
        <v>75</v>
      </c>
      <c r="E7650" s="165">
        <v>12</v>
      </c>
    </row>
    <row r="7651" spans="1:5" x14ac:dyDescent="0.25">
      <c r="A7651" s="216" t="s">
        <v>9052</v>
      </c>
      <c r="B7651" s="218" t="s">
        <v>48</v>
      </c>
      <c r="C7651" s="220" t="s">
        <v>9053</v>
      </c>
      <c r="D7651" s="220" t="s">
        <v>53</v>
      </c>
      <c r="E7651" s="165">
        <v>12</v>
      </c>
    </row>
    <row r="7652" spans="1:5" x14ac:dyDescent="0.25">
      <c r="A7652" s="216" t="s">
        <v>10245</v>
      </c>
      <c r="B7652" s="218" t="s">
        <v>48</v>
      </c>
      <c r="C7652" s="220" t="s">
        <v>161</v>
      </c>
      <c r="D7652" s="220" t="s">
        <v>90</v>
      </c>
      <c r="E7652" s="165">
        <v>12</v>
      </c>
    </row>
    <row r="7653" spans="1:5" x14ac:dyDescent="0.25">
      <c r="A7653" s="216" t="s">
        <v>10276</v>
      </c>
      <c r="B7653" s="218" t="s">
        <v>48</v>
      </c>
      <c r="C7653" s="220" t="s">
        <v>2496</v>
      </c>
      <c r="D7653" s="220" t="s">
        <v>90</v>
      </c>
      <c r="E7653" s="165">
        <v>12</v>
      </c>
    </row>
    <row r="7654" spans="1:5" x14ac:dyDescent="0.25">
      <c r="A7654" s="216" t="s">
        <v>11795</v>
      </c>
      <c r="B7654" s="218" t="s">
        <v>48</v>
      </c>
      <c r="C7654" s="220" t="s">
        <v>2370</v>
      </c>
      <c r="D7654" s="220" t="s">
        <v>166</v>
      </c>
      <c r="E7654" s="165">
        <v>12</v>
      </c>
    </row>
    <row r="7655" spans="1:5" x14ac:dyDescent="0.25">
      <c r="A7655" s="216" t="s">
        <v>10197</v>
      </c>
      <c r="B7655" s="218">
        <v>1</v>
      </c>
      <c r="C7655" s="220" t="s">
        <v>10198</v>
      </c>
      <c r="D7655" s="220" t="s">
        <v>50</v>
      </c>
      <c r="E7655" s="165">
        <v>12</v>
      </c>
    </row>
    <row r="7656" spans="1:5" x14ac:dyDescent="0.25">
      <c r="A7656" s="216" t="s">
        <v>10124</v>
      </c>
      <c r="B7656" s="218">
        <v>1</v>
      </c>
      <c r="C7656" s="220" t="s">
        <v>271</v>
      </c>
      <c r="D7656" s="220" t="s">
        <v>201</v>
      </c>
      <c r="E7656" s="165">
        <v>12</v>
      </c>
    </row>
    <row r="7657" spans="1:5" x14ac:dyDescent="0.25">
      <c r="A7657" s="216" t="s">
        <v>9374</v>
      </c>
      <c r="B7657" s="218">
        <v>1</v>
      </c>
      <c r="C7657" s="220" t="s">
        <v>9375</v>
      </c>
      <c r="D7657" s="220" t="s">
        <v>523</v>
      </c>
      <c r="E7657" s="165">
        <v>12</v>
      </c>
    </row>
    <row r="7658" spans="1:5" x14ac:dyDescent="0.25">
      <c r="A7658" s="216" t="s">
        <v>10187</v>
      </c>
      <c r="B7658" s="218">
        <v>1</v>
      </c>
      <c r="C7658" s="220" t="s">
        <v>367</v>
      </c>
      <c r="D7658" s="220" t="s">
        <v>56</v>
      </c>
      <c r="E7658" s="165">
        <v>12</v>
      </c>
    </row>
    <row r="7659" spans="1:5" x14ac:dyDescent="0.25">
      <c r="A7659" s="216" t="s">
        <v>10171</v>
      </c>
      <c r="B7659" s="218">
        <v>1</v>
      </c>
      <c r="C7659" s="220" t="s">
        <v>443</v>
      </c>
      <c r="D7659" s="220" t="s">
        <v>166</v>
      </c>
      <c r="E7659" s="165">
        <v>12</v>
      </c>
    </row>
    <row r="7660" spans="1:5" x14ac:dyDescent="0.25">
      <c r="A7660" s="216" t="s">
        <v>7726</v>
      </c>
      <c r="B7660" s="218">
        <v>1</v>
      </c>
      <c r="C7660" s="220" t="s">
        <v>7727</v>
      </c>
      <c r="D7660" s="220" t="s">
        <v>272</v>
      </c>
      <c r="E7660" s="165">
        <v>12</v>
      </c>
    </row>
    <row r="7661" spans="1:5" x14ac:dyDescent="0.25">
      <c r="A7661" s="216" t="s">
        <v>11796</v>
      </c>
      <c r="B7661" s="218">
        <v>1</v>
      </c>
      <c r="C7661" s="220" t="s">
        <v>5994</v>
      </c>
      <c r="D7661" s="220" t="s">
        <v>108</v>
      </c>
      <c r="E7661" s="165">
        <v>12</v>
      </c>
    </row>
    <row r="7662" spans="1:5" x14ac:dyDescent="0.25">
      <c r="A7662" s="216" t="s">
        <v>10211</v>
      </c>
      <c r="B7662" s="218">
        <v>1</v>
      </c>
      <c r="C7662" s="220" t="s">
        <v>6511</v>
      </c>
      <c r="D7662" s="220" t="s">
        <v>98</v>
      </c>
      <c r="E7662" s="165">
        <v>11</v>
      </c>
    </row>
    <row r="7663" spans="1:5" x14ac:dyDescent="0.25">
      <c r="A7663" s="216" t="s">
        <v>10194</v>
      </c>
      <c r="B7663" s="218">
        <v>1</v>
      </c>
      <c r="C7663" s="220" t="s">
        <v>10195</v>
      </c>
      <c r="D7663" s="220" t="s">
        <v>75</v>
      </c>
      <c r="E7663" s="165">
        <v>11</v>
      </c>
    </row>
    <row r="7664" spans="1:5" x14ac:dyDescent="0.25">
      <c r="A7664" s="216" t="s">
        <v>10348</v>
      </c>
      <c r="B7664" s="218" t="s">
        <v>48</v>
      </c>
      <c r="C7664" s="220" t="s">
        <v>10153</v>
      </c>
      <c r="D7664" s="220" t="s">
        <v>59</v>
      </c>
      <c r="E7664" s="165">
        <v>11</v>
      </c>
    </row>
    <row r="7665" spans="1:5" x14ac:dyDescent="0.25">
      <c r="A7665" s="216" t="s">
        <v>9913</v>
      </c>
      <c r="B7665" s="218" t="s">
        <v>48</v>
      </c>
      <c r="C7665" s="220" t="s">
        <v>9914</v>
      </c>
      <c r="D7665" s="220" t="s">
        <v>90</v>
      </c>
      <c r="E7665" s="165">
        <v>11</v>
      </c>
    </row>
    <row r="7666" spans="1:5" x14ac:dyDescent="0.25">
      <c r="A7666" s="216" t="s">
        <v>10182</v>
      </c>
      <c r="B7666" s="218">
        <v>1</v>
      </c>
      <c r="C7666" s="220" t="s">
        <v>86</v>
      </c>
      <c r="D7666" s="220" t="s">
        <v>78</v>
      </c>
      <c r="E7666" s="165">
        <v>11</v>
      </c>
    </row>
    <row r="7667" spans="1:5" x14ac:dyDescent="0.25">
      <c r="A7667" s="216" t="s">
        <v>10213</v>
      </c>
      <c r="B7667" s="218">
        <v>1</v>
      </c>
      <c r="C7667" s="220" t="s">
        <v>864</v>
      </c>
      <c r="D7667" s="220" t="s">
        <v>63</v>
      </c>
      <c r="E7667" s="165">
        <v>11</v>
      </c>
    </row>
    <row r="7668" spans="1:5" x14ac:dyDescent="0.25">
      <c r="A7668" s="216" t="s">
        <v>11797</v>
      </c>
      <c r="B7668" s="218" t="s">
        <v>48</v>
      </c>
      <c r="C7668" s="220" t="s">
        <v>3941</v>
      </c>
      <c r="D7668" s="220" t="s">
        <v>90</v>
      </c>
      <c r="E7668" s="165">
        <v>11</v>
      </c>
    </row>
    <row r="7669" spans="1:5" x14ac:dyDescent="0.25">
      <c r="A7669" s="216" t="s">
        <v>10166</v>
      </c>
      <c r="B7669" s="218">
        <v>1</v>
      </c>
      <c r="C7669" s="220" t="s">
        <v>8000</v>
      </c>
      <c r="D7669" s="220" t="s">
        <v>93</v>
      </c>
      <c r="E7669" s="165">
        <v>11</v>
      </c>
    </row>
    <row r="7670" spans="1:5" x14ac:dyDescent="0.25">
      <c r="A7670" s="216" t="s">
        <v>9676</v>
      </c>
      <c r="B7670" s="218">
        <v>1</v>
      </c>
      <c r="C7670" s="220" t="s">
        <v>86</v>
      </c>
      <c r="D7670" s="220" t="s">
        <v>78</v>
      </c>
      <c r="E7670" s="165">
        <v>11</v>
      </c>
    </row>
    <row r="7671" spans="1:5" x14ac:dyDescent="0.25">
      <c r="A7671" s="216" t="s">
        <v>11798</v>
      </c>
      <c r="B7671" s="218">
        <v>1</v>
      </c>
      <c r="C7671" s="220" t="s">
        <v>11799</v>
      </c>
      <c r="D7671" s="220" t="s">
        <v>78</v>
      </c>
      <c r="E7671" s="165">
        <v>11</v>
      </c>
    </row>
    <row r="7672" spans="1:5" x14ac:dyDescent="0.25">
      <c r="A7672" s="216" t="s">
        <v>10184</v>
      </c>
      <c r="B7672" s="218" t="s">
        <v>48</v>
      </c>
      <c r="C7672" s="220" t="s">
        <v>8607</v>
      </c>
      <c r="D7672" s="220" t="s">
        <v>82</v>
      </c>
      <c r="E7672" s="165">
        <v>11</v>
      </c>
    </row>
    <row r="7673" spans="1:5" x14ac:dyDescent="0.25">
      <c r="A7673" s="216" t="s">
        <v>10219</v>
      </c>
      <c r="B7673" s="218">
        <v>1</v>
      </c>
      <c r="C7673" s="220" t="s">
        <v>7053</v>
      </c>
      <c r="D7673" s="220" t="s">
        <v>59</v>
      </c>
      <c r="E7673" s="165">
        <v>11</v>
      </c>
    </row>
    <row r="7674" spans="1:5" x14ac:dyDescent="0.25">
      <c r="A7674" s="216" t="s">
        <v>10147</v>
      </c>
      <c r="B7674" s="218">
        <v>1</v>
      </c>
      <c r="C7674" s="220" t="s">
        <v>10148</v>
      </c>
      <c r="D7674" s="220" t="s">
        <v>53</v>
      </c>
      <c r="E7674" s="165">
        <v>11</v>
      </c>
    </row>
    <row r="7675" spans="1:5" x14ac:dyDescent="0.25">
      <c r="A7675" s="216" t="s">
        <v>10263</v>
      </c>
      <c r="B7675" s="218" t="s">
        <v>48</v>
      </c>
      <c r="C7675" s="220" t="s">
        <v>221</v>
      </c>
      <c r="D7675" s="220" t="s">
        <v>166</v>
      </c>
      <c r="E7675" s="165">
        <v>11</v>
      </c>
    </row>
    <row r="7676" spans="1:5" x14ac:dyDescent="0.25">
      <c r="A7676" s="216" t="s">
        <v>10186</v>
      </c>
      <c r="B7676" s="218">
        <v>1</v>
      </c>
      <c r="C7676" s="220" t="s">
        <v>77</v>
      </c>
      <c r="D7676" s="220" t="s">
        <v>78</v>
      </c>
      <c r="E7676" s="165">
        <v>11</v>
      </c>
    </row>
    <row r="7677" spans="1:5" x14ac:dyDescent="0.25">
      <c r="A7677" s="216" t="s">
        <v>11800</v>
      </c>
      <c r="B7677" s="218">
        <v>1</v>
      </c>
      <c r="C7677" s="220" t="s">
        <v>8911</v>
      </c>
      <c r="D7677" s="220" t="s">
        <v>72</v>
      </c>
      <c r="E7677" s="165">
        <v>11</v>
      </c>
    </row>
    <row r="7678" spans="1:5" x14ac:dyDescent="0.25">
      <c r="A7678" s="216" t="s">
        <v>10233</v>
      </c>
      <c r="B7678" s="218">
        <v>1</v>
      </c>
      <c r="C7678" s="220" t="s">
        <v>3825</v>
      </c>
      <c r="D7678" s="220" t="s">
        <v>53</v>
      </c>
      <c r="E7678" s="165">
        <v>11</v>
      </c>
    </row>
    <row r="7679" spans="1:5" x14ac:dyDescent="0.25">
      <c r="A7679" s="216" t="s">
        <v>9315</v>
      </c>
      <c r="B7679" s="218" t="s">
        <v>48</v>
      </c>
      <c r="C7679" s="220" t="s">
        <v>283</v>
      </c>
      <c r="D7679" s="220" t="s">
        <v>59</v>
      </c>
      <c r="E7679" s="165">
        <v>11</v>
      </c>
    </row>
    <row r="7680" spans="1:5" x14ac:dyDescent="0.25">
      <c r="A7680" s="216" t="s">
        <v>10191</v>
      </c>
      <c r="B7680" s="218">
        <v>1</v>
      </c>
      <c r="C7680" s="220" t="s">
        <v>270</v>
      </c>
      <c r="D7680" s="220" t="s">
        <v>177</v>
      </c>
      <c r="E7680" s="165">
        <v>11</v>
      </c>
    </row>
    <row r="7681" spans="1:5" x14ac:dyDescent="0.25">
      <c r="A7681" s="216" t="s">
        <v>10224</v>
      </c>
      <c r="B7681" s="218" t="s">
        <v>48</v>
      </c>
      <c r="C7681" s="220" t="s">
        <v>756</v>
      </c>
      <c r="D7681" s="220" t="s">
        <v>272</v>
      </c>
      <c r="E7681" s="165">
        <v>11</v>
      </c>
    </row>
    <row r="7682" spans="1:5" x14ac:dyDescent="0.25">
      <c r="A7682" s="216" t="s">
        <v>10192</v>
      </c>
      <c r="B7682" s="218">
        <v>1</v>
      </c>
      <c r="C7682" s="220" t="s">
        <v>86</v>
      </c>
      <c r="D7682" s="220" t="s">
        <v>78</v>
      </c>
      <c r="E7682" s="165">
        <v>11</v>
      </c>
    </row>
    <row r="7683" spans="1:5" x14ac:dyDescent="0.25">
      <c r="A7683" s="216" t="s">
        <v>11801</v>
      </c>
      <c r="B7683" s="218" t="s">
        <v>48</v>
      </c>
      <c r="C7683" s="220" t="s">
        <v>266</v>
      </c>
      <c r="D7683" s="220" t="s">
        <v>206</v>
      </c>
      <c r="E7683" s="165">
        <v>10</v>
      </c>
    </row>
    <row r="7684" spans="1:5" x14ac:dyDescent="0.25">
      <c r="A7684" s="216" t="s">
        <v>10225</v>
      </c>
      <c r="B7684" s="218">
        <v>1</v>
      </c>
      <c r="C7684" s="220" t="s">
        <v>1889</v>
      </c>
      <c r="D7684" s="220" t="s">
        <v>78</v>
      </c>
      <c r="E7684" s="165">
        <v>10</v>
      </c>
    </row>
    <row r="7685" spans="1:5" x14ac:dyDescent="0.25">
      <c r="A7685" s="216" t="s">
        <v>10239</v>
      </c>
      <c r="B7685" s="218">
        <v>1</v>
      </c>
      <c r="C7685" s="220" t="s">
        <v>3850</v>
      </c>
      <c r="D7685" s="220" t="s">
        <v>236</v>
      </c>
      <c r="E7685" s="165">
        <v>10</v>
      </c>
    </row>
    <row r="7686" spans="1:5" x14ac:dyDescent="0.25">
      <c r="A7686" s="216" t="s">
        <v>10140</v>
      </c>
      <c r="B7686" s="218">
        <v>1</v>
      </c>
      <c r="C7686" s="220" t="s">
        <v>8607</v>
      </c>
      <c r="D7686" s="220" t="s">
        <v>82</v>
      </c>
      <c r="E7686" s="165">
        <v>10</v>
      </c>
    </row>
    <row r="7687" spans="1:5" x14ac:dyDescent="0.25">
      <c r="A7687" s="216" t="s">
        <v>10250</v>
      </c>
      <c r="B7687" s="218">
        <v>1</v>
      </c>
      <c r="C7687" s="220" t="s">
        <v>9346</v>
      </c>
      <c r="D7687" s="220" t="s">
        <v>264</v>
      </c>
      <c r="E7687" s="165">
        <v>10</v>
      </c>
    </row>
    <row r="7688" spans="1:5" x14ac:dyDescent="0.25">
      <c r="A7688" s="216" t="s">
        <v>10072</v>
      </c>
      <c r="B7688" s="218" t="s">
        <v>48</v>
      </c>
      <c r="C7688" s="220" t="s">
        <v>313</v>
      </c>
      <c r="D7688" s="220" t="s">
        <v>90</v>
      </c>
      <c r="E7688" s="165">
        <v>10</v>
      </c>
    </row>
    <row r="7689" spans="1:5" x14ac:dyDescent="0.25">
      <c r="A7689" s="216" t="s">
        <v>10228</v>
      </c>
      <c r="B7689" s="218">
        <v>1</v>
      </c>
      <c r="C7689" s="220" t="s">
        <v>2578</v>
      </c>
      <c r="D7689" s="220" t="s">
        <v>56</v>
      </c>
      <c r="E7689" s="165">
        <v>10</v>
      </c>
    </row>
    <row r="7690" spans="1:5" x14ac:dyDescent="0.25">
      <c r="A7690" s="216" t="s">
        <v>10199</v>
      </c>
      <c r="B7690" s="218">
        <v>1</v>
      </c>
      <c r="C7690" s="220" t="s">
        <v>10200</v>
      </c>
      <c r="D7690" s="220" t="s">
        <v>72</v>
      </c>
      <c r="E7690" s="165">
        <v>10</v>
      </c>
    </row>
    <row r="7691" spans="1:5" x14ac:dyDescent="0.25">
      <c r="A7691" s="216" t="s">
        <v>10259</v>
      </c>
      <c r="B7691" s="218">
        <v>1</v>
      </c>
      <c r="C7691" s="220" t="s">
        <v>3357</v>
      </c>
      <c r="D7691" s="220" t="s">
        <v>236</v>
      </c>
      <c r="E7691" s="165">
        <v>10</v>
      </c>
    </row>
    <row r="7692" spans="1:5" x14ac:dyDescent="0.25">
      <c r="A7692" s="216" t="s">
        <v>9980</v>
      </c>
      <c r="B7692" s="218">
        <v>1</v>
      </c>
      <c r="C7692" s="220" t="s">
        <v>6039</v>
      </c>
      <c r="D7692" s="220" t="s">
        <v>201</v>
      </c>
      <c r="E7692" s="165">
        <v>10</v>
      </c>
    </row>
    <row r="7693" spans="1:5" x14ac:dyDescent="0.25">
      <c r="A7693" s="216" t="s">
        <v>10363</v>
      </c>
      <c r="B7693" s="218" t="s">
        <v>48</v>
      </c>
      <c r="C7693" s="220" t="s">
        <v>10364</v>
      </c>
      <c r="D7693" s="220" t="s">
        <v>90</v>
      </c>
      <c r="E7693" s="165">
        <v>10</v>
      </c>
    </row>
    <row r="7694" spans="1:5" x14ac:dyDescent="0.25">
      <c r="A7694" s="216" t="s">
        <v>10220</v>
      </c>
      <c r="B7694" s="218">
        <v>1</v>
      </c>
      <c r="C7694" s="220" t="s">
        <v>323</v>
      </c>
      <c r="D7694" s="220" t="s">
        <v>56</v>
      </c>
      <c r="E7694" s="165">
        <v>10</v>
      </c>
    </row>
    <row r="7695" spans="1:5" x14ac:dyDescent="0.25">
      <c r="A7695" s="216" t="s">
        <v>9686</v>
      </c>
      <c r="B7695" s="218" t="s">
        <v>48</v>
      </c>
      <c r="C7695" s="220" t="s">
        <v>3508</v>
      </c>
      <c r="D7695" s="220" t="s">
        <v>585</v>
      </c>
      <c r="E7695" s="165">
        <v>10</v>
      </c>
    </row>
    <row r="7696" spans="1:5" x14ac:dyDescent="0.25">
      <c r="A7696" s="216" t="s">
        <v>10232</v>
      </c>
      <c r="B7696" s="218">
        <v>1</v>
      </c>
      <c r="C7696" s="220" t="s">
        <v>5732</v>
      </c>
      <c r="D7696" s="220" t="s">
        <v>56</v>
      </c>
      <c r="E7696" s="165">
        <v>10</v>
      </c>
    </row>
    <row r="7697" spans="1:5" x14ac:dyDescent="0.25">
      <c r="A7697" s="216" t="s">
        <v>9123</v>
      </c>
      <c r="B7697" s="218" t="s">
        <v>48</v>
      </c>
      <c r="C7697" s="220" t="s">
        <v>733</v>
      </c>
      <c r="D7697" s="220" t="s">
        <v>710</v>
      </c>
      <c r="E7697" s="165">
        <v>10</v>
      </c>
    </row>
    <row r="7698" spans="1:5" x14ac:dyDescent="0.25">
      <c r="A7698" s="216" t="s">
        <v>9810</v>
      </c>
      <c r="B7698" s="218" t="s">
        <v>48</v>
      </c>
      <c r="C7698" s="220" t="s">
        <v>9811</v>
      </c>
      <c r="D7698" s="220" t="s">
        <v>59</v>
      </c>
      <c r="E7698" s="165">
        <v>10</v>
      </c>
    </row>
    <row r="7699" spans="1:5" x14ac:dyDescent="0.25">
      <c r="A7699" s="216" t="s">
        <v>10234</v>
      </c>
      <c r="B7699" s="218">
        <v>1</v>
      </c>
      <c r="C7699" s="220" t="s">
        <v>2365</v>
      </c>
      <c r="D7699" s="220" t="s">
        <v>63</v>
      </c>
      <c r="E7699" s="165">
        <v>10</v>
      </c>
    </row>
    <row r="7700" spans="1:5" x14ac:dyDescent="0.25">
      <c r="A7700" s="216" t="s">
        <v>10235</v>
      </c>
      <c r="B7700" s="218">
        <v>1</v>
      </c>
      <c r="C7700" s="220" t="s">
        <v>10236</v>
      </c>
      <c r="D7700" s="220" t="s">
        <v>56</v>
      </c>
      <c r="E7700" s="165">
        <v>10</v>
      </c>
    </row>
    <row r="7701" spans="1:5" x14ac:dyDescent="0.25">
      <c r="A7701" s="216" t="s">
        <v>11802</v>
      </c>
      <c r="B7701" s="218" t="s">
        <v>48</v>
      </c>
      <c r="C7701" s="220" t="s">
        <v>11803</v>
      </c>
      <c r="D7701" s="220" t="s">
        <v>87</v>
      </c>
      <c r="E7701" s="165">
        <v>10</v>
      </c>
    </row>
    <row r="7702" spans="1:5" x14ac:dyDescent="0.25">
      <c r="A7702" s="216" t="s">
        <v>10062</v>
      </c>
      <c r="B7702" s="218">
        <v>1</v>
      </c>
      <c r="C7702" s="220" t="s">
        <v>10063</v>
      </c>
      <c r="D7702" s="220" t="s">
        <v>585</v>
      </c>
      <c r="E7702" s="165">
        <v>10</v>
      </c>
    </row>
    <row r="7703" spans="1:5" x14ac:dyDescent="0.25">
      <c r="A7703" s="216" t="s">
        <v>10237</v>
      </c>
      <c r="B7703" s="218">
        <v>1</v>
      </c>
      <c r="C7703" s="220" t="s">
        <v>5122</v>
      </c>
      <c r="D7703" s="220" t="s">
        <v>59</v>
      </c>
      <c r="E7703" s="165">
        <v>10</v>
      </c>
    </row>
    <row r="7704" spans="1:5" x14ac:dyDescent="0.25">
      <c r="A7704" s="216" t="s">
        <v>11804</v>
      </c>
      <c r="B7704" s="218" t="s">
        <v>48</v>
      </c>
      <c r="C7704" s="220" t="s">
        <v>11805</v>
      </c>
      <c r="D7704" s="220" t="s">
        <v>50</v>
      </c>
      <c r="E7704" s="165">
        <v>10</v>
      </c>
    </row>
    <row r="7705" spans="1:5" x14ac:dyDescent="0.25">
      <c r="A7705" s="216" t="s">
        <v>10238</v>
      </c>
      <c r="B7705" s="218">
        <v>1</v>
      </c>
      <c r="C7705" s="220" t="s">
        <v>9088</v>
      </c>
      <c r="D7705" s="220" t="s">
        <v>63</v>
      </c>
      <c r="E7705" s="165">
        <v>10</v>
      </c>
    </row>
    <row r="7706" spans="1:5" x14ac:dyDescent="0.25">
      <c r="A7706" s="216" t="s">
        <v>9235</v>
      </c>
      <c r="B7706" s="218" t="s">
        <v>48</v>
      </c>
      <c r="C7706" s="220" t="s">
        <v>1285</v>
      </c>
      <c r="D7706" s="220" t="s">
        <v>59</v>
      </c>
      <c r="E7706" s="165">
        <v>9</v>
      </c>
    </row>
    <row r="7707" spans="1:5" x14ac:dyDescent="0.25">
      <c r="A7707" s="216" t="s">
        <v>10048</v>
      </c>
      <c r="B7707" s="218" t="s">
        <v>48</v>
      </c>
      <c r="C7707" s="220" t="s">
        <v>8505</v>
      </c>
      <c r="D7707" s="220" t="s">
        <v>90</v>
      </c>
      <c r="E7707" s="165">
        <v>9</v>
      </c>
    </row>
    <row r="7708" spans="1:5" x14ac:dyDescent="0.25">
      <c r="A7708" s="216" t="s">
        <v>10246</v>
      </c>
      <c r="B7708" s="218">
        <v>1</v>
      </c>
      <c r="C7708" s="220" t="s">
        <v>3830</v>
      </c>
      <c r="D7708" s="220" t="s">
        <v>63</v>
      </c>
      <c r="E7708" s="165">
        <v>9</v>
      </c>
    </row>
    <row r="7709" spans="1:5" x14ac:dyDescent="0.25">
      <c r="A7709" s="216" t="s">
        <v>10160</v>
      </c>
      <c r="B7709" s="218" t="s">
        <v>48</v>
      </c>
      <c r="C7709" s="220" t="s">
        <v>10161</v>
      </c>
      <c r="D7709" s="220" t="s">
        <v>90</v>
      </c>
      <c r="E7709" s="165">
        <v>9</v>
      </c>
    </row>
    <row r="7710" spans="1:5" x14ac:dyDescent="0.25">
      <c r="A7710" s="216" t="s">
        <v>8651</v>
      </c>
      <c r="B7710" s="218">
        <v>1</v>
      </c>
      <c r="C7710" s="220" t="s">
        <v>4673</v>
      </c>
      <c r="D7710" s="220" t="s">
        <v>130</v>
      </c>
      <c r="E7710" s="165">
        <v>9</v>
      </c>
    </row>
    <row r="7711" spans="1:5" x14ac:dyDescent="0.25">
      <c r="A7711" s="216" t="s">
        <v>10221</v>
      </c>
      <c r="B7711" s="218" t="s">
        <v>48</v>
      </c>
      <c r="C7711" s="220" t="s">
        <v>2778</v>
      </c>
      <c r="D7711" s="220" t="s">
        <v>710</v>
      </c>
      <c r="E7711" s="165">
        <v>9</v>
      </c>
    </row>
    <row r="7712" spans="1:5" x14ac:dyDescent="0.25">
      <c r="A7712" s="216" t="s">
        <v>10261</v>
      </c>
      <c r="B7712" s="218" t="s">
        <v>48</v>
      </c>
      <c r="C7712" s="220" t="s">
        <v>10262</v>
      </c>
      <c r="D7712" s="220" t="s">
        <v>177</v>
      </c>
      <c r="E7712" s="165">
        <v>9</v>
      </c>
    </row>
    <row r="7713" spans="1:5" x14ac:dyDescent="0.25">
      <c r="A7713" s="216" t="s">
        <v>7071</v>
      </c>
      <c r="B7713" s="218" t="s">
        <v>48</v>
      </c>
      <c r="C7713" s="220" t="s">
        <v>7072</v>
      </c>
      <c r="D7713" s="220" t="s">
        <v>53</v>
      </c>
      <c r="E7713" s="165">
        <v>9</v>
      </c>
    </row>
    <row r="7714" spans="1:5" x14ac:dyDescent="0.25">
      <c r="A7714" s="216" t="s">
        <v>8242</v>
      </c>
      <c r="B7714" s="218">
        <v>1</v>
      </c>
      <c r="C7714" s="220" t="s">
        <v>238</v>
      </c>
      <c r="D7714" s="220" t="s">
        <v>93</v>
      </c>
      <c r="E7714" s="165">
        <v>9</v>
      </c>
    </row>
    <row r="7715" spans="1:5" x14ac:dyDescent="0.25">
      <c r="A7715" s="216" t="s">
        <v>10149</v>
      </c>
      <c r="B7715" s="218" t="s">
        <v>48</v>
      </c>
      <c r="C7715" s="220" t="s">
        <v>10150</v>
      </c>
      <c r="D7715" s="220" t="s">
        <v>90</v>
      </c>
      <c r="E7715" s="165">
        <v>9</v>
      </c>
    </row>
    <row r="7716" spans="1:5" x14ac:dyDescent="0.25">
      <c r="A7716" s="216" t="s">
        <v>10136</v>
      </c>
      <c r="B7716" s="218" t="s">
        <v>48</v>
      </c>
      <c r="C7716" s="220" t="s">
        <v>681</v>
      </c>
      <c r="D7716" s="220" t="s">
        <v>90</v>
      </c>
      <c r="E7716" s="165">
        <v>9</v>
      </c>
    </row>
    <row r="7717" spans="1:5" x14ac:dyDescent="0.25">
      <c r="A7717" s="216" t="s">
        <v>10283</v>
      </c>
      <c r="B7717" s="218" t="s">
        <v>48</v>
      </c>
      <c r="C7717" s="220" t="s">
        <v>10284</v>
      </c>
      <c r="D7717" s="220" t="s">
        <v>53</v>
      </c>
      <c r="E7717" s="165">
        <v>9</v>
      </c>
    </row>
    <row r="7718" spans="1:5" x14ac:dyDescent="0.25">
      <c r="A7718" s="216" t="s">
        <v>10264</v>
      </c>
      <c r="B7718" s="218">
        <v>1</v>
      </c>
      <c r="C7718" s="220" t="s">
        <v>3572</v>
      </c>
      <c r="D7718" s="220" t="s">
        <v>177</v>
      </c>
      <c r="E7718" s="165">
        <v>9</v>
      </c>
    </row>
    <row r="7719" spans="1:5" x14ac:dyDescent="0.25">
      <c r="A7719" s="216" t="s">
        <v>10175</v>
      </c>
      <c r="B7719" s="218" t="s">
        <v>48</v>
      </c>
      <c r="C7719" s="220" t="s">
        <v>10176</v>
      </c>
      <c r="D7719" s="220" t="s">
        <v>59</v>
      </c>
      <c r="E7719" s="165">
        <v>9</v>
      </c>
    </row>
    <row r="7720" spans="1:5" x14ac:dyDescent="0.25">
      <c r="A7720" s="216" t="s">
        <v>8556</v>
      </c>
      <c r="B7720" s="218">
        <v>1</v>
      </c>
      <c r="C7720" s="220" t="s">
        <v>363</v>
      </c>
      <c r="D7720" s="220" t="s">
        <v>72</v>
      </c>
      <c r="E7720" s="165">
        <v>9</v>
      </c>
    </row>
    <row r="7721" spans="1:5" x14ac:dyDescent="0.25">
      <c r="A7721" s="216" t="s">
        <v>10207</v>
      </c>
      <c r="B7721" s="218">
        <v>1</v>
      </c>
      <c r="C7721" s="220" t="s">
        <v>9577</v>
      </c>
      <c r="D7721" s="220" t="s">
        <v>53</v>
      </c>
      <c r="E7721" s="165">
        <v>9</v>
      </c>
    </row>
    <row r="7722" spans="1:5" x14ac:dyDescent="0.25">
      <c r="A7722" s="216" t="s">
        <v>11806</v>
      </c>
      <c r="B7722" s="218" t="s">
        <v>48</v>
      </c>
      <c r="C7722" s="220" t="s">
        <v>11807</v>
      </c>
      <c r="D7722" s="220" t="s">
        <v>82</v>
      </c>
      <c r="E7722" s="165">
        <v>8</v>
      </c>
    </row>
    <row r="7723" spans="1:5" x14ac:dyDescent="0.25">
      <c r="A7723" s="216" t="s">
        <v>10247</v>
      </c>
      <c r="B7723" s="218">
        <v>1</v>
      </c>
      <c r="C7723" s="220" t="s">
        <v>1010</v>
      </c>
      <c r="D7723" s="220" t="s">
        <v>517</v>
      </c>
      <c r="E7723" s="165">
        <v>8</v>
      </c>
    </row>
    <row r="7724" spans="1:5" x14ac:dyDescent="0.25">
      <c r="A7724" s="216" t="s">
        <v>10275</v>
      </c>
      <c r="B7724" s="218" t="s">
        <v>48</v>
      </c>
      <c r="C7724" s="220" t="s">
        <v>194</v>
      </c>
      <c r="D7724" s="220" t="s">
        <v>53</v>
      </c>
      <c r="E7724" s="165">
        <v>8</v>
      </c>
    </row>
    <row r="7725" spans="1:5" x14ac:dyDescent="0.25">
      <c r="A7725" s="216" t="s">
        <v>10268</v>
      </c>
      <c r="B7725" s="218">
        <v>1</v>
      </c>
      <c r="C7725" s="220" t="s">
        <v>86</v>
      </c>
      <c r="D7725" s="220" t="s">
        <v>78</v>
      </c>
      <c r="E7725" s="165">
        <v>8</v>
      </c>
    </row>
    <row r="7726" spans="1:5" x14ac:dyDescent="0.25">
      <c r="A7726" s="216" t="s">
        <v>10251</v>
      </c>
      <c r="B7726" s="218">
        <v>1</v>
      </c>
      <c r="C7726" s="220" t="s">
        <v>10252</v>
      </c>
      <c r="D7726" s="220" t="s">
        <v>93</v>
      </c>
      <c r="E7726" s="165">
        <v>8</v>
      </c>
    </row>
    <row r="7727" spans="1:5" x14ac:dyDescent="0.25">
      <c r="A7727" s="216" t="s">
        <v>10253</v>
      </c>
      <c r="B7727" s="218">
        <v>1</v>
      </c>
      <c r="C7727" s="220" t="s">
        <v>373</v>
      </c>
      <c r="D7727" s="220" t="s">
        <v>98</v>
      </c>
      <c r="E7727" s="165">
        <v>8</v>
      </c>
    </row>
    <row r="7728" spans="1:5" x14ac:dyDescent="0.25">
      <c r="A7728" s="216" t="s">
        <v>10255</v>
      </c>
      <c r="B7728" s="218">
        <v>1</v>
      </c>
      <c r="C7728" s="220" t="s">
        <v>10256</v>
      </c>
      <c r="D7728" s="220" t="s">
        <v>628</v>
      </c>
      <c r="E7728" s="165">
        <v>8</v>
      </c>
    </row>
    <row r="7729" spans="1:5" x14ac:dyDescent="0.25">
      <c r="A7729" s="216" t="s">
        <v>10270</v>
      </c>
      <c r="B7729" s="218">
        <v>1</v>
      </c>
      <c r="C7729" s="220" t="s">
        <v>86</v>
      </c>
      <c r="D7729" s="220" t="s">
        <v>78</v>
      </c>
      <c r="E7729" s="165">
        <v>8</v>
      </c>
    </row>
    <row r="7730" spans="1:5" x14ac:dyDescent="0.25">
      <c r="A7730" s="216" t="s">
        <v>10260</v>
      </c>
      <c r="B7730" s="218">
        <v>1</v>
      </c>
      <c r="C7730" s="220" t="s">
        <v>141</v>
      </c>
      <c r="D7730" s="220" t="s">
        <v>142</v>
      </c>
      <c r="E7730" s="165">
        <v>8</v>
      </c>
    </row>
    <row r="7731" spans="1:5" x14ac:dyDescent="0.25">
      <c r="A7731" s="216" t="s">
        <v>7672</v>
      </c>
      <c r="B7731" s="218">
        <v>1</v>
      </c>
      <c r="C7731" s="220" t="s">
        <v>7673</v>
      </c>
      <c r="D7731" s="220" t="s">
        <v>90</v>
      </c>
      <c r="E7731" s="165">
        <v>8</v>
      </c>
    </row>
    <row r="7732" spans="1:5" x14ac:dyDescent="0.25">
      <c r="A7732" s="216" t="s">
        <v>10204</v>
      </c>
      <c r="B7732" s="218" t="s">
        <v>48</v>
      </c>
      <c r="C7732" s="220" t="s">
        <v>213</v>
      </c>
      <c r="D7732" s="220" t="s">
        <v>75</v>
      </c>
      <c r="E7732" s="165">
        <v>8</v>
      </c>
    </row>
    <row r="7733" spans="1:5" x14ac:dyDescent="0.25">
      <c r="A7733" s="216" t="s">
        <v>10188</v>
      </c>
      <c r="B7733" s="218">
        <v>1</v>
      </c>
      <c r="C7733" s="220" t="s">
        <v>10189</v>
      </c>
      <c r="D7733" s="220" t="s">
        <v>113</v>
      </c>
      <c r="E7733" s="165">
        <v>8</v>
      </c>
    </row>
    <row r="7734" spans="1:5" x14ac:dyDescent="0.25">
      <c r="A7734" s="216" t="s">
        <v>10100</v>
      </c>
      <c r="B7734" s="218">
        <v>1</v>
      </c>
      <c r="C7734" s="220" t="s">
        <v>5503</v>
      </c>
      <c r="D7734" s="220" t="s">
        <v>50</v>
      </c>
      <c r="E7734" s="165">
        <v>8</v>
      </c>
    </row>
    <row r="7735" spans="1:5" x14ac:dyDescent="0.25">
      <c r="A7735" s="216" t="s">
        <v>9093</v>
      </c>
      <c r="B7735" s="218" t="s">
        <v>48</v>
      </c>
      <c r="C7735" s="220" t="s">
        <v>9094</v>
      </c>
      <c r="D7735" s="220" t="s">
        <v>53</v>
      </c>
      <c r="E7735" s="165">
        <v>7</v>
      </c>
    </row>
    <row r="7736" spans="1:5" x14ac:dyDescent="0.25">
      <c r="A7736" s="216" t="s">
        <v>10603</v>
      </c>
      <c r="B7736" s="218" t="s">
        <v>48</v>
      </c>
      <c r="C7736" s="220" t="s">
        <v>78</v>
      </c>
      <c r="D7736" s="220" t="s">
        <v>93</v>
      </c>
      <c r="E7736" s="165">
        <v>7</v>
      </c>
    </row>
    <row r="7737" spans="1:5" x14ac:dyDescent="0.25">
      <c r="A7737" s="216" t="s">
        <v>10248</v>
      </c>
      <c r="B7737" s="218">
        <v>1</v>
      </c>
      <c r="C7737" s="220" t="s">
        <v>10249</v>
      </c>
      <c r="D7737" s="220" t="s">
        <v>277</v>
      </c>
      <c r="E7737" s="165">
        <v>7</v>
      </c>
    </row>
    <row r="7738" spans="1:5" x14ac:dyDescent="0.25">
      <c r="A7738" s="216" t="s">
        <v>10277</v>
      </c>
      <c r="B7738" s="218">
        <v>1</v>
      </c>
      <c r="C7738" s="220" t="s">
        <v>2195</v>
      </c>
      <c r="D7738" s="220" t="s">
        <v>69</v>
      </c>
      <c r="E7738" s="165">
        <v>7</v>
      </c>
    </row>
    <row r="7739" spans="1:5" x14ac:dyDescent="0.25">
      <c r="A7739" s="216" t="s">
        <v>10290</v>
      </c>
      <c r="B7739" s="218" t="s">
        <v>48</v>
      </c>
      <c r="C7739" s="220" t="s">
        <v>1293</v>
      </c>
      <c r="D7739" s="220" t="s">
        <v>166</v>
      </c>
      <c r="E7739" s="165">
        <v>7</v>
      </c>
    </row>
    <row r="7740" spans="1:5" x14ac:dyDescent="0.25">
      <c r="A7740" s="216" t="s">
        <v>10278</v>
      </c>
      <c r="B7740" s="218">
        <v>1</v>
      </c>
      <c r="C7740" s="220" t="s">
        <v>10279</v>
      </c>
      <c r="D7740" s="220" t="s">
        <v>87</v>
      </c>
      <c r="E7740" s="165">
        <v>7</v>
      </c>
    </row>
    <row r="7741" spans="1:5" x14ac:dyDescent="0.25">
      <c r="A7741" s="216" t="s">
        <v>10292</v>
      </c>
      <c r="B7741" s="218" t="s">
        <v>48</v>
      </c>
      <c r="C7741" s="220" t="s">
        <v>1969</v>
      </c>
      <c r="D7741" s="220" t="s">
        <v>90</v>
      </c>
      <c r="E7741" s="165">
        <v>7</v>
      </c>
    </row>
    <row r="7742" spans="1:5" x14ac:dyDescent="0.25">
      <c r="A7742" s="216" t="s">
        <v>10257</v>
      </c>
      <c r="B7742" s="218">
        <v>1</v>
      </c>
      <c r="C7742" s="220" t="s">
        <v>10258</v>
      </c>
      <c r="D7742" s="220" t="s">
        <v>53</v>
      </c>
      <c r="E7742" s="165">
        <v>7</v>
      </c>
    </row>
    <row r="7743" spans="1:5" x14ac:dyDescent="0.25">
      <c r="A7743" s="216" t="s">
        <v>10183</v>
      </c>
      <c r="B7743" s="218">
        <v>1</v>
      </c>
      <c r="C7743" s="220" t="s">
        <v>1293</v>
      </c>
      <c r="D7743" s="220" t="s">
        <v>166</v>
      </c>
      <c r="E7743" s="165">
        <v>7</v>
      </c>
    </row>
    <row r="7744" spans="1:5" x14ac:dyDescent="0.25">
      <c r="A7744" s="216" t="s">
        <v>9059</v>
      </c>
      <c r="B7744" s="218">
        <v>1</v>
      </c>
      <c r="C7744" s="220" t="s">
        <v>1164</v>
      </c>
      <c r="D7744" s="220" t="s">
        <v>188</v>
      </c>
      <c r="E7744" s="165">
        <v>7</v>
      </c>
    </row>
    <row r="7745" spans="1:5" x14ac:dyDescent="0.25">
      <c r="A7745" s="216" t="s">
        <v>10201</v>
      </c>
      <c r="B7745" s="218" t="s">
        <v>48</v>
      </c>
      <c r="C7745" s="220" t="s">
        <v>10202</v>
      </c>
      <c r="D7745" s="220" t="s">
        <v>75</v>
      </c>
      <c r="E7745" s="165">
        <v>7</v>
      </c>
    </row>
    <row r="7746" spans="1:5" x14ac:dyDescent="0.25">
      <c r="A7746" s="216" t="s">
        <v>10269</v>
      </c>
      <c r="B7746" s="218" t="s">
        <v>48</v>
      </c>
      <c r="C7746" s="220" t="s">
        <v>2782</v>
      </c>
      <c r="D7746" s="220" t="s">
        <v>166</v>
      </c>
      <c r="E7746" s="165">
        <v>7</v>
      </c>
    </row>
    <row r="7747" spans="1:5" x14ac:dyDescent="0.25">
      <c r="A7747" s="216" t="s">
        <v>8082</v>
      </c>
      <c r="B7747" s="218">
        <v>1</v>
      </c>
      <c r="C7747" s="220" t="s">
        <v>8083</v>
      </c>
      <c r="D7747" s="220" t="s">
        <v>66</v>
      </c>
      <c r="E7747" s="165">
        <v>7</v>
      </c>
    </row>
    <row r="7748" spans="1:5" x14ac:dyDescent="0.25">
      <c r="A7748" s="216" t="s">
        <v>10222</v>
      </c>
      <c r="B7748" s="218" t="s">
        <v>48</v>
      </c>
      <c r="C7748" s="220" t="s">
        <v>10223</v>
      </c>
      <c r="D7748" s="220" t="s">
        <v>90</v>
      </c>
      <c r="E7748" s="165">
        <v>7</v>
      </c>
    </row>
    <row r="7749" spans="1:5" x14ac:dyDescent="0.25">
      <c r="A7749" s="216" t="s">
        <v>9587</v>
      </c>
      <c r="B7749" s="218">
        <v>1</v>
      </c>
      <c r="C7749" s="220" t="s">
        <v>6181</v>
      </c>
      <c r="D7749" s="220" t="s">
        <v>69</v>
      </c>
      <c r="E7749" s="165">
        <v>7</v>
      </c>
    </row>
    <row r="7750" spans="1:5" x14ac:dyDescent="0.25">
      <c r="A7750" s="216" t="s">
        <v>10314</v>
      </c>
      <c r="B7750" s="218" t="s">
        <v>48</v>
      </c>
      <c r="C7750" s="220" t="s">
        <v>10315</v>
      </c>
      <c r="D7750" s="220" t="s">
        <v>277</v>
      </c>
      <c r="E7750" s="165">
        <v>7</v>
      </c>
    </row>
    <row r="7751" spans="1:5" x14ac:dyDescent="0.25">
      <c r="A7751" s="216" t="s">
        <v>10190</v>
      </c>
      <c r="B7751" s="218" t="s">
        <v>48</v>
      </c>
      <c r="C7751" s="220" t="s">
        <v>89</v>
      </c>
      <c r="D7751" s="220" t="s">
        <v>90</v>
      </c>
      <c r="E7751" s="165">
        <v>7</v>
      </c>
    </row>
    <row r="7752" spans="1:5" x14ac:dyDescent="0.25">
      <c r="A7752" s="216" t="s">
        <v>10285</v>
      </c>
      <c r="B7752" s="218">
        <v>1</v>
      </c>
      <c r="C7752" s="220" t="s">
        <v>86</v>
      </c>
      <c r="D7752" s="220" t="s">
        <v>78</v>
      </c>
      <c r="E7752" s="165">
        <v>6</v>
      </c>
    </row>
    <row r="7753" spans="1:5" x14ac:dyDescent="0.25">
      <c r="A7753" s="216" t="s">
        <v>10209</v>
      </c>
      <c r="B7753" s="218" t="s">
        <v>48</v>
      </c>
      <c r="C7753" s="220" t="s">
        <v>10210</v>
      </c>
      <c r="D7753" s="220" t="s">
        <v>59</v>
      </c>
      <c r="E7753" s="165">
        <v>6</v>
      </c>
    </row>
    <row r="7754" spans="1:5" x14ac:dyDescent="0.25">
      <c r="A7754" s="216" t="s">
        <v>10296</v>
      </c>
      <c r="B7754" s="218" t="s">
        <v>48</v>
      </c>
      <c r="C7754" s="220" t="s">
        <v>3687</v>
      </c>
      <c r="D7754" s="220" t="s">
        <v>59</v>
      </c>
      <c r="E7754" s="165">
        <v>6</v>
      </c>
    </row>
    <row r="7755" spans="1:5" x14ac:dyDescent="0.25">
      <c r="A7755" s="216" t="s">
        <v>10287</v>
      </c>
      <c r="B7755" s="218" t="s">
        <v>48</v>
      </c>
      <c r="C7755" s="220" t="s">
        <v>4704</v>
      </c>
      <c r="D7755" s="220" t="s">
        <v>166</v>
      </c>
      <c r="E7755" s="165">
        <v>6</v>
      </c>
    </row>
    <row r="7756" spans="1:5" x14ac:dyDescent="0.25">
      <c r="A7756" s="216" t="s">
        <v>8361</v>
      </c>
      <c r="B7756" s="218">
        <v>1</v>
      </c>
      <c r="C7756" s="220" t="s">
        <v>8362</v>
      </c>
      <c r="D7756" s="220" t="s">
        <v>139</v>
      </c>
      <c r="E7756" s="165">
        <v>6</v>
      </c>
    </row>
    <row r="7757" spans="1:5" x14ac:dyDescent="0.25">
      <c r="A7757" s="216" t="s">
        <v>1587</v>
      </c>
      <c r="B7757" s="218">
        <v>1</v>
      </c>
      <c r="C7757" s="220" t="s">
        <v>1588</v>
      </c>
      <c r="D7757" s="220" t="s">
        <v>130</v>
      </c>
      <c r="E7757" s="165">
        <v>6</v>
      </c>
    </row>
    <row r="7758" spans="1:5" x14ac:dyDescent="0.25">
      <c r="A7758" s="216" t="s">
        <v>11808</v>
      </c>
      <c r="B7758" s="218" t="s">
        <v>48</v>
      </c>
      <c r="C7758" s="220" t="s">
        <v>11809</v>
      </c>
      <c r="D7758" s="220" t="s">
        <v>75</v>
      </c>
      <c r="E7758" s="165">
        <v>6</v>
      </c>
    </row>
    <row r="7759" spans="1:5" x14ac:dyDescent="0.25">
      <c r="A7759" s="216" t="s">
        <v>10307</v>
      </c>
      <c r="B7759" s="218" t="s">
        <v>48</v>
      </c>
      <c r="C7759" s="220" t="s">
        <v>473</v>
      </c>
      <c r="D7759" s="220" t="s">
        <v>82</v>
      </c>
      <c r="E7759" s="165">
        <v>6</v>
      </c>
    </row>
    <row r="7760" spans="1:5" x14ac:dyDescent="0.25">
      <c r="A7760" s="216" t="s">
        <v>10280</v>
      </c>
      <c r="B7760" s="218" t="s">
        <v>48</v>
      </c>
      <c r="C7760" s="220" t="s">
        <v>10281</v>
      </c>
      <c r="D7760" s="220" t="s">
        <v>710</v>
      </c>
      <c r="E7760" s="165">
        <v>6</v>
      </c>
    </row>
    <row r="7761" spans="1:5" x14ac:dyDescent="0.25">
      <c r="A7761" s="216" t="s">
        <v>10282</v>
      </c>
      <c r="B7761" s="218">
        <v>1</v>
      </c>
      <c r="C7761" s="220" t="s">
        <v>10032</v>
      </c>
      <c r="D7761" s="220" t="s">
        <v>523</v>
      </c>
      <c r="E7761" s="165">
        <v>6</v>
      </c>
    </row>
    <row r="7762" spans="1:5" x14ac:dyDescent="0.25">
      <c r="A7762" s="216" t="s">
        <v>8915</v>
      </c>
      <c r="B7762" s="218" t="s">
        <v>48</v>
      </c>
      <c r="C7762" s="220" t="s">
        <v>2056</v>
      </c>
      <c r="D7762" s="220" t="s">
        <v>585</v>
      </c>
      <c r="E7762" s="165">
        <v>6</v>
      </c>
    </row>
    <row r="7763" spans="1:5" x14ac:dyDescent="0.25">
      <c r="A7763" s="216" t="s">
        <v>10293</v>
      </c>
      <c r="B7763" s="218" t="s">
        <v>48</v>
      </c>
      <c r="C7763" s="220" t="s">
        <v>393</v>
      </c>
      <c r="D7763" s="220" t="s">
        <v>59</v>
      </c>
      <c r="E7763" s="165">
        <v>6</v>
      </c>
    </row>
    <row r="7764" spans="1:5" x14ac:dyDescent="0.25">
      <c r="A7764" s="216" t="s">
        <v>10121</v>
      </c>
      <c r="B7764" s="218">
        <v>1</v>
      </c>
      <c r="C7764" s="220" t="s">
        <v>10122</v>
      </c>
      <c r="D7764" s="220" t="s">
        <v>272</v>
      </c>
      <c r="E7764" s="165">
        <v>6</v>
      </c>
    </row>
    <row r="7765" spans="1:5" x14ac:dyDescent="0.25">
      <c r="A7765" s="216" t="s">
        <v>11810</v>
      </c>
      <c r="B7765" s="218">
        <v>1</v>
      </c>
      <c r="C7765" s="220" t="s">
        <v>788</v>
      </c>
      <c r="D7765" s="220" t="s">
        <v>59</v>
      </c>
      <c r="E7765" s="165">
        <v>6</v>
      </c>
    </row>
    <row r="7766" spans="1:5" x14ac:dyDescent="0.25">
      <c r="A7766" s="216" t="s">
        <v>10265</v>
      </c>
      <c r="B7766" s="218" t="s">
        <v>48</v>
      </c>
      <c r="C7766" s="220" t="s">
        <v>501</v>
      </c>
      <c r="D7766" s="220" t="s">
        <v>59</v>
      </c>
      <c r="E7766" s="165">
        <v>6</v>
      </c>
    </row>
    <row r="7767" spans="1:5" x14ac:dyDescent="0.25">
      <c r="A7767" s="216" t="s">
        <v>10286</v>
      </c>
      <c r="B7767" s="218">
        <v>1</v>
      </c>
      <c r="C7767" s="220" t="s">
        <v>89</v>
      </c>
      <c r="D7767" s="220" t="s">
        <v>90</v>
      </c>
      <c r="E7767" s="165">
        <v>5</v>
      </c>
    </row>
    <row r="7768" spans="1:5" x14ac:dyDescent="0.25">
      <c r="A7768" s="216" t="s">
        <v>10297</v>
      </c>
      <c r="B7768" s="218">
        <v>1</v>
      </c>
      <c r="C7768" s="220" t="s">
        <v>10298</v>
      </c>
      <c r="D7768" s="220" t="s">
        <v>177</v>
      </c>
      <c r="E7768" s="165">
        <v>5</v>
      </c>
    </row>
    <row r="7769" spans="1:5" x14ac:dyDescent="0.25">
      <c r="A7769" s="216" t="s">
        <v>10304</v>
      </c>
      <c r="B7769" s="218">
        <v>1</v>
      </c>
      <c r="C7769" s="220" t="s">
        <v>10305</v>
      </c>
      <c r="D7769" s="220" t="s">
        <v>56</v>
      </c>
      <c r="E7769" s="165">
        <v>5</v>
      </c>
    </row>
    <row r="7770" spans="1:5" x14ac:dyDescent="0.25">
      <c r="A7770" s="216" t="s">
        <v>10180</v>
      </c>
      <c r="B7770" s="218" t="s">
        <v>48</v>
      </c>
      <c r="C7770" s="220" t="s">
        <v>10181</v>
      </c>
      <c r="D7770" s="220" t="s">
        <v>53</v>
      </c>
      <c r="E7770" s="165">
        <v>5</v>
      </c>
    </row>
    <row r="7771" spans="1:5" x14ac:dyDescent="0.25">
      <c r="A7771" s="216" t="s">
        <v>10350</v>
      </c>
      <c r="B7771" s="218" t="s">
        <v>48</v>
      </c>
      <c r="C7771" s="220" t="s">
        <v>3904</v>
      </c>
      <c r="D7771" s="220" t="s">
        <v>585</v>
      </c>
      <c r="E7771" s="165">
        <v>5</v>
      </c>
    </row>
    <row r="7772" spans="1:5" x14ac:dyDescent="0.25">
      <c r="A7772" s="216" t="s">
        <v>10306</v>
      </c>
      <c r="B7772" s="218">
        <v>1</v>
      </c>
      <c r="C7772" s="220" t="s">
        <v>3603</v>
      </c>
      <c r="D7772" s="220" t="s">
        <v>56</v>
      </c>
      <c r="E7772" s="165">
        <v>5</v>
      </c>
    </row>
    <row r="7773" spans="1:5" x14ac:dyDescent="0.25">
      <c r="A7773" s="216" t="s">
        <v>10329</v>
      </c>
      <c r="B7773" s="218">
        <v>1</v>
      </c>
      <c r="C7773" s="220" t="s">
        <v>10330</v>
      </c>
      <c r="D7773" s="220" t="s">
        <v>87</v>
      </c>
      <c r="E7773" s="165">
        <v>5</v>
      </c>
    </row>
    <row r="7774" spans="1:5" x14ac:dyDescent="0.25">
      <c r="A7774" s="216" t="s">
        <v>9772</v>
      </c>
      <c r="B7774" s="218">
        <v>1</v>
      </c>
      <c r="C7774" s="220" t="s">
        <v>9773</v>
      </c>
      <c r="D7774" s="220" t="s">
        <v>59</v>
      </c>
      <c r="E7774" s="165">
        <v>5</v>
      </c>
    </row>
    <row r="7775" spans="1:5" x14ac:dyDescent="0.25">
      <c r="A7775" s="216" t="s">
        <v>10214</v>
      </c>
      <c r="B7775" s="218" t="s">
        <v>48</v>
      </c>
      <c r="C7775" s="220" t="s">
        <v>10215</v>
      </c>
      <c r="D7775" s="220" t="s">
        <v>82</v>
      </c>
      <c r="E7775" s="165">
        <v>5</v>
      </c>
    </row>
    <row r="7776" spans="1:5" x14ac:dyDescent="0.25">
      <c r="A7776" s="216" t="s">
        <v>11811</v>
      </c>
      <c r="B7776" s="218">
        <v>1</v>
      </c>
      <c r="C7776" s="220" t="s">
        <v>1429</v>
      </c>
      <c r="D7776" s="220" t="s">
        <v>264</v>
      </c>
      <c r="E7776" s="165">
        <v>5</v>
      </c>
    </row>
    <row r="7777" spans="1:5" x14ac:dyDescent="0.25">
      <c r="A7777" s="216" t="s">
        <v>11812</v>
      </c>
      <c r="B7777" s="218" t="s">
        <v>48</v>
      </c>
      <c r="C7777" s="220" t="s">
        <v>11813</v>
      </c>
      <c r="D7777" s="220" t="s">
        <v>75</v>
      </c>
      <c r="E7777" s="165">
        <v>5</v>
      </c>
    </row>
    <row r="7778" spans="1:5" x14ac:dyDescent="0.25">
      <c r="A7778" s="216" t="s">
        <v>9400</v>
      </c>
      <c r="B7778" s="218">
        <v>1</v>
      </c>
      <c r="C7778" s="220" t="s">
        <v>121</v>
      </c>
      <c r="D7778" s="220" t="s">
        <v>56</v>
      </c>
      <c r="E7778" s="165">
        <v>5</v>
      </c>
    </row>
    <row r="7779" spans="1:5" x14ac:dyDescent="0.25">
      <c r="A7779" s="216" t="s">
        <v>9333</v>
      </c>
      <c r="B7779" s="218">
        <v>1</v>
      </c>
      <c r="C7779" s="220" t="s">
        <v>84</v>
      </c>
      <c r="D7779" s="220" t="s">
        <v>56</v>
      </c>
      <c r="E7779" s="165">
        <v>5</v>
      </c>
    </row>
    <row r="7780" spans="1:5" x14ac:dyDescent="0.25">
      <c r="A7780" s="216" t="s">
        <v>10154</v>
      </c>
      <c r="B7780" s="218">
        <v>1</v>
      </c>
      <c r="C7780" s="220" t="s">
        <v>7024</v>
      </c>
      <c r="D7780" s="220" t="s">
        <v>56</v>
      </c>
      <c r="E7780" s="165">
        <v>5</v>
      </c>
    </row>
    <row r="7781" spans="1:5" x14ac:dyDescent="0.25">
      <c r="A7781" s="216" t="s">
        <v>11814</v>
      </c>
      <c r="B7781" s="218" t="s">
        <v>48</v>
      </c>
      <c r="C7781" s="220" t="s">
        <v>4957</v>
      </c>
      <c r="D7781" s="220" t="s">
        <v>53</v>
      </c>
      <c r="E7781" s="165">
        <v>5</v>
      </c>
    </row>
    <row r="7782" spans="1:5" x14ac:dyDescent="0.25">
      <c r="A7782" s="216" t="s">
        <v>10295</v>
      </c>
      <c r="B7782" s="218">
        <v>1</v>
      </c>
      <c r="C7782" s="220" t="s">
        <v>230</v>
      </c>
      <c r="D7782" s="220" t="s">
        <v>90</v>
      </c>
      <c r="E7782" s="165">
        <v>5</v>
      </c>
    </row>
    <row r="7783" spans="1:5" x14ac:dyDescent="0.25">
      <c r="A7783" s="216" t="s">
        <v>8882</v>
      </c>
      <c r="B7783" s="218">
        <v>1</v>
      </c>
      <c r="C7783" s="220" t="s">
        <v>1064</v>
      </c>
      <c r="D7783" s="220" t="s">
        <v>142</v>
      </c>
      <c r="E7783" s="165">
        <v>4</v>
      </c>
    </row>
    <row r="7784" spans="1:5" x14ac:dyDescent="0.25">
      <c r="A7784" s="216" t="s">
        <v>10322</v>
      </c>
      <c r="B7784" s="218">
        <v>1</v>
      </c>
      <c r="C7784" s="220" t="s">
        <v>540</v>
      </c>
      <c r="D7784" s="220" t="s">
        <v>272</v>
      </c>
      <c r="E7784" s="165">
        <v>4</v>
      </c>
    </row>
    <row r="7785" spans="1:5" x14ac:dyDescent="0.25">
      <c r="A7785" s="216" t="s">
        <v>10299</v>
      </c>
      <c r="B7785" s="218">
        <v>1</v>
      </c>
      <c r="C7785" s="220" t="s">
        <v>10300</v>
      </c>
      <c r="D7785" s="220" t="s">
        <v>53</v>
      </c>
      <c r="E7785" s="165">
        <v>4</v>
      </c>
    </row>
    <row r="7786" spans="1:5" x14ac:dyDescent="0.25">
      <c r="A7786" s="216" t="s">
        <v>10303</v>
      </c>
      <c r="B7786" s="218">
        <v>1</v>
      </c>
      <c r="C7786" s="220" t="s">
        <v>2499</v>
      </c>
      <c r="D7786" s="220" t="s">
        <v>82</v>
      </c>
      <c r="E7786" s="165">
        <v>4</v>
      </c>
    </row>
    <row r="7787" spans="1:5" x14ac:dyDescent="0.25">
      <c r="A7787" s="216" t="s">
        <v>10119</v>
      </c>
      <c r="B7787" s="218" t="s">
        <v>48</v>
      </c>
      <c r="C7787" s="220" t="s">
        <v>10120</v>
      </c>
      <c r="D7787" s="220" t="s">
        <v>108</v>
      </c>
      <c r="E7787" s="165">
        <v>4</v>
      </c>
    </row>
    <row r="7788" spans="1:5" x14ac:dyDescent="0.25">
      <c r="A7788" s="216" t="s">
        <v>11815</v>
      </c>
      <c r="B7788" s="218">
        <v>1</v>
      </c>
      <c r="C7788" s="220" t="s">
        <v>11816</v>
      </c>
      <c r="D7788" s="220" t="s">
        <v>59</v>
      </c>
      <c r="E7788" s="165">
        <v>4</v>
      </c>
    </row>
    <row r="7789" spans="1:5" x14ac:dyDescent="0.25">
      <c r="A7789" s="216" t="s">
        <v>10145</v>
      </c>
      <c r="B7789" s="218" t="s">
        <v>48</v>
      </c>
      <c r="C7789" s="220" t="s">
        <v>10146</v>
      </c>
      <c r="D7789" s="220" t="s">
        <v>75</v>
      </c>
      <c r="E7789" s="165">
        <v>4</v>
      </c>
    </row>
    <row r="7790" spans="1:5" x14ac:dyDescent="0.25">
      <c r="A7790" s="216" t="s">
        <v>9888</v>
      </c>
      <c r="B7790" s="218" t="s">
        <v>48</v>
      </c>
      <c r="C7790" s="220" t="s">
        <v>390</v>
      </c>
      <c r="D7790" s="220" t="s">
        <v>75</v>
      </c>
      <c r="E7790" s="165">
        <v>4</v>
      </c>
    </row>
    <row r="7791" spans="1:5" x14ac:dyDescent="0.25">
      <c r="A7791" s="216" t="s">
        <v>10331</v>
      </c>
      <c r="B7791" s="218">
        <v>1</v>
      </c>
      <c r="C7791" s="220" t="s">
        <v>10332</v>
      </c>
      <c r="D7791" s="220" t="s">
        <v>75</v>
      </c>
      <c r="E7791" s="165">
        <v>4</v>
      </c>
    </row>
    <row r="7792" spans="1:5" x14ac:dyDescent="0.25">
      <c r="A7792" s="216" t="s">
        <v>8805</v>
      </c>
      <c r="B7792" s="218" t="s">
        <v>48</v>
      </c>
      <c r="C7792" s="220" t="s">
        <v>8806</v>
      </c>
      <c r="D7792" s="220" t="s">
        <v>378</v>
      </c>
      <c r="E7792" s="165">
        <v>4</v>
      </c>
    </row>
    <row r="7793" spans="1:5" x14ac:dyDescent="0.25">
      <c r="A7793" s="216" t="s">
        <v>10317</v>
      </c>
      <c r="B7793" s="218">
        <v>1</v>
      </c>
      <c r="C7793" s="220" t="s">
        <v>1889</v>
      </c>
      <c r="D7793" s="220" t="s">
        <v>82</v>
      </c>
      <c r="E7793" s="165">
        <v>4</v>
      </c>
    </row>
    <row r="7794" spans="1:5" x14ac:dyDescent="0.25">
      <c r="A7794" s="216" t="s">
        <v>10318</v>
      </c>
      <c r="B7794" s="218">
        <v>1</v>
      </c>
      <c r="C7794" s="220" t="s">
        <v>10319</v>
      </c>
      <c r="D7794" s="220" t="s">
        <v>206</v>
      </c>
      <c r="E7794" s="165">
        <v>4</v>
      </c>
    </row>
    <row r="7795" spans="1:5" x14ac:dyDescent="0.25">
      <c r="A7795" s="216" t="s">
        <v>10333</v>
      </c>
      <c r="B7795" s="218">
        <v>1</v>
      </c>
      <c r="C7795" s="220" t="s">
        <v>4202</v>
      </c>
      <c r="D7795" s="220" t="s">
        <v>78</v>
      </c>
      <c r="E7795" s="165">
        <v>4</v>
      </c>
    </row>
    <row r="7796" spans="1:5" x14ac:dyDescent="0.25">
      <c r="A7796" s="216" t="s">
        <v>10320</v>
      </c>
      <c r="B7796" s="218">
        <v>1</v>
      </c>
      <c r="C7796" s="220" t="s">
        <v>350</v>
      </c>
      <c r="D7796" s="220" t="s">
        <v>78</v>
      </c>
      <c r="E7796" s="165">
        <v>4</v>
      </c>
    </row>
    <row r="7797" spans="1:5" x14ac:dyDescent="0.25">
      <c r="A7797" s="216" t="s">
        <v>11817</v>
      </c>
      <c r="B7797" s="218" t="s">
        <v>48</v>
      </c>
      <c r="C7797" s="220" t="s">
        <v>11818</v>
      </c>
      <c r="D7797" s="220" t="s">
        <v>59</v>
      </c>
      <c r="E7797" s="165">
        <v>4</v>
      </c>
    </row>
    <row r="7798" spans="1:5" x14ac:dyDescent="0.25">
      <c r="A7798" s="216" t="s">
        <v>10321</v>
      </c>
      <c r="B7798" s="218">
        <v>1</v>
      </c>
      <c r="C7798" s="220" t="s">
        <v>8489</v>
      </c>
      <c r="D7798" s="220" t="s">
        <v>130</v>
      </c>
      <c r="E7798" s="165">
        <v>3</v>
      </c>
    </row>
    <row r="7799" spans="1:5" x14ac:dyDescent="0.25">
      <c r="A7799" s="216" t="s">
        <v>10344</v>
      </c>
      <c r="B7799" s="218" t="s">
        <v>48</v>
      </c>
      <c r="C7799" s="220" t="s">
        <v>86</v>
      </c>
      <c r="D7799" s="220" t="s">
        <v>78</v>
      </c>
      <c r="E7799" s="165">
        <v>3</v>
      </c>
    </row>
    <row r="7800" spans="1:5" x14ac:dyDescent="0.25">
      <c r="A7800" s="216" t="s">
        <v>9800</v>
      </c>
      <c r="B7800" s="218" t="s">
        <v>48</v>
      </c>
      <c r="C7800" s="220" t="s">
        <v>2234</v>
      </c>
      <c r="D7800" s="220" t="s">
        <v>90</v>
      </c>
      <c r="E7800" s="165">
        <v>3</v>
      </c>
    </row>
    <row r="7801" spans="1:5" x14ac:dyDescent="0.25">
      <c r="A7801" s="216" t="s">
        <v>9951</v>
      </c>
      <c r="B7801" s="218" t="s">
        <v>48</v>
      </c>
      <c r="C7801" s="220" t="s">
        <v>9112</v>
      </c>
      <c r="D7801" s="220" t="s">
        <v>82</v>
      </c>
      <c r="E7801" s="165">
        <v>3</v>
      </c>
    </row>
    <row r="7802" spans="1:5" x14ac:dyDescent="0.25">
      <c r="A7802" s="216" t="s">
        <v>10193</v>
      </c>
      <c r="B7802" s="218" t="s">
        <v>48</v>
      </c>
      <c r="C7802" s="220" t="s">
        <v>11819</v>
      </c>
      <c r="D7802" s="220" t="s">
        <v>59</v>
      </c>
      <c r="E7802" s="165">
        <v>3</v>
      </c>
    </row>
    <row r="7803" spans="1:5" x14ac:dyDescent="0.25">
      <c r="A7803" s="216" t="s">
        <v>5413</v>
      </c>
      <c r="B7803" s="218">
        <v>1</v>
      </c>
      <c r="C7803" s="220" t="s">
        <v>5414</v>
      </c>
      <c r="D7803" s="220" t="s">
        <v>139</v>
      </c>
      <c r="E7803" s="165">
        <v>3</v>
      </c>
    </row>
    <row r="7804" spans="1:5" x14ac:dyDescent="0.25">
      <c r="A7804" s="216" t="s">
        <v>9131</v>
      </c>
      <c r="B7804" s="218">
        <v>1</v>
      </c>
      <c r="C7804" s="220" t="s">
        <v>3544</v>
      </c>
      <c r="D7804" s="220" t="s">
        <v>236</v>
      </c>
      <c r="E7804" s="165">
        <v>3</v>
      </c>
    </row>
    <row r="7805" spans="1:5" x14ac:dyDescent="0.25">
      <c r="A7805" s="216" t="s">
        <v>10337</v>
      </c>
      <c r="B7805" s="218">
        <v>1</v>
      </c>
      <c r="C7805" s="220" t="s">
        <v>3132</v>
      </c>
      <c r="D7805" s="220" t="s">
        <v>188</v>
      </c>
      <c r="E7805" s="165">
        <v>3</v>
      </c>
    </row>
    <row r="7806" spans="1:5" x14ac:dyDescent="0.25">
      <c r="A7806" s="216" t="s">
        <v>10339</v>
      </c>
      <c r="B7806" s="218" t="s">
        <v>48</v>
      </c>
      <c r="C7806" s="220" t="s">
        <v>4204</v>
      </c>
      <c r="D7806" s="220" t="s">
        <v>710</v>
      </c>
      <c r="E7806" s="165">
        <v>3</v>
      </c>
    </row>
    <row r="7807" spans="1:5" x14ac:dyDescent="0.25">
      <c r="A7807" s="216" t="s">
        <v>10340</v>
      </c>
      <c r="B7807" s="218">
        <v>1</v>
      </c>
      <c r="C7807" s="220" t="s">
        <v>10341</v>
      </c>
      <c r="D7807" s="220" t="s">
        <v>78</v>
      </c>
      <c r="E7807" s="165">
        <v>3</v>
      </c>
    </row>
    <row r="7808" spans="1:5" x14ac:dyDescent="0.25">
      <c r="A7808" s="216" t="s">
        <v>11820</v>
      </c>
      <c r="B7808" s="218" t="s">
        <v>48</v>
      </c>
      <c r="C7808" s="220" t="s">
        <v>9467</v>
      </c>
      <c r="D7808" s="220" t="s">
        <v>59</v>
      </c>
      <c r="E7808" s="165">
        <v>3</v>
      </c>
    </row>
    <row r="7809" spans="1:5" x14ac:dyDescent="0.25">
      <c r="A7809" s="216" t="s">
        <v>10342</v>
      </c>
      <c r="B7809" s="218">
        <v>1</v>
      </c>
      <c r="C7809" s="220" t="s">
        <v>205</v>
      </c>
      <c r="D7809" s="220" t="s">
        <v>206</v>
      </c>
      <c r="E7809" s="165">
        <v>3</v>
      </c>
    </row>
    <row r="7810" spans="1:5" x14ac:dyDescent="0.25">
      <c r="A7810" s="216" t="s">
        <v>10351</v>
      </c>
      <c r="B7810" s="218">
        <v>1</v>
      </c>
      <c r="C7810" s="220" t="s">
        <v>10352</v>
      </c>
      <c r="D7810" s="220" t="s">
        <v>59</v>
      </c>
      <c r="E7810" s="165">
        <v>3</v>
      </c>
    </row>
    <row r="7811" spans="1:5" x14ac:dyDescent="0.25">
      <c r="A7811" s="216" t="s">
        <v>11821</v>
      </c>
      <c r="B7811" s="218" t="s">
        <v>48</v>
      </c>
      <c r="C7811" s="220" t="s">
        <v>5749</v>
      </c>
      <c r="D7811" s="220" t="s">
        <v>59</v>
      </c>
      <c r="E7811" s="165">
        <v>3</v>
      </c>
    </row>
    <row r="7812" spans="1:5" x14ac:dyDescent="0.25">
      <c r="A7812" s="216" t="s">
        <v>6699</v>
      </c>
      <c r="B7812" s="218">
        <v>1</v>
      </c>
      <c r="C7812" s="220" t="s">
        <v>6700</v>
      </c>
      <c r="D7812" s="220" t="s">
        <v>139</v>
      </c>
      <c r="E7812" s="165">
        <v>3</v>
      </c>
    </row>
    <row r="7813" spans="1:5" x14ac:dyDescent="0.25">
      <c r="A7813" s="216" t="s">
        <v>10334</v>
      </c>
      <c r="B7813" s="218">
        <v>1</v>
      </c>
      <c r="C7813" s="220" t="s">
        <v>2017</v>
      </c>
      <c r="D7813" s="220" t="s">
        <v>166</v>
      </c>
      <c r="E7813" s="165">
        <v>2</v>
      </c>
    </row>
    <row r="7814" spans="1:5" x14ac:dyDescent="0.25">
      <c r="A7814" s="216" t="s">
        <v>11822</v>
      </c>
      <c r="B7814" s="218" t="s">
        <v>48</v>
      </c>
      <c r="C7814" s="220" t="s">
        <v>11823</v>
      </c>
      <c r="D7814" s="220" t="s">
        <v>53</v>
      </c>
      <c r="E7814" s="165">
        <v>2</v>
      </c>
    </row>
    <row r="7815" spans="1:5" x14ac:dyDescent="0.25">
      <c r="A7815" s="216" t="s">
        <v>10535</v>
      </c>
      <c r="B7815" s="218">
        <v>1</v>
      </c>
      <c r="C7815" s="220" t="s">
        <v>11824</v>
      </c>
      <c r="D7815" s="220" t="s">
        <v>63</v>
      </c>
      <c r="E7815" s="165">
        <v>2</v>
      </c>
    </row>
    <row r="7816" spans="1:5" x14ac:dyDescent="0.25">
      <c r="A7816" s="216" t="s">
        <v>11825</v>
      </c>
      <c r="B7816" s="218" t="s">
        <v>48</v>
      </c>
      <c r="C7816" s="220" t="s">
        <v>1705</v>
      </c>
      <c r="D7816" s="220" t="s">
        <v>166</v>
      </c>
      <c r="E7816" s="165">
        <v>2</v>
      </c>
    </row>
    <row r="7817" spans="1:5" x14ac:dyDescent="0.25">
      <c r="A7817" s="216" t="s">
        <v>10345</v>
      </c>
      <c r="B7817" s="218">
        <v>1</v>
      </c>
      <c r="C7817" s="220" t="s">
        <v>3139</v>
      </c>
      <c r="D7817" s="220" t="s">
        <v>59</v>
      </c>
      <c r="E7817" s="165">
        <v>2</v>
      </c>
    </row>
    <row r="7818" spans="1:5" x14ac:dyDescent="0.25">
      <c r="A7818" s="216" t="s">
        <v>10346</v>
      </c>
      <c r="B7818" s="218">
        <v>1</v>
      </c>
      <c r="C7818" s="220" t="s">
        <v>473</v>
      </c>
      <c r="D7818" s="220" t="s">
        <v>82</v>
      </c>
      <c r="E7818" s="165">
        <v>2</v>
      </c>
    </row>
    <row r="7819" spans="1:5" x14ac:dyDescent="0.25">
      <c r="A7819" s="216" t="s">
        <v>10335</v>
      </c>
      <c r="B7819" s="218">
        <v>1</v>
      </c>
      <c r="C7819" s="220" t="s">
        <v>10336</v>
      </c>
      <c r="D7819" s="220" t="s">
        <v>82</v>
      </c>
      <c r="E7819" s="165">
        <v>2</v>
      </c>
    </row>
    <row r="7820" spans="1:5" x14ac:dyDescent="0.25">
      <c r="A7820" s="216" t="s">
        <v>11826</v>
      </c>
      <c r="B7820" s="218">
        <v>1</v>
      </c>
      <c r="C7820" s="220" t="s">
        <v>1504</v>
      </c>
      <c r="D7820" s="220" t="s">
        <v>523</v>
      </c>
      <c r="E7820" s="165">
        <v>2</v>
      </c>
    </row>
    <row r="7821" spans="1:5" x14ac:dyDescent="0.25">
      <c r="A7821" s="216" t="s">
        <v>10309</v>
      </c>
      <c r="B7821" s="218" t="s">
        <v>48</v>
      </c>
      <c r="C7821" s="220" t="s">
        <v>10310</v>
      </c>
      <c r="D7821" s="220" t="s">
        <v>59</v>
      </c>
      <c r="E7821" s="165">
        <v>2</v>
      </c>
    </row>
    <row r="7822" spans="1:5" x14ac:dyDescent="0.25">
      <c r="A7822" s="216" t="s">
        <v>10014</v>
      </c>
      <c r="B7822" s="218" t="s">
        <v>48</v>
      </c>
      <c r="C7822" s="220" t="s">
        <v>10015</v>
      </c>
      <c r="D7822" s="220" t="s">
        <v>585</v>
      </c>
      <c r="E7822" s="165">
        <v>2</v>
      </c>
    </row>
    <row r="7823" spans="1:5" x14ac:dyDescent="0.25">
      <c r="A7823" s="216" t="s">
        <v>8854</v>
      </c>
      <c r="B7823" s="218" t="s">
        <v>48</v>
      </c>
      <c r="C7823" s="220" t="s">
        <v>8855</v>
      </c>
      <c r="D7823" s="220" t="s">
        <v>53</v>
      </c>
      <c r="E7823" s="165">
        <v>2</v>
      </c>
    </row>
    <row r="7824" spans="1:5" x14ac:dyDescent="0.25">
      <c r="A7824" s="216" t="s">
        <v>9935</v>
      </c>
      <c r="B7824" s="218">
        <v>1</v>
      </c>
      <c r="C7824" s="220" t="s">
        <v>86</v>
      </c>
      <c r="D7824" s="220" t="s">
        <v>78</v>
      </c>
      <c r="E7824" s="165">
        <v>2</v>
      </c>
    </row>
    <row r="7825" spans="1:5" x14ac:dyDescent="0.25">
      <c r="A7825" s="216" t="s">
        <v>7165</v>
      </c>
      <c r="B7825" s="218">
        <v>1</v>
      </c>
      <c r="C7825" s="220" t="s">
        <v>227</v>
      </c>
      <c r="D7825" s="220" t="s">
        <v>78</v>
      </c>
      <c r="E7825" s="165">
        <v>2</v>
      </c>
    </row>
    <row r="7826" spans="1:5" x14ac:dyDescent="0.25">
      <c r="A7826" s="216" t="s">
        <v>10343</v>
      </c>
      <c r="B7826" s="218">
        <v>1</v>
      </c>
      <c r="C7826" s="220" t="s">
        <v>3046</v>
      </c>
      <c r="D7826" s="220" t="s">
        <v>222</v>
      </c>
      <c r="E7826" s="165">
        <v>2</v>
      </c>
    </row>
    <row r="7827" spans="1:5" x14ac:dyDescent="0.25">
      <c r="A7827" s="216" t="s">
        <v>10294</v>
      </c>
      <c r="B7827" s="218" t="s">
        <v>48</v>
      </c>
      <c r="C7827" s="220" t="s">
        <v>1047</v>
      </c>
      <c r="D7827" s="220" t="s">
        <v>53</v>
      </c>
      <c r="E7827" s="165">
        <v>2</v>
      </c>
    </row>
    <row r="7828" spans="1:5" x14ac:dyDescent="0.25">
      <c r="A7828" s="216" t="s">
        <v>11827</v>
      </c>
      <c r="B7828" s="218">
        <v>1</v>
      </c>
      <c r="C7828" s="220" t="s">
        <v>4525</v>
      </c>
      <c r="D7828" s="220" t="s">
        <v>87</v>
      </c>
      <c r="E7828" s="165">
        <v>2</v>
      </c>
    </row>
    <row r="7829" spans="1:5" x14ac:dyDescent="0.25">
      <c r="A7829" s="216" t="s">
        <v>4447</v>
      </c>
      <c r="B7829" s="218">
        <v>1</v>
      </c>
      <c r="C7829" s="220" t="s">
        <v>11828</v>
      </c>
      <c r="D7829" s="220" t="s">
        <v>50</v>
      </c>
      <c r="E7829" s="165">
        <v>1</v>
      </c>
    </row>
    <row r="7830" spans="1:5" x14ac:dyDescent="0.25">
      <c r="A7830" s="216" t="s">
        <v>10353</v>
      </c>
      <c r="B7830" s="218">
        <v>1</v>
      </c>
      <c r="C7830" s="220" t="s">
        <v>10354</v>
      </c>
      <c r="D7830" s="220" t="s">
        <v>63</v>
      </c>
      <c r="E7830" s="165">
        <v>1</v>
      </c>
    </row>
    <row r="7831" spans="1:5" x14ac:dyDescent="0.25">
      <c r="A7831" s="216" t="s">
        <v>7380</v>
      </c>
      <c r="B7831" s="218" t="s">
        <v>48</v>
      </c>
      <c r="C7831" s="220" t="s">
        <v>2826</v>
      </c>
      <c r="D7831" s="220" t="s">
        <v>90</v>
      </c>
      <c r="E7831" s="165">
        <v>1</v>
      </c>
    </row>
    <row r="7832" spans="1:5" x14ac:dyDescent="0.25">
      <c r="A7832" s="216" t="s">
        <v>10355</v>
      </c>
      <c r="B7832" s="218">
        <v>1</v>
      </c>
      <c r="C7832" s="220" t="s">
        <v>10356</v>
      </c>
      <c r="D7832" s="220" t="s">
        <v>277</v>
      </c>
      <c r="E7832" s="165">
        <v>1</v>
      </c>
    </row>
    <row r="7833" spans="1:5" x14ac:dyDescent="0.25">
      <c r="A7833" s="216" t="s">
        <v>10347</v>
      </c>
      <c r="B7833" s="218">
        <v>1</v>
      </c>
      <c r="C7833" s="220" t="s">
        <v>4757</v>
      </c>
      <c r="D7833" s="220" t="s">
        <v>90</v>
      </c>
      <c r="E7833" s="165">
        <v>1</v>
      </c>
    </row>
    <row r="7834" spans="1:5" x14ac:dyDescent="0.25">
      <c r="A7834" s="216" t="s">
        <v>10349</v>
      </c>
      <c r="B7834" s="218">
        <v>1</v>
      </c>
      <c r="C7834" s="220" t="s">
        <v>3403</v>
      </c>
      <c r="D7834" s="220" t="s">
        <v>166</v>
      </c>
      <c r="E7834" s="165">
        <v>1</v>
      </c>
    </row>
    <row r="7835" spans="1:5" x14ac:dyDescent="0.25">
      <c r="A7835" s="216" t="s">
        <v>10359</v>
      </c>
      <c r="B7835" s="218">
        <v>1</v>
      </c>
      <c r="C7835" s="220" t="s">
        <v>55</v>
      </c>
      <c r="D7835" s="220" t="s">
        <v>56</v>
      </c>
      <c r="E7835" s="165">
        <v>1</v>
      </c>
    </row>
    <row r="7836" spans="1:5" x14ac:dyDescent="0.25">
      <c r="A7836" s="216" t="s">
        <v>10324</v>
      </c>
      <c r="B7836" s="218" t="s">
        <v>48</v>
      </c>
      <c r="C7836" s="220" t="s">
        <v>10325</v>
      </c>
      <c r="D7836" s="220" t="s">
        <v>53</v>
      </c>
      <c r="E7836" s="165">
        <v>1</v>
      </c>
    </row>
    <row r="7837" spans="1:5" x14ac:dyDescent="0.25">
      <c r="A7837" s="216" t="s">
        <v>11829</v>
      </c>
      <c r="B7837" s="218">
        <v>1</v>
      </c>
      <c r="C7837" s="220" t="s">
        <v>251</v>
      </c>
      <c r="D7837" s="220" t="s">
        <v>98</v>
      </c>
      <c r="E7837" s="165">
        <v>1</v>
      </c>
    </row>
    <row r="7838" spans="1:5" x14ac:dyDescent="0.25">
      <c r="A7838" s="216" t="s">
        <v>10360</v>
      </c>
      <c r="B7838" s="218" t="s">
        <v>48</v>
      </c>
      <c r="C7838" s="220" t="s">
        <v>10361</v>
      </c>
      <c r="D7838" s="220" t="s">
        <v>166</v>
      </c>
      <c r="E7838" s="165">
        <v>1</v>
      </c>
    </row>
    <row r="7839" spans="1:5" x14ac:dyDescent="0.25">
      <c r="A7839" s="216" t="s">
        <v>10362</v>
      </c>
      <c r="B7839" s="218">
        <v>1</v>
      </c>
      <c r="C7839" s="220" t="s">
        <v>6613</v>
      </c>
      <c r="D7839" s="220" t="s">
        <v>53</v>
      </c>
      <c r="E7839" s="165">
        <v>1</v>
      </c>
    </row>
    <row r="7840" spans="1:5" x14ac:dyDescent="0.25">
      <c r="A7840" s="216" t="s">
        <v>10366</v>
      </c>
      <c r="B7840" s="218">
        <v>1</v>
      </c>
      <c r="C7840" s="220" t="s">
        <v>4572</v>
      </c>
      <c r="D7840" s="220" t="s">
        <v>72</v>
      </c>
      <c r="E7840" s="165">
        <v>1</v>
      </c>
    </row>
    <row r="7841" spans="1:5" x14ac:dyDescent="0.25">
      <c r="A7841" s="216" t="s">
        <v>9262</v>
      </c>
      <c r="B7841" s="218" t="s">
        <v>48</v>
      </c>
      <c r="C7841" s="220" t="s">
        <v>9263</v>
      </c>
      <c r="D7841" s="220" t="s">
        <v>90</v>
      </c>
      <c r="E7841" s="165">
        <v>1</v>
      </c>
    </row>
    <row r="7842" spans="1:5" x14ac:dyDescent="0.25">
      <c r="A7842" s="216" t="s">
        <v>11830</v>
      </c>
      <c r="B7842" s="218">
        <v>1</v>
      </c>
      <c r="C7842" s="220" t="s">
        <v>11831</v>
      </c>
      <c r="D7842" s="220" t="s">
        <v>130</v>
      </c>
      <c r="E7842" s="165">
        <v>1</v>
      </c>
    </row>
    <row r="7843" spans="1:5" x14ac:dyDescent="0.25">
      <c r="A7843" s="216" t="s">
        <v>10311</v>
      </c>
      <c r="B7843" s="218" t="s">
        <v>48</v>
      </c>
      <c r="C7843" s="220" t="s">
        <v>10312</v>
      </c>
      <c r="D7843" s="220" t="s">
        <v>93</v>
      </c>
      <c r="E7843" s="165">
        <v>1</v>
      </c>
    </row>
    <row r="7844" spans="1:5" x14ac:dyDescent="0.25">
      <c r="A7844" s="216" t="s">
        <v>10367</v>
      </c>
      <c r="B7844" s="218">
        <v>1</v>
      </c>
      <c r="C7844" s="220" t="s">
        <v>1714</v>
      </c>
      <c r="D7844" s="220" t="s">
        <v>130</v>
      </c>
      <c r="E7844" s="165">
        <v>1</v>
      </c>
    </row>
    <row r="7845" spans="1:5" x14ac:dyDescent="0.25">
      <c r="A7845" s="216" t="s">
        <v>5180</v>
      </c>
      <c r="B7845" s="218" t="s">
        <v>48</v>
      </c>
      <c r="C7845" s="220" t="s">
        <v>1730</v>
      </c>
      <c r="D7845" s="220" t="s">
        <v>585</v>
      </c>
      <c r="E7845" s="165">
        <v>1</v>
      </c>
    </row>
    <row r="7846" spans="1:5" x14ac:dyDescent="0.25">
      <c r="A7846" s="216" t="s">
        <v>11832</v>
      </c>
      <c r="B7846" s="218" t="s">
        <v>48</v>
      </c>
      <c r="C7846" s="220" t="s">
        <v>1719</v>
      </c>
      <c r="D7846" s="220" t="s">
        <v>90</v>
      </c>
      <c r="E7846" s="165">
        <v>1</v>
      </c>
    </row>
    <row r="7847" spans="1:5" x14ac:dyDescent="0.25">
      <c r="A7847" s="216" t="s">
        <v>11833</v>
      </c>
      <c r="B7847" s="218" t="s">
        <v>48</v>
      </c>
      <c r="C7847" s="220" t="s">
        <v>10027</v>
      </c>
      <c r="D7847" s="220" t="s">
        <v>166</v>
      </c>
      <c r="E7847" s="165">
        <v>1</v>
      </c>
    </row>
    <row r="7848" spans="1:5" x14ac:dyDescent="0.25">
      <c r="A7848" s="216" t="s">
        <v>10370</v>
      </c>
      <c r="B7848" s="218">
        <v>1</v>
      </c>
      <c r="C7848" s="220" t="s">
        <v>3357</v>
      </c>
      <c r="D7848" s="220" t="s">
        <v>78</v>
      </c>
      <c r="E7848" s="165">
        <v>1</v>
      </c>
    </row>
    <row r="7849" spans="1:5" x14ac:dyDescent="0.25">
      <c r="A7849" s="226"/>
      <c r="B7849" s="227"/>
      <c r="C7849" s="227"/>
      <c r="D7849" s="227"/>
      <c r="E7849" s="227"/>
    </row>
  </sheetData>
  <autoFilter ref="A2:E7848" xr:uid="{9B354D4B-FFF0-42B3-B657-7213E75F43D0}">
    <sortState xmlns:xlrd2="http://schemas.microsoft.com/office/spreadsheetml/2017/richdata2" ref="A3:E7848">
      <sortCondition descending="1" ref="E2:E7848"/>
    </sortState>
  </autoFilter>
  <mergeCells count="1">
    <mergeCell ref="A1:E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70710-3C22-45F6-879E-1EC578006E08}">
  <dimension ref="A1:K32"/>
  <sheetViews>
    <sheetView workbookViewId="0">
      <selection activeCell="A6" sqref="A6"/>
    </sheetView>
  </sheetViews>
  <sheetFormatPr defaultRowHeight="15" x14ac:dyDescent="0.25"/>
  <cols>
    <col min="1" max="1" width="31.42578125" bestFit="1" customWidth="1"/>
  </cols>
  <sheetData>
    <row r="1" spans="1:11" x14ac:dyDescent="0.25">
      <c r="A1" s="242" t="s">
        <v>10886</v>
      </c>
      <c r="B1" s="241"/>
      <c r="C1" s="241"/>
      <c r="D1" s="241"/>
      <c r="E1" s="241"/>
      <c r="F1" s="241"/>
      <c r="G1" s="241"/>
      <c r="H1" s="1"/>
      <c r="I1" s="1"/>
    </row>
    <row r="2" spans="1:11" x14ac:dyDescent="0.25">
      <c r="A2" s="243"/>
      <c r="B2" s="243"/>
      <c r="C2" s="243"/>
      <c r="D2" s="243"/>
      <c r="E2" s="243"/>
      <c r="F2" s="243"/>
      <c r="G2" s="241"/>
      <c r="H2" s="1"/>
      <c r="I2" s="1"/>
    </row>
    <row r="3" spans="1:11" ht="15.75" thickBot="1" x14ac:dyDescent="0.3">
      <c r="A3" s="35" t="s">
        <v>10371</v>
      </c>
      <c r="B3" s="36" t="s">
        <v>46</v>
      </c>
      <c r="C3" s="204" t="s">
        <v>10372</v>
      </c>
      <c r="D3" s="141" t="s">
        <v>10373</v>
      </c>
      <c r="E3" s="141" t="s">
        <v>10374</v>
      </c>
      <c r="F3" s="141" t="s">
        <v>10375</v>
      </c>
      <c r="G3" s="141" t="s">
        <v>10887</v>
      </c>
      <c r="H3" s="170" t="s">
        <v>10376</v>
      </c>
      <c r="I3" s="170" t="s">
        <v>10377</v>
      </c>
      <c r="J3" s="170" t="s">
        <v>10378</v>
      </c>
      <c r="K3" s="235" t="s">
        <v>10888</v>
      </c>
    </row>
    <row r="4" spans="1:11" x14ac:dyDescent="0.25">
      <c r="A4" s="37" t="s">
        <v>10379</v>
      </c>
      <c r="B4" s="205" t="s">
        <v>10380</v>
      </c>
      <c r="C4" s="135">
        <v>63000</v>
      </c>
      <c r="D4" s="135">
        <f>D5+D6</f>
        <v>29000</v>
      </c>
      <c r="E4" s="135">
        <v>17000</v>
      </c>
      <c r="F4" s="236">
        <f>F5+F6</f>
        <v>9000</v>
      </c>
      <c r="G4" s="237">
        <f>G5+G6</f>
        <v>8000</v>
      </c>
      <c r="H4" s="171">
        <f t="shared" ref="H4:K19" si="0">D4/C4-1</f>
        <v>-0.53968253968253976</v>
      </c>
      <c r="I4" s="171">
        <f t="shared" si="0"/>
        <v>-0.41379310344827591</v>
      </c>
      <c r="J4" s="171">
        <f t="shared" si="0"/>
        <v>-0.47058823529411764</v>
      </c>
      <c r="K4" s="172">
        <f t="shared" si="0"/>
        <v>-0.11111111111111116</v>
      </c>
    </row>
    <row r="5" spans="1:11" x14ac:dyDescent="0.25">
      <c r="A5" s="133" t="s">
        <v>10381</v>
      </c>
      <c r="B5" s="205" t="s">
        <v>10382</v>
      </c>
      <c r="C5" s="134">
        <v>30000</v>
      </c>
      <c r="D5" s="134">
        <v>14000</v>
      </c>
      <c r="E5" s="134">
        <v>12000</v>
      </c>
      <c r="F5" s="134">
        <v>7000</v>
      </c>
      <c r="G5" s="229">
        <v>6000</v>
      </c>
      <c r="H5" s="171">
        <f t="shared" si="0"/>
        <v>-0.53333333333333333</v>
      </c>
      <c r="I5" s="171">
        <f t="shared" si="0"/>
        <v>-0.1428571428571429</v>
      </c>
      <c r="J5" s="171">
        <f t="shared" si="0"/>
        <v>-0.41666666666666663</v>
      </c>
      <c r="K5" s="172">
        <f t="shared" si="0"/>
        <v>-0.1428571428571429</v>
      </c>
    </row>
    <row r="6" spans="1:11" x14ac:dyDescent="0.25">
      <c r="A6" s="133" t="s">
        <v>10383</v>
      </c>
      <c r="B6" s="205" t="s">
        <v>10384</v>
      </c>
      <c r="C6" s="134">
        <v>33000</v>
      </c>
      <c r="D6" s="134">
        <v>15000</v>
      </c>
      <c r="E6" s="134">
        <v>5000</v>
      </c>
      <c r="F6" s="134">
        <v>2000</v>
      </c>
      <c r="G6" s="229">
        <v>2000</v>
      </c>
      <c r="H6" s="171">
        <f t="shared" si="0"/>
        <v>-0.54545454545454541</v>
      </c>
      <c r="I6" s="171">
        <f t="shared" si="0"/>
        <v>-0.66666666666666674</v>
      </c>
      <c r="J6" s="171">
        <f t="shared" si="0"/>
        <v>-0.6</v>
      </c>
      <c r="K6" s="172">
        <f t="shared" si="0"/>
        <v>0</v>
      </c>
    </row>
    <row r="7" spans="1:11" x14ac:dyDescent="0.25">
      <c r="A7" s="37" t="s">
        <v>10385</v>
      </c>
      <c r="B7" s="205"/>
      <c r="C7" s="135">
        <v>950000</v>
      </c>
      <c r="D7" s="135">
        <v>900000</v>
      </c>
      <c r="E7" s="135">
        <v>860000</v>
      </c>
      <c r="F7" s="135">
        <v>765000</v>
      </c>
      <c r="G7" s="228">
        <f>G8</f>
        <v>706000</v>
      </c>
      <c r="H7" s="171">
        <f t="shared" si="0"/>
        <v>-5.2631578947368474E-2</v>
      </c>
      <c r="I7" s="171">
        <f t="shared" si="0"/>
        <v>-4.4444444444444398E-2</v>
      </c>
      <c r="J7" s="171">
        <f t="shared" si="0"/>
        <v>-0.11046511627906974</v>
      </c>
      <c r="K7" s="172">
        <f t="shared" si="0"/>
        <v>-7.7124183006535896E-2</v>
      </c>
    </row>
    <row r="8" spans="1:11" x14ac:dyDescent="0.25">
      <c r="A8" s="133" t="s">
        <v>10386</v>
      </c>
      <c r="B8" s="205" t="s">
        <v>10387</v>
      </c>
      <c r="C8" s="136">
        <v>950000</v>
      </c>
      <c r="D8" s="136">
        <v>900000</v>
      </c>
      <c r="E8" s="136">
        <v>860000</v>
      </c>
      <c r="F8" s="136">
        <v>765000</v>
      </c>
      <c r="G8" s="230">
        <v>706000</v>
      </c>
      <c r="H8" s="171">
        <f t="shared" si="0"/>
        <v>-5.2631578947368474E-2</v>
      </c>
      <c r="I8" s="171">
        <f t="shared" si="0"/>
        <v>-4.4444444444444398E-2</v>
      </c>
      <c r="J8" s="171">
        <f t="shared" si="0"/>
        <v>-0.11046511627906974</v>
      </c>
      <c r="K8" s="172">
        <f t="shared" si="0"/>
        <v>-7.7124183006535896E-2</v>
      </c>
    </row>
    <row r="9" spans="1:11" x14ac:dyDescent="0.25">
      <c r="A9" s="37" t="s">
        <v>10391</v>
      </c>
      <c r="B9" s="205"/>
      <c r="C9" s="135">
        <v>638750</v>
      </c>
      <c r="D9" s="135">
        <f>595575</f>
        <v>595575</v>
      </c>
      <c r="E9" s="135">
        <f>E10+E11</f>
        <v>501231</v>
      </c>
      <c r="F9" s="135">
        <f>F10+F11</f>
        <v>453502</v>
      </c>
      <c r="G9" s="228">
        <f>G10+G11</f>
        <v>437000</v>
      </c>
      <c r="H9" s="171">
        <f t="shared" si="0"/>
        <v>-6.7592954990215226E-2</v>
      </c>
      <c r="I9" s="171">
        <f t="shared" si="0"/>
        <v>-0.15840826092431681</v>
      </c>
      <c r="J9" s="171">
        <f t="shared" si="0"/>
        <v>-9.5223559596273932E-2</v>
      </c>
      <c r="K9" s="172">
        <f t="shared" si="0"/>
        <v>-3.6387932137013745E-2</v>
      </c>
    </row>
    <row r="10" spans="1:11" x14ac:dyDescent="0.25">
      <c r="A10" s="133" t="s">
        <v>10392</v>
      </c>
      <c r="B10" s="205" t="s">
        <v>10393</v>
      </c>
      <c r="C10" s="137">
        <v>592000</v>
      </c>
      <c r="D10" s="137">
        <v>540000</v>
      </c>
      <c r="E10" s="137">
        <v>452787</v>
      </c>
      <c r="F10" s="137">
        <v>408896</v>
      </c>
      <c r="G10" s="165">
        <v>400000</v>
      </c>
      <c r="H10" s="171">
        <f t="shared" si="0"/>
        <v>-8.7837837837837829E-2</v>
      </c>
      <c r="I10" s="171">
        <f t="shared" si="0"/>
        <v>-0.16150555555555557</v>
      </c>
      <c r="J10" s="171">
        <f t="shared" si="0"/>
        <v>-9.6935203528369818E-2</v>
      </c>
      <c r="K10" s="172">
        <f t="shared" si="0"/>
        <v>-2.1756143371419623E-2</v>
      </c>
    </row>
    <row r="11" spans="1:11" x14ac:dyDescent="0.25">
      <c r="A11" s="38" t="s">
        <v>10394</v>
      </c>
      <c r="B11" s="205" t="s">
        <v>10395</v>
      </c>
      <c r="C11" s="137">
        <v>48468</v>
      </c>
      <c r="D11" s="137">
        <v>45575</v>
      </c>
      <c r="E11" s="137">
        <v>48444</v>
      </c>
      <c r="F11" s="137">
        <v>44606</v>
      </c>
      <c r="G11" s="165">
        <v>37000</v>
      </c>
      <c r="H11" s="171">
        <f t="shared" si="0"/>
        <v>-5.9688866881241198E-2</v>
      </c>
      <c r="I11" s="171">
        <f t="shared" si="0"/>
        <v>6.2951179374657107E-2</v>
      </c>
      <c r="J11" s="171">
        <f t="shared" si="0"/>
        <v>-7.9225497481628326E-2</v>
      </c>
      <c r="K11" s="172">
        <f t="shared" si="0"/>
        <v>-0.170515177330404</v>
      </c>
    </row>
    <row r="12" spans="1:11" x14ac:dyDescent="0.25">
      <c r="A12" s="37" t="s">
        <v>10889</v>
      </c>
      <c r="B12" s="206"/>
      <c r="C12" s="135">
        <v>2731050</v>
      </c>
      <c r="D12" s="135">
        <v>2720500</v>
      </c>
      <c r="E12" s="135">
        <v>2625000</v>
      </c>
      <c r="F12" s="135">
        <f>SUM(F13:F21)</f>
        <v>1850200</v>
      </c>
      <c r="G12" s="228">
        <f>SUM(G13:G21)</f>
        <v>1790000</v>
      </c>
      <c r="H12" s="171">
        <f>3%</f>
        <v>0.03</v>
      </c>
      <c r="I12" s="171">
        <f t="shared" si="0"/>
        <v>-3.510384120566068E-2</v>
      </c>
      <c r="J12" s="171">
        <f>1.9/2.025-1</f>
        <v>-6.1728395061728447E-2</v>
      </c>
      <c r="K12" s="172">
        <f t="shared" si="0"/>
        <v>-3.253702302453787E-2</v>
      </c>
    </row>
    <row r="13" spans="1:11" x14ac:dyDescent="0.25">
      <c r="A13" s="133" t="s">
        <v>10396</v>
      </c>
      <c r="B13" s="167" t="s">
        <v>10397</v>
      </c>
      <c r="C13" s="40">
        <v>475000</v>
      </c>
      <c r="D13" s="40">
        <v>465000</v>
      </c>
      <c r="E13" s="40">
        <v>495000</v>
      </c>
      <c r="F13" s="40">
        <v>525000</v>
      </c>
      <c r="G13" s="166">
        <v>508000</v>
      </c>
      <c r="H13" s="171">
        <f t="shared" ref="H13:K28" si="1">D13/C13-1</f>
        <v>-2.1052631578947323E-2</v>
      </c>
      <c r="I13" s="171">
        <f t="shared" si="0"/>
        <v>6.4516129032258007E-2</v>
      </c>
      <c r="J13" s="171">
        <f t="shared" si="0"/>
        <v>6.0606060606060552E-2</v>
      </c>
      <c r="K13" s="172">
        <f t="shared" si="0"/>
        <v>-3.2380952380952399E-2</v>
      </c>
    </row>
    <row r="14" spans="1:11" x14ac:dyDescent="0.25">
      <c r="A14" s="133" t="s">
        <v>10398</v>
      </c>
      <c r="B14" s="205" t="s">
        <v>10384</v>
      </c>
      <c r="C14" s="136">
        <v>300000</v>
      </c>
      <c r="D14" s="136">
        <v>330000</v>
      </c>
      <c r="E14" s="136">
        <v>305000</v>
      </c>
      <c r="F14" s="136">
        <v>285000</v>
      </c>
      <c r="G14" s="230">
        <v>262000</v>
      </c>
      <c r="H14" s="171">
        <f t="shared" si="1"/>
        <v>0.10000000000000009</v>
      </c>
      <c r="I14" s="171">
        <f t="shared" si="0"/>
        <v>-7.5757575757575801E-2</v>
      </c>
      <c r="J14" s="171">
        <f t="shared" si="0"/>
        <v>-6.557377049180324E-2</v>
      </c>
      <c r="K14" s="172">
        <f t="shared" si="0"/>
        <v>-8.0701754385964941E-2</v>
      </c>
    </row>
    <row r="15" spans="1:11" x14ac:dyDescent="0.25">
      <c r="A15" s="133" t="s">
        <v>10399</v>
      </c>
      <c r="B15" s="205" t="s">
        <v>10400</v>
      </c>
      <c r="C15" s="136">
        <v>131250</v>
      </c>
      <c r="D15" s="136">
        <v>145000</v>
      </c>
      <c r="E15" s="136">
        <v>140000</v>
      </c>
      <c r="F15" s="136">
        <f>0.93*E15</f>
        <v>130200</v>
      </c>
      <c r="G15" s="230">
        <v>132000</v>
      </c>
      <c r="H15" s="171">
        <f t="shared" si="1"/>
        <v>0.10476190476190483</v>
      </c>
      <c r="I15" s="171">
        <f t="shared" si="0"/>
        <v>-3.4482758620689613E-2</v>
      </c>
      <c r="J15" s="171">
        <f t="shared" si="0"/>
        <v>-6.9999999999999951E-2</v>
      </c>
      <c r="K15" s="172">
        <f t="shared" si="0"/>
        <v>1.3824884792626779E-2</v>
      </c>
    </row>
    <row r="16" spans="1:11" x14ac:dyDescent="0.25">
      <c r="A16" s="133" t="s">
        <v>10401</v>
      </c>
      <c r="B16" s="167" t="s">
        <v>10387</v>
      </c>
      <c r="C16" s="40">
        <v>240000</v>
      </c>
      <c r="D16" s="40">
        <v>230000</v>
      </c>
      <c r="E16" s="40">
        <v>215000</v>
      </c>
      <c r="F16" s="40">
        <v>195000</v>
      </c>
      <c r="G16" s="166">
        <v>204000</v>
      </c>
      <c r="H16" s="171">
        <f t="shared" si="1"/>
        <v>-4.166666666666663E-2</v>
      </c>
      <c r="I16" s="171">
        <f t="shared" si="0"/>
        <v>-6.5217391304347783E-2</v>
      </c>
      <c r="J16" s="171">
        <f t="shared" si="0"/>
        <v>-9.3023255813953543E-2</v>
      </c>
      <c r="K16" s="172">
        <f t="shared" si="0"/>
        <v>4.6153846153846212E-2</v>
      </c>
    </row>
    <row r="17" spans="1:11" x14ac:dyDescent="0.25">
      <c r="A17" s="39" t="s">
        <v>10402</v>
      </c>
      <c r="B17" s="167" t="s">
        <v>10403</v>
      </c>
      <c r="C17" s="40">
        <v>80000</v>
      </c>
      <c r="D17" s="40">
        <v>85000</v>
      </c>
      <c r="E17" s="40">
        <v>75000</v>
      </c>
      <c r="F17" s="40">
        <v>65000</v>
      </c>
      <c r="G17" s="166">
        <v>50000</v>
      </c>
      <c r="H17" s="171">
        <f t="shared" si="1"/>
        <v>6.25E-2</v>
      </c>
      <c r="I17" s="171">
        <f t="shared" si="0"/>
        <v>-0.11764705882352944</v>
      </c>
      <c r="J17" s="171">
        <f t="shared" si="0"/>
        <v>-0.1333333333333333</v>
      </c>
      <c r="K17" s="172">
        <f t="shared" si="0"/>
        <v>-0.23076923076923073</v>
      </c>
    </row>
    <row r="18" spans="1:11" x14ac:dyDescent="0.25">
      <c r="A18" s="39" t="s">
        <v>10404</v>
      </c>
      <c r="B18" s="167" t="s">
        <v>10390</v>
      </c>
      <c r="C18" s="40">
        <v>163800</v>
      </c>
      <c r="D18" s="40">
        <v>176000</v>
      </c>
      <c r="E18" s="40">
        <v>155000</v>
      </c>
      <c r="F18" s="40">
        <v>135000</v>
      </c>
      <c r="G18" s="166">
        <v>116000</v>
      </c>
      <c r="H18" s="171">
        <f t="shared" si="1"/>
        <v>7.4481074481074439E-2</v>
      </c>
      <c r="I18" s="171">
        <f t="shared" si="0"/>
        <v>-0.11931818181818177</v>
      </c>
      <c r="J18" s="171">
        <f t="shared" si="0"/>
        <v>-0.12903225806451613</v>
      </c>
      <c r="K18" s="172">
        <f t="shared" si="0"/>
        <v>-0.14074074074074072</v>
      </c>
    </row>
    <row r="19" spans="1:11" x14ac:dyDescent="0.25">
      <c r="A19" s="39" t="s">
        <v>10405</v>
      </c>
      <c r="B19" s="167" t="s">
        <v>10406</v>
      </c>
      <c r="C19" s="40">
        <v>70000</v>
      </c>
      <c r="D19" s="40">
        <v>97000</v>
      </c>
      <c r="E19" s="40">
        <v>115000</v>
      </c>
      <c r="F19" s="40">
        <v>120000</v>
      </c>
      <c r="G19" s="166">
        <v>126000</v>
      </c>
      <c r="H19" s="171">
        <f t="shared" si="1"/>
        <v>0.38571428571428568</v>
      </c>
      <c r="I19" s="171">
        <f t="shared" si="0"/>
        <v>0.18556701030927836</v>
      </c>
      <c r="J19" s="171">
        <f t="shared" si="0"/>
        <v>4.3478260869565188E-2</v>
      </c>
      <c r="K19" s="172">
        <f t="shared" si="0"/>
        <v>5.0000000000000044E-2</v>
      </c>
    </row>
    <row r="20" spans="1:11" x14ac:dyDescent="0.25">
      <c r="A20" s="133" t="s">
        <v>10407</v>
      </c>
      <c r="B20" s="167" t="s">
        <v>10408</v>
      </c>
      <c r="C20" s="40">
        <v>22500</v>
      </c>
      <c r="D20" s="40">
        <v>22500</v>
      </c>
      <c r="E20" s="40">
        <v>20000</v>
      </c>
      <c r="F20" s="40">
        <v>15000</v>
      </c>
      <c r="G20" s="166">
        <v>6000</v>
      </c>
      <c r="H20" s="171">
        <f t="shared" si="1"/>
        <v>0</v>
      </c>
      <c r="I20" s="171">
        <f t="shared" si="1"/>
        <v>-0.11111111111111116</v>
      </c>
      <c r="J20" s="171">
        <f t="shared" si="1"/>
        <v>-0.25</v>
      </c>
      <c r="K20" s="172">
        <f t="shared" si="1"/>
        <v>-0.6</v>
      </c>
    </row>
    <row r="21" spans="1:11" ht="17.25" x14ac:dyDescent="0.25">
      <c r="A21" s="38" t="s">
        <v>10890</v>
      </c>
      <c r="B21" s="167" t="s">
        <v>10409</v>
      </c>
      <c r="C21" s="138">
        <v>710000</v>
      </c>
      <c r="D21" s="138">
        <v>660000</v>
      </c>
      <c r="E21" s="138">
        <v>640000</v>
      </c>
      <c r="F21" s="138">
        <v>380000</v>
      </c>
      <c r="G21" s="232">
        <v>386000</v>
      </c>
      <c r="H21" s="171">
        <v>0.08</v>
      </c>
      <c r="I21" s="171">
        <f t="shared" si="1"/>
        <v>-3.0303030303030276E-2</v>
      </c>
      <c r="J21" s="171">
        <f>380000/310000-1</f>
        <v>0.22580645161290325</v>
      </c>
      <c r="K21" s="172">
        <f t="shared" si="1"/>
        <v>1.5789473684210575E-2</v>
      </c>
    </row>
    <row r="22" spans="1:11" x14ac:dyDescent="0.25">
      <c r="A22" s="37" t="s">
        <v>10410</v>
      </c>
      <c r="B22" s="167"/>
      <c r="C22" s="139">
        <f t="shared" ref="C22:D22" si="2">C23+C24</f>
        <v>1441539.12</v>
      </c>
      <c r="D22" s="139">
        <f t="shared" si="2"/>
        <v>1570000</v>
      </c>
      <c r="E22" s="139">
        <f>E23+E24</f>
        <v>1675000</v>
      </c>
      <c r="F22" s="139">
        <v>1850000</v>
      </c>
      <c r="G22" s="231">
        <f>1864000</f>
        <v>1864000</v>
      </c>
      <c r="H22" s="171">
        <f t="shared" ref="H22:H27" si="3">D22/C22-1</f>
        <v>8.9113696754896221E-2</v>
      </c>
      <c r="I22" s="171">
        <f t="shared" si="1"/>
        <v>6.6878980891719841E-2</v>
      </c>
      <c r="J22" s="171">
        <f t="shared" si="1"/>
        <v>0.10447761194029859</v>
      </c>
      <c r="K22" s="172">
        <f t="shared" si="1"/>
        <v>7.5675675675674903E-3</v>
      </c>
    </row>
    <row r="23" spans="1:11" x14ac:dyDescent="0.25">
      <c r="A23" s="133" t="s">
        <v>10411</v>
      </c>
      <c r="B23" s="167" t="s">
        <v>10395</v>
      </c>
      <c r="C23" s="138">
        <v>975000</v>
      </c>
      <c r="D23" s="138">
        <v>1080000</v>
      </c>
      <c r="E23" s="138">
        <v>1230000</v>
      </c>
      <c r="F23" s="138">
        <f>F22-F24</f>
        <v>1383000</v>
      </c>
      <c r="G23" s="232">
        <f>G22-G24</f>
        <v>1408000</v>
      </c>
      <c r="H23" s="171">
        <f t="shared" si="3"/>
        <v>0.10769230769230775</v>
      </c>
      <c r="I23" s="171">
        <f t="shared" si="1"/>
        <v>0.13888888888888884</v>
      </c>
      <c r="J23" s="171">
        <f t="shared" si="1"/>
        <v>0.12439024390243913</v>
      </c>
      <c r="K23" s="172">
        <f t="shared" si="1"/>
        <v>1.8076644974692746E-2</v>
      </c>
    </row>
    <row r="24" spans="1:11" x14ac:dyDescent="0.25">
      <c r="A24" s="133" t="s">
        <v>10412</v>
      </c>
      <c r="B24" s="167" t="s">
        <v>10393</v>
      </c>
      <c r="C24" s="137">
        <v>466539.12000000005</v>
      </c>
      <c r="D24" s="137">
        <v>490000</v>
      </c>
      <c r="E24" s="137">
        <v>445000</v>
      </c>
      <c r="F24" s="137">
        <v>467000</v>
      </c>
      <c r="G24" s="165">
        <v>456000</v>
      </c>
      <c r="H24" s="171">
        <f t="shared" si="3"/>
        <v>5.028705845717707E-2</v>
      </c>
      <c r="I24" s="171">
        <f t="shared" si="1"/>
        <v>-9.1836734693877542E-2</v>
      </c>
      <c r="J24" s="171">
        <f t="shared" si="1"/>
        <v>4.9438202247191088E-2</v>
      </c>
      <c r="K24" s="172">
        <f t="shared" si="1"/>
        <v>-2.3554603854389677E-2</v>
      </c>
    </row>
    <row r="25" spans="1:11" ht="17.25" x14ac:dyDescent="0.25">
      <c r="A25" s="37" t="s">
        <v>10891</v>
      </c>
      <c r="B25" s="206"/>
      <c r="C25" s="139">
        <v>2645400</v>
      </c>
      <c r="D25" s="139">
        <v>2695150</v>
      </c>
      <c r="E25" s="139">
        <v>2520500</v>
      </c>
      <c r="F25" s="139">
        <v>2273500</v>
      </c>
      <c r="G25" s="231">
        <f>SUM(G26:G27)</f>
        <v>1947000</v>
      </c>
      <c r="H25" s="171">
        <f t="shared" si="3"/>
        <v>1.880622968171175E-2</v>
      </c>
      <c r="I25" s="171">
        <f t="shared" si="1"/>
        <v>-6.4801588037771585E-2</v>
      </c>
      <c r="J25" s="171">
        <f t="shared" si="1"/>
        <v>-9.7996429279904818E-2</v>
      </c>
      <c r="K25" s="172">
        <f>G25/(F25-150000)-1</f>
        <v>-8.3117494702142691E-2</v>
      </c>
    </row>
    <row r="26" spans="1:11" x14ac:dyDescent="0.25">
      <c r="A26" s="133" t="s">
        <v>10413</v>
      </c>
      <c r="B26" s="167" t="s">
        <v>10414</v>
      </c>
      <c r="C26" s="40">
        <v>1800000</v>
      </c>
      <c r="D26" s="40">
        <v>1825000</v>
      </c>
      <c r="E26" s="40">
        <v>1765000</v>
      </c>
      <c r="F26" s="40">
        <v>1600000</v>
      </c>
      <c r="G26" s="166">
        <v>1516000</v>
      </c>
      <c r="H26" s="171">
        <f t="shared" si="3"/>
        <v>1.388888888888884E-2</v>
      </c>
      <c r="I26" s="171">
        <f t="shared" si="1"/>
        <v>-3.2876712328767099E-2</v>
      </c>
      <c r="J26" s="171">
        <f t="shared" si="1"/>
        <v>-9.3484419263456076E-2</v>
      </c>
      <c r="K26" s="172">
        <f>G26/F26-1</f>
        <v>-5.2499999999999991E-2</v>
      </c>
    </row>
    <row r="27" spans="1:11" x14ac:dyDescent="0.25">
      <c r="A27" s="133" t="s">
        <v>10415</v>
      </c>
      <c r="B27" s="167" t="s">
        <v>10416</v>
      </c>
      <c r="C27" s="40">
        <v>550000</v>
      </c>
      <c r="D27" s="40">
        <v>575000</v>
      </c>
      <c r="E27" s="40">
        <v>525000</v>
      </c>
      <c r="F27" s="40">
        <v>475000</v>
      </c>
      <c r="G27" s="166">
        <v>431000</v>
      </c>
      <c r="H27" s="171">
        <f t="shared" si="3"/>
        <v>4.5454545454545414E-2</v>
      </c>
      <c r="I27" s="171">
        <f t="shared" si="1"/>
        <v>-8.6956521739130488E-2</v>
      </c>
      <c r="J27" s="171">
        <f t="shared" si="1"/>
        <v>-9.5238095238095233E-2</v>
      </c>
      <c r="K27" s="172">
        <f>G27/F27-1</f>
        <v>-9.2631578947368398E-2</v>
      </c>
    </row>
    <row r="28" spans="1:11" ht="17.25" x14ac:dyDescent="0.25">
      <c r="A28" s="140" t="s">
        <v>10892</v>
      </c>
      <c r="B28" s="168"/>
      <c r="C28" s="238">
        <f>C25+C22+C12+C9+C7+C4</f>
        <v>8469739.120000001</v>
      </c>
      <c r="D28" s="169">
        <f t="shared" ref="D28:G28" si="4">D25+D22+D12+D9+D7+D4</f>
        <v>8510225</v>
      </c>
      <c r="E28" s="169">
        <f t="shared" si="4"/>
        <v>8198731</v>
      </c>
      <c r="F28" s="169">
        <f t="shared" si="4"/>
        <v>7201202</v>
      </c>
      <c r="G28" s="233">
        <f t="shared" si="4"/>
        <v>6752000</v>
      </c>
      <c r="H28" s="173">
        <v>0.02</v>
      </c>
      <c r="I28" s="173">
        <f t="shared" si="1"/>
        <v>-3.6602322500286388E-2</v>
      </c>
      <c r="J28" s="173">
        <f>F28/(E28-600000)-1</f>
        <v>-5.2315182627204471E-2</v>
      </c>
      <c r="K28" s="174">
        <f>G28/(F28-150000)-1</f>
        <v>-4.2432765363976221E-2</v>
      </c>
    </row>
    <row r="29" spans="1:11" x14ac:dyDescent="0.25">
      <c r="A29" s="239" t="s">
        <v>10893</v>
      </c>
      <c r="B29" s="32"/>
      <c r="C29" s="34"/>
      <c r="D29" s="34"/>
      <c r="E29" s="34"/>
      <c r="F29" s="34"/>
      <c r="G29" s="34"/>
      <c r="H29" s="171"/>
      <c r="I29" s="171"/>
      <c r="J29" s="171"/>
      <c r="K29" s="171"/>
    </row>
    <row r="30" spans="1:11" x14ac:dyDescent="0.25">
      <c r="A30" s="234" t="s">
        <v>10894</v>
      </c>
    </row>
    <row r="31" spans="1:11" x14ac:dyDescent="0.25">
      <c r="A31" s="234" t="s">
        <v>10895</v>
      </c>
    </row>
    <row r="32" spans="1:11" x14ac:dyDescent="0.25">
      <c r="A32" t="s">
        <v>10896</v>
      </c>
    </row>
  </sheetData>
  <mergeCells count="1">
    <mergeCell ref="A1:G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A2FD9-3165-43F5-82BE-8C6CDF07D37A}">
  <dimension ref="A1:V117"/>
  <sheetViews>
    <sheetView workbookViewId="0">
      <selection activeCell="D55" sqref="D55"/>
    </sheetView>
  </sheetViews>
  <sheetFormatPr defaultRowHeight="15" x14ac:dyDescent="0.25"/>
  <cols>
    <col min="1" max="1" width="5.28515625" bestFit="1" customWidth="1"/>
    <col min="2" max="2" width="18.7109375" bestFit="1" customWidth="1"/>
    <col min="3" max="3" width="4.7109375" customWidth="1"/>
    <col min="4" max="4" width="15.85546875" bestFit="1" customWidth="1"/>
    <col min="5" max="5" width="16.42578125" customWidth="1"/>
    <col min="6" max="6" width="16.42578125" style="1" customWidth="1"/>
    <col min="7" max="9" width="15.85546875" style="1" bestFit="1" customWidth="1"/>
    <col min="10" max="17" width="16.42578125" style="1" bestFit="1" customWidth="1"/>
    <col min="18" max="18" width="9.140625" style="1"/>
    <col min="19" max="19" width="14.28515625" style="1" bestFit="1" customWidth="1"/>
    <col min="20" max="21" width="9.140625" style="1"/>
  </cols>
  <sheetData>
    <row r="1" spans="1:22" ht="23.25" x14ac:dyDescent="0.25">
      <c r="A1" s="86" t="s">
        <v>10898</v>
      </c>
      <c r="B1" s="86"/>
      <c r="C1" s="86"/>
      <c r="D1" s="86"/>
      <c r="E1" s="86"/>
      <c r="F1" s="86"/>
      <c r="G1" s="86"/>
      <c r="H1" s="86"/>
      <c r="I1" s="86"/>
      <c r="J1" s="86"/>
      <c r="K1" s="86"/>
      <c r="L1" s="86"/>
      <c r="M1" s="86"/>
      <c r="N1" s="86"/>
      <c r="O1" s="86"/>
      <c r="P1" s="86"/>
      <c r="Q1" s="86"/>
      <c r="R1" s="86"/>
      <c r="S1" s="86"/>
      <c r="T1" s="86"/>
      <c r="U1" s="86"/>
      <c r="V1" s="86"/>
    </row>
    <row r="2" spans="1:22" ht="60.75" thickBot="1" x14ac:dyDescent="0.3">
      <c r="A2" s="41" t="s">
        <v>10418</v>
      </c>
      <c r="B2" s="41" t="s">
        <v>46</v>
      </c>
      <c r="C2" s="42" t="s">
        <v>10419</v>
      </c>
      <c r="D2" s="146" t="s">
        <v>10897</v>
      </c>
      <c r="E2" s="146" t="s">
        <v>10420</v>
      </c>
      <c r="F2" s="146" t="s">
        <v>10421</v>
      </c>
      <c r="G2" s="146" t="s">
        <v>10422</v>
      </c>
      <c r="H2" s="146" t="s">
        <v>10423</v>
      </c>
      <c r="I2" s="146" t="s">
        <v>10424</v>
      </c>
      <c r="J2" s="146" t="s">
        <v>10425</v>
      </c>
      <c r="K2" s="146" t="s">
        <v>10426</v>
      </c>
      <c r="L2" s="146" t="s">
        <v>10427</v>
      </c>
      <c r="M2" s="146" t="s">
        <v>10428</v>
      </c>
      <c r="N2" s="146" t="s">
        <v>10429</v>
      </c>
      <c r="O2" s="146" t="s">
        <v>10430</v>
      </c>
      <c r="P2" s="146" t="s">
        <v>10431</v>
      </c>
      <c r="Q2" s="146" t="s">
        <v>10432</v>
      </c>
      <c r="R2" s="147"/>
      <c r="S2" s="240" t="s">
        <v>10899</v>
      </c>
      <c r="T2" s="148" t="s">
        <v>10433</v>
      </c>
      <c r="U2" s="148" t="s">
        <v>10418</v>
      </c>
    </row>
    <row r="3" spans="1:22" x14ac:dyDescent="0.25">
      <c r="A3" s="43">
        <v>38</v>
      </c>
      <c r="B3" s="44" t="s">
        <v>172</v>
      </c>
      <c r="C3" s="45"/>
      <c r="D3" s="143">
        <v>85970.98301255425</v>
      </c>
      <c r="E3" s="143">
        <v>90682.660855545415</v>
      </c>
      <c r="F3" s="143">
        <v>95134.211852752953</v>
      </c>
      <c r="G3" s="143">
        <v>96004.069999999992</v>
      </c>
      <c r="H3" s="143">
        <v>78847.03</v>
      </c>
      <c r="I3" s="143">
        <v>85479.569999999992</v>
      </c>
      <c r="J3" s="143">
        <v>76639.750000000015</v>
      </c>
      <c r="K3" s="149">
        <v>62737.739999999991</v>
      </c>
      <c r="L3" s="150">
        <v>61042.2</v>
      </c>
      <c r="M3" s="150">
        <v>50369</v>
      </c>
      <c r="N3" s="151">
        <v>39452</v>
      </c>
      <c r="O3" s="149">
        <v>32531</v>
      </c>
      <c r="P3" s="152">
        <v>7274</v>
      </c>
      <c r="Q3" s="153">
        <v>942</v>
      </c>
      <c r="R3" s="154"/>
      <c r="S3" s="144">
        <v>3763934</v>
      </c>
      <c r="T3" s="155">
        <f>(D3*31)/S3</f>
        <v>0.70806248818103124</v>
      </c>
      <c r="U3" s="156">
        <f t="shared" ref="U3:U34" si="0">RANK(T3,$T$3:$T$53)</f>
        <v>47</v>
      </c>
    </row>
    <row r="4" spans="1:22" x14ac:dyDescent="0.25">
      <c r="A4" s="43">
        <v>32</v>
      </c>
      <c r="B4" s="46" t="s">
        <v>124</v>
      </c>
      <c r="C4" s="45"/>
      <c r="D4" s="142">
        <v>145808.96338906858</v>
      </c>
      <c r="E4" s="142">
        <v>152959.94255810644</v>
      </c>
      <c r="F4" s="142">
        <v>162024.53700000001</v>
      </c>
      <c r="G4" s="142">
        <v>169661.43000000002</v>
      </c>
      <c r="H4" s="143">
        <v>161419.55399999997</v>
      </c>
      <c r="I4" s="143">
        <v>203657.03699999998</v>
      </c>
      <c r="J4" s="142">
        <v>206939.50900000002</v>
      </c>
      <c r="K4" s="157">
        <v>204301.87999999998</v>
      </c>
      <c r="L4" s="158">
        <v>207368.55000000002</v>
      </c>
      <c r="M4" s="158">
        <v>209644</v>
      </c>
      <c r="N4" s="159">
        <v>200527</v>
      </c>
      <c r="O4" s="157">
        <v>182530.38</v>
      </c>
      <c r="P4" s="160">
        <v>170610</v>
      </c>
      <c r="Q4" s="161">
        <v>157107</v>
      </c>
      <c r="R4" s="154"/>
      <c r="S4" s="144">
        <v>533123</v>
      </c>
      <c r="T4" s="155">
        <f t="shared" ref="T4:T55" si="1">(D4*31)/S4</f>
        <v>8.4784897013655875</v>
      </c>
      <c r="U4" s="156">
        <f t="shared" si="0"/>
        <v>4</v>
      </c>
    </row>
    <row r="5" spans="1:22" x14ac:dyDescent="0.25">
      <c r="A5" s="43">
        <v>23</v>
      </c>
      <c r="B5" s="46" t="s">
        <v>206</v>
      </c>
      <c r="C5" s="45"/>
      <c r="D5" s="142">
        <v>224627.4350418135</v>
      </c>
      <c r="E5" s="142">
        <v>217731.59567088704</v>
      </c>
      <c r="F5" s="142">
        <v>219759.9491780822</v>
      </c>
      <c r="G5" s="142">
        <v>209398.06999999998</v>
      </c>
      <c r="H5" s="143">
        <v>162402.39500000002</v>
      </c>
      <c r="I5" s="143">
        <v>204884.64212257997</v>
      </c>
      <c r="J5" s="142">
        <v>173226.3683</v>
      </c>
      <c r="K5" s="157">
        <v>147727.9116129032</v>
      </c>
      <c r="L5" s="158">
        <v>147254.54999999999</v>
      </c>
      <c r="M5" s="158">
        <v>187213</v>
      </c>
      <c r="N5" s="159">
        <v>156701.53999999998</v>
      </c>
      <c r="O5" s="157">
        <v>117457.47</v>
      </c>
      <c r="P5" s="160">
        <v>93103</v>
      </c>
      <c r="Q5" s="161">
        <v>69080</v>
      </c>
      <c r="R5" s="154"/>
      <c r="S5" s="144">
        <v>5553078</v>
      </c>
      <c r="T5" s="155">
        <f t="shared" si="1"/>
        <v>1.2539803125935236</v>
      </c>
      <c r="U5" s="156">
        <f t="shared" si="0"/>
        <v>36</v>
      </c>
    </row>
    <row r="6" spans="1:22" x14ac:dyDescent="0.25">
      <c r="A6" s="43">
        <v>44</v>
      </c>
      <c r="B6" s="46" t="s">
        <v>378</v>
      </c>
      <c r="C6" s="45"/>
      <c r="D6" s="142">
        <v>53696.344279885583</v>
      </c>
      <c r="E6" s="142">
        <v>52809.487001250869</v>
      </c>
      <c r="F6" s="142">
        <v>52824.32</v>
      </c>
      <c r="G6" s="142">
        <v>50993.264999999999</v>
      </c>
      <c r="H6" s="143">
        <v>39990.410000000003</v>
      </c>
      <c r="I6" s="143">
        <v>46933.760000000002</v>
      </c>
      <c r="J6" s="142">
        <v>41490.119999999995</v>
      </c>
      <c r="K6" s="157">
        <v>42294.25</v>
      </c>
      <c r="L6" s="158">
        <v>35845.69</v>
      </c>
      <c r="M6" s="158">
        <v>24623</v>
      </c>
      <c r="N6" s="159">
        <v>14640.75</v>
      </c>
      <c r="O6" s="157">
        <v>10417</v>
      </c>
      <c r="P6" s="160">
        <v>5639</v>
      </c>
      <c r="Q6" s="161">
        <v>4079</v>
      </c>
      <c r="R6" s="154"/>
      <c r="S6" s="144">
        <v>2243142</v>
      </c>
      <c r="T6" s="155">
        <f t="shared" si="1"/>
        <v>0.7420781531781997</v>
      </c>
      <c r="U6" s="156">
        <f t="shared" si="0"/>
        <v>46</v>
      </c>
    </row>
    <row r="7" spans="1:22" x14ac:dyDescent="0.25">
      <c r="A7" s="43">
        <v>1</v>
      </c>
      <c r="B7" s="46" t="s">
        <v>56</v>
      </c>
      <c r="C7" s="45"/>
      <c r="D7" s="142">
        <v>3737147.3151254109</v>
      </c>
      <c r="E7" s="142">
        <v>3245189.16384236</v>
      </c>
      <c r="F7" s="142">
        <v>3237825.3108985065</v>
      </c>
      <c r="G7" s="142">
        <v>3563691.1739442414</v>
      </c>
      <c r="H7" s="143">
        <v>3262612.05375</v>
      </c>
      <c r="I7" s="143">
        <v>3785497.2929425053</v>
      </c>
      <c r="J7" s="142">
        <v>3477216.7593548396</v>
      </c>
      <c r="K7" s="157">
        <v>3285524.9566666665</v>
      </c>
      <c r="L7" s="158">
        <v>3295221.4900000007</v>
      </c>
      <c r="M7" s="158">
        <v>3799785</v>
      </c>
      <c r="N7" s="159">
        <v>3423123.879999999</v>
      </c>
      <c r="O7" s="157">
        <v>2948894.8499999996</v>
      </c>
      <c r="P7" s="160">
        <v>2453793</v>
      </c>
      <c r="Q7" s="161">
        <v>2020246</v>
      </c>
      <c r="R7" s="154"/>
      <c r="S7" s="144">
        <v>28988643</v>
      </c>
      <c r="T7" s="155">
        <f t="shared" si="1"/>
        <v>3.9964467039346321</v>
      </c>
      <c r="U7" s="156">
        <f t="shared" si="0"/>
        <v>14</v>
      </c>
    </row>
    <row r="8" spans="1:22" x14ac:dyDescent="0.25">
      <c r="A8" s="43">
        <v>9</v>
      </c>
      <c r="B8" s="46" t="s">
        <v>69</v>
      </c>
      <c r="C8" s="45"/>
      <c r="D8" s="142">
        <v>779337.77454956423</v>
      </c>
      <c r="E8" s="142">
        <v>793101.54876086302</v>
      </c>
      <c r="F8" s="142">
        <v>846323.58710201969</v>
      </c>
      <c r="G8" s="142">
        <v>846120.52643835626</v>
      </c>
      <c r="H8" s="143">
        <v>920104.41500000004</v>
      </c>
      <c r="I8" s="143">
        <v>1555812.8194092698</v>
      </c>
      <c r="J8" s="142">
        <v>1508824.8561451614</v>
      </c>
      <c r="K8" s="157">
        <v>1523204.32</v>
      </c>
      <c r="L8" s="158">
        <v>1429130.4780000001</v>
      </c>
      <c r="M8" s="158">
        <v>1775831</v>
      </c>
      <c r="N8" s="159">
        <v>1673686.2999999998</v>
      </c>
      <c r="O8" s="157">
        <v>1413241.7699999998</v>
      </c>
      <c r="P8" s="160">
        <v>1291771</v>
      </c>
      <c r="Q8" s="161">
        <v>1185354</v>
      </c>
      <c r="R8" s="154"/>
      <c r="S8" s="144">
        <v>4441305</v>
      </c>
      <c r="T8" s="155">
        <f t="shared" si="1"/>
        <v>5.4397234621437827</v>
      </c>
      <c r="U8" s="156">
        <f t="shared" si="0"/>
        <v>8</v>
      </c>
    </row>
    <row r="9" spans="1:22" x14ac:dyDescent="0.25">
      <c r="A9" s="43">
        <v>14</v>
      </c>
      <c r="B9" s="46" t="s">
        <v>72</v>
      </c>
      <c r="C9" s="45"/>
      <c r="D9" s="142">
        <v>428217.66139917501</v>
      </c>
      <c r="E9" s="142">
        <v>347327.40754274867</v>
      </c>
      <c r="F9" s="142">
        <v>299158.95123287675</v>
      </c>
      <c r="G9" s="142">
        <v>291085.46999999997</v>
      </c>
      <c r="H9" s="143">
        <v>255265.43</v>
      </c>
      <c r="I9" s="143">
        <v>228981.28</v>
      </c>
      <c r="J9" s="142">
        <v>209878.85</v>
      </c>
      <c r="K9" s="157">
        <v>166847.78</v>
      </c>
      <c r="L9" s="158">
        <v>129824.75</v>
      </c>
      <c r="M9" s="158">
        <v>105484</v>
      </c>
      <c r="N9" s="159">
        <v>72682</v>
      </c>
      <c r="O9" s="157">
        <v>51457</v>
      </c>
      <c r="P9" s="160">
        <v>40947</v>
      </c>
      <c r="Q9" s="161">
        <v>23372</v>
      </c>
      <c r="R9" s="154"/>
      <c r="S9" s="144">
        <v>2743788</v>
      </c>
      <c r="T9" s="155">
        <f t="shared" si="1"/>
        <v>4.8381097604386438</v>
      </c>
      <c r="U9" s="156">
        <f t="shared" si="0"/>
        <v>12</v>
      </c>
    </row>
    <row r="10" spans="1:22" x14ac:dyDescent="0.25">
      <c r="A10" s="43">
        <v>24</v>
      </c>
      <c r="B10" s="46" t="s">
        <v>628</v>
      </c>
      <c r="C10" s="45"/>
      <c r="D10" s="142">
        <v>204745.6183920223</v>
      </c>
      <c r="E10" s="142">
        <v>227265.85094467175</v>
      </c>
      <c r="F10" s="142">
        <v>236714.56263157894</v>
      </c>
      <c r="G10" s="142">
        <v>299977.75263157889</v>
      </c>
      <c r="H10" s="143">
        <v>291481.25888888893</v>
      </c>
      <c r="I10" s="143">
        <v>317400.86</v>
      </c>
      <c r="J10" s="142">
        <v>309269.15000000002</v>
      </c>
      <c r="K10" s="157">
        <v>292740.65000000002</v>
      </c>
      <c r="L10" s="158">
        <v>249732.58</v>
      </c>
      <c r="M10" s="158">
        <v>248742</v>
      </c>
      <c r="N10" s="159">
        <v>239625</v>
      </c>
      <c r="O10" s="157">
        <v>211280</v>
      </c>
      <c r="P10" s="160">
        <v>180794</v>
      </c>
      <c r="Q10" s="161">
        <v>153958</v>
      </c>
      <c r="R10" s="154"/>
      <c r="S10" s="144">
        <v>779308</v>
      </c>
      <c r="T10" s="155">
        <f t="shared" si="1"/>
        <v>8.144551538227109</v>
      </c>
      <c r="U10" s="156">
        <f t="shared" si="0"/>
        <v>6</v>
      </c>
    </row>
    <row r="11" spans="1:22" x14ac:dyDescent="0.25">
      <c r="A11" s="43">
        <v>47</v>
      </c>
      <c r="B11" s="46" t="s">
        <v>441</v>
      </c>
      <c r="C11" s="45"/>
      <c r="D11" s="142">
        <v>35189.563040441724</v>
      </c>
      <c r="E11" s="142">
        <v>31825.685968461941</v>
      </c>
      <c r="F11" s="142">
        <v>31430.327260273971</v>
      </c>
      <c r="G11" s="142">
        <v>35214</v>
      </c>
      <c r="H11" s="143">
        <v>26704.400000000001</v>
      </c>
      <c r="I11" s="143">
        <v>36659</v>
      </c>
      <c r="J11" s="142">
        <v>33780.1</v>
      </c>
      <c r="K11" s="157">
        <v>33025.300000000003</v>
      </c>
      <c r="L11" s="158">
        <v>30201.310000000005</v>
      </c>
      <c r="M11" s="158">
        <v>29727</v>
      </c>
      <c r="N11" s="159">
        <v>20660.280000000002</v>
      </c>
      <c r="O11" s="157">
        <v>14889.25</v>
      </c>
      <c r="P11" s="160">
        <v>7815</v>
      </c>
      <c r="Q11" s="161">
        <v>2822</v>
      </c>
      <c r="R11" s="154"/>
      <c r="S11" s="144">
        <v>526682</v>
      </c>
      <c r="T11" s="155">
        <f t="shared" si="1"/>
        <v>2.0712241053495153</v>
      </c>
      <c r="U11" s="156">
        <f t="shared" si="0"/>
        <v>25</v>
      </c>
    </row>
    <row r="12" spans="1:22" x14ac:dyDescent="0.25">
      <c r="A12" s="43">
        <v>5</v>
      </c>
      <c r="B12" s="46" t="s">
        <v>188</v>
      </c>
      <c r="C12" s="45"/>
      <c r="D12" s="142">
        <v>1229970.0381370501</v>
      </c>
      <c r="E12" s="142">
        <v>1348670.6172336396</v>
      </c>
      <c r="F12" s="142">
        <v>1281302.151070188</v>
      </c>
      <c r="G12" s="142">
        <v>1349261.7606222618</v>
      </c>
      <c r="H12" s="143">
        <v>1253303.0499759996</v>
      </c>
      <c r="I12" s="143">
        <v>1333674.2672375587</v>
      </c>
      <c r="J12" s="142">
        <v>1374344.0399999996</v>
      </c>
      <c r="K12" s="157">
        <v>1408031.81</v>
      </c>
      <c r="L12" s="158">
        <v>1255111.594</v>
      </c>
      <c r="M12" s="158">
        <v>1207936</v>
      </c>
      <c r="N12" s="159">
        <v>1128088.9700000002</v>
      </c>
      <c r="O12" s="157">
        <v>129946.32999999999</v>
      </c>
      <c r="P12" s="160">
        <v>92512</v>
      </c>
      <c r="Q12" s="161">
        <v>64531</v>
      </c>
      <c r="R12" s="154"/>
      <c r="S12" s="144">
        <v>17446963</v>
      </c>
      <c r="T12" s="155">
        <f t="shared" si="1"/>
        <v>2.1854274111917675</v>
      </c>
      <c r="U12" s="156">
        <f t="shared" si="0"/>
        <v>24</v>
      </c>
    </row>
    <row r="13" spans="1:22" x14ac:dyDescent="0.25">
      <c r="A13" s="43">
        <v>11</v>
      </c>
      <c r="B13" s="46" t="s">
        <v>130</v>
      </c>
      <c r="C13" s="45"/>
      <c r="D13" s="142">
        <v>585428.54422385548</v>
      </c>
      <c r="E13" s="142">
        <v>495989.93849836668</v>
      </c>
      <c r="F13" s="142">
        <v>555663.56175438594</v>
      </c>
      <c r="G13" s="142">
        <v>513445.06842105259</v>
      </c>
      <c r="H13" s="143">
        <v>504608.55000000005</v>
      </c>
      <c r="I13" s="143">
        <v>514508.29</v>
      </c>
      <c r="J13" s="142">
        <v>447095.77</v>
      </c>
      <c r="K13" s="157">
        <v>408797.72</v>
      </c>
      <c r="L13" s="158">
        <v>392002.21</v>
      </c>
      <c r="M13" s="158">
        <v>365015</v>
      </c>
      <c r="N13" s="159">
        <v>283152.89999999997</v>
      </c>
      <c r="O13" s="157">
        <v>207256.51699999999</v>
      </c>
      <c r="P13" s="160">
        <v>153218</v>
      </c>
      <c r="Q13" s="161">
        <v>129813</v>
      </c>
      <c r="R13" s="154"/>
      <c r="S13" s="144">
        <v>8037936</v>
      </c>
      <c r="T13" s="155">
        <f t="shared" si="1"/>
        <v>2.2578289838261365</v>
      </c>
      <c r="U13" s="156">
        <f t="shared" si="0"/>
        <v>22</v>
      </c>
    </row>
    <row r="14" spans="1:22" x14ac:dyDescent="0.25">
      <c r="A14" s="43">
        <v>29</v>
      </c>
      <c r="B14" s="46" t="s">
        <v>113</v>
      </c>
      <c r="C14" s="45"/>
      <c r="D14" s="142">
        <v>178857.3263208537</v>
      </c>
      <c r="E14" s="142">
        <v>188348.19391258762</v>
      </c>
      <c r="F14" s="142">
        <v>185818.68219178083</v>
      </c>
      <c r="G14" s="142">
        <v>167975</v>
      </c>
      <c r="H14" s="143">
        <v>59695</v>
      </c>
      <c r="I14" s="143">
        <v>91756.2</v>
      </c>
      <c r="J14" s="142">
        <v>77613.5</v>
      </c>
      <c r="K14" s="157">
        <v>69561.3</v>
      </c>
      <c r="L14" s="158">
        <v>48638.25</v>
      </c>
      <c r="M14" s="158">
        <v>40853</v>
      </c>
      <c r="N14" s="159">
        <v>27759.780000000002</v>
      </c>
      <c r="O14" s="157">
        <v>25081.82</v>
      </c>
      <c r="P14" s="160">
        <v>27906</v>
      </c>
      <c r="Q14" s="161">
        <v>24278</v>
      </c>
      <c r="R14" s="154"/>
      <c r="S14" s="144">
        <v>1093745</v>
      </c>
      <c r="T14" s="155">
        <f t="shared" si="1"/>
        <v>5.06935082304053</v>
      </c>
      <c r="U14" s="156">
        <f t="shared" si="0"/>
        <v>10</v>
      </c>
    </row>
    <row r="15" spans="1:22" x14ac:dyDescent="0.25">
      <c r="A15" s="43">
        <v>40</v>
      </c>
      <c r="B15" s="46" t="s">
        <v>585</v>
      </c>
      <c r="C15" s="45"/>
      <c r="D15" s="142">
        <v>70823.999565176055</v>
      </c>
      <c r="E15" s="142">
        <v>97485.077991133279</v>
      </c>
      <c r="F15" s="142">
        <v>100434.58737428192</v>
      </c>
      <c r="G15" s="142">
        <v>95194.850193548409</v>
      </c>
      <c r="H15" s="143">
        <v>86807.615000000005</v>
      </c>
      <c r="I15" s="143">
        <v>86752.690000000017</v>
      </c>
      <c r="J15" s="142">
        <v>88063.53</v>
      </c>
      <c r="K15" s="157">
        <v>90317.53</v>
      </c>
      <c r="L15" s="158">
        <v>71333.899999999994</v>
      </c>
      <c r="M15" s="158">
        <v>67597</v>
      </c>
      <c r="N15" s="159">
        <v>57970.98</v>
      </c>
      <c r="O15" s="157">
        <v>43073.41</v>
      </c>
      <c r="P15" s="160">
        <v>30931</v>
      </c>
      <c r="Q15" s="161">
        <v>21700</v>
      </c>
      <c r="R15" s="154"/>
      <c r="S15" s="144">
        <v>1409213</v>
      </c>
      <c r="T15" s="155">
        <f t="shared" si="1"/>
        <v>1.5579929978792826</v>
      </c>
      <c r="U15" s="156">
        <f t="shared" si="0"/>
        <v>32</v>
      </c>
    </row>
    <row r="16" spans="1:22" x14ac:dyDescent="0.25">
      <c r="A16" s="43">
        <v>15</v>
      </c>
      <c r="B16" s="46" t="s">
        <v>139</v>
      </c>
      <c r="C16" s="45"/>
      <c r="D16" s="142">
        <v>420902.74685492023</v>
      </c>
      <c r="E16" s="142">
        <v>399499.88829488691</v>
      </c>
      <c r="F16" s="142">
        <v>418990.87178082188</v>
      </c>
      <c r="G16" s="142">
        <v>423488.94880000001</v>
      </c>
      <c r="H16" s="143">
        <v>392233.13499999995</v>
      </c>
      <c r="I16" s="143">
        <v>431240.58499999996</v>
      </c>
      <c r="J16" s="142">
        <v>401087.82600000006</v>
      </c>
      <c r="K16" s="157">
        <v>385874.04589041101</v>
      </c>
      <c r="L16" s="158">
        <v>337582.02999999997</v>
      </c>
      <c r="M16" s="158">
        <v>595237</v>
      </c>
      <c r="N16" s="159">
        <v>401066.99222222232</v>
      </c>
      <c r="O16" s="157">
        <v>136999.22</v>
      </c>
      <c r="P16" s="160">
        <v>87993</v>
      </c>
      <c r="Q16" s="161">
        <v>64081</v>
      </c>
      <c r="R16" s="154"/>
      <c r="S16" s="144">
        <v>9374392</v>
      </c>
      <c r="T16" s="155">
        <f t="shared" si="1"/>
        <v>1.3918753506896797</v>
      </c>
      <c r="U16" s="156">
        <f t="shared" si="0"/>
        <v>34</v>
      </c>
    </row>
    <row r="17" spans="1:21" x14ac:dyDescent="0.25">
      <c r="A17" s="43">
        <v>22</v>
      </c>
      <c r="B17" s="46" t="s">
        <v>98</v>
      </c>
      <c r="C17" s="45"/>
      <c r="D17" s="142">
        <v>233377.13301924895</v>
      </c>
      <c r="E17" s="142">
        <v>247149.03841612587</v>
      </c>
      <c r="F17" s="142">
        <v>249592.20786201849</v>
      </c>
      <c r="G17" s="142">
        <v>256120.0223333333</v>
      </c>
      <c r="H17" s="143">
        <v>223278.73400000003</v>
      </c>
      <c r="I17" s="143">
        <v>278554.0799999999</v>
      </c>
      <c r="J17" s="142">
        <v>249323.59</v>
      </c>
      <c r="K17" s="157">
        <v>240063.44000000003</v>
      </c>
      <c r="L17" s="158">
        <v>225800.52</v>
      </c>
      <c r="M17" s="158">
        <v>182978</v>
      </c>
      <c r="N17" s="159">
        <v>158042.92222222223</v>
      </c>
      <c r="O17" s="157">
        <v>120828.14</v>
      </c>
      <c r="P17" s="160">
        <v>87321</v>
      </c>
      <c r="Q17" s="161">
        <v>68636</v>
      </c>
      <c r="R17" s="154"/>
      <c r="S17" s="144">
        <v>4990409</v>
      </c>
      <c r="T17" s="155">
        <f t="shared" si="1"/>
        <v>1.4497190758506402</v>
      </c>
      <c r="U17" s="156">
        <f t="shared" si="0"/>
        <v>33</v>
      </c>
    </row>
    <row r="18" spans="1:21" x14ac:dyDescent="0.25">
      <c r="A18" s="43">
        <v>33</v>
      </c>
      <c r="B18" s="46" t="s">
        <v>201</v>
      </c>
      <c r="C18" s="45"/>
      <c r="D18" s="142">
        <v>139906.30828688556</v>
      </c>
      <c r="E18" s="142">
        <v>147424.20155653998</v>
      </c>
      <c r="F18" s="142">
        <v>145513.97286301374</v>
      </c>
      <c r="G18" s="142">
        <v>147459.23000000004</v>
      </c>
      <c r="H18" s="143">
        <v>128855.10999999999</v>
      </c>
      <c r="I18" s="143">
        <v>139646.74999999997</v>
      </c>
      <c r="J18" s="142">
        <v>118414.5</v>
      </c>
      <c r="K18" s="157">
        <v>78945.95</v>
      </c>
      <c r="L18" s="158">
        <v>61231.979999999996</v>
      </c>
      <c r="M18" s="158">
        <v>54472</v>
      </c>
      <c r="N18" s="159">
        <v>43309.602222222231</v>
      </c>
      <c r="O18" s="157">
        <v>29417.47</v>
      </c>
      <c r="P18" s="160">
        <v>21754</v>
      </c>
      <c r="Q18" s="161">
        <v>19390</v>
      </c>
      <c r="R18" s="154"/>
      <c r="S18" s="144">
        <v>2341800</v>
      </c>
      <c r="T18" s="155">
        <f t="shared" si="1"/>
        <v>1.85203499739237</v>
      </c>
      <c r="U18" s="156">
        <f t="shared" si="0"/>
        <v>29</v>
      </c>
    </row>
    <row r="19" spans="1:21" x14ac:dyDescent="0.25">
      <c r="A19" s="43">
        <v>46</v>
      </c>
      <c r="B19" s="46" t="s">
        <v>575</v>
      </c>
      <c r="C19" s="45"/>
      <c r="D19" s="142">
        <v>38952.927280747754</v>
      </c>
      <c r="E19" s="142">
        <v>41207.820752265528</v>
      </c>
      <c r="F19" s="142">
        <v>42826.388219178087</v>
      </c>
      <c r="G19" s="142">
        <v>42871.13</v>
      </c>
      <c r="H19" s="143">
        <v>39931.33</v>
      </c>
      <c r="I19" s="143">
        <v>49057.42</v>
      </c>
      <c r="J19" s="142">
        <v>47996.12999999999</v>
      </c>
      <c r="K19" s="157">
        <v>46725.409999999996</v>
      </c>
      <c r="L19" s="158">
        <v>51542.32</v>
      </c>
      <c r="M19" s="158">
        <v>46288</v>
      </c>
      <c r="N19" s="159">
        <v>36247.629629629635</v>
      </c>
      <c r="O19" s="157">
        <v>33050.54</v>
      </c>
      <c r="P19" s="160">
        <v>27063</v>
      </c>
      <c r="Q19" s="161">
        <v>24350</v>
      </c>
      <c r="R19" s="154"/>
      <c r="S19" s="144">
        <v>2127099</v>
      </c>
      <c r="T19" s="155">
        <f t="shared" si="1"/>
        <v>0.56769372074509949</v>
      </c>
      <c r="U19" s="156">
        <f t="shared" si="0"/>
        <v>49</v>
      </c>
    </row>
    <row r="20" spans="1:21" x14ac:dyDescent="0.25">
      <c r="A20" s="43">
        <v>37</v>
      </c>
      <c r="B20" s="46" t="s">
        <v>236</v>
      </c>
      <c r="C20" s="45"/>
      <c r="D20" s="142">
        <v>121448.27807689666</v>
      </c>
      <c r="E20" s="142">
        <v>119155.53876990832</v>
      </c>
      <c r="F20" s="142">
        <v>116698.39543378995</v>
      </c>
      <c r="G20" s="142">
        <v>119727.65666666668</v>
      </c>
      <c r="H20" s="143">
        <v>118863.67</v>
      </c>
      <c r="I20" s="143">
        <v>130952.12</v>
      </c>
      <c r="J20" s="142">
        <v>115714.09000000001</v>
      </c>
      <c r="K20" s="157">
        <v>125301.58000000002</v>
      </c>
      <c r="L20" s="158">
        <v>102750.93000000001</v>
      </c>
      <c r="M20" s="158">
        <v>87156</v>
      </c>
      <c r="N20" s="159">
        <v>71640.350000000006</v>
      </c>
      <c r="O20" s="157">
        <v>52638.6</v>
      </c>
      <c r="P20" s="160">
        <v>36532</v>
      </c>
      <c r="Q20" s="161">
        <v>25611</v>
      </c>
      <c r="R20" s="154"/>
      <c r="S20" s="144">
        <v>3356000</v>
      </c>
      <c r="T20" s="155">
        <f t="shared" si="1"/>
        <v>1.121840470912931</v>
      </c>
      <c r="U20" s="156">
        <f t="shared" si="0"/>
        <v>39</v>
      </c>
    </row>
    <row r="21" spans="1:21" x14ac:dyDescent="0.25">
      <c r="A21" s="43">
        <v>30</v>
      </c>
      <c r="B21" s="46" t="s">
        <v>127</v>
      </c>
      <c r="C21" s="45"/>
      <c r="D21" s="142">
        <v>172511.12755250811</v>
      </c>
      <c r="E21" s="142">
        <v>198463.86556112679</v>
      </c>
      <c r="F21" s="142">
        <v>212564.15917808219</v>
      </c>
      <c r="G21" s="142">
        <v>191677.39</v>
      </c>
      <c r="H21" s="143">
        <v>218999.2</v>
      </c>
      <c r="I21" s="143">
        <v>230850.5</v>
      </c>
      <c r="J21" s="142">
        <v>230258</v>
      </c>
      <c r="K21" s="157">
        <v>215168.05</v>
      </c>
      <c r="L21" s="158">
        <v>216715.08</v>
      </c>
      <c r="M21" s="158">
        <v>202764</v>
      </c>
      <c r="N21" s="159">
        <v>197852.79999999999</v>
      </c>
      <c r="O21" s="157">
        <v>184576.5</v>
      </c>
      <c r="P21" s="160">
        <v>169484</v>
      </c>
      <c r="Q21" s="161">
        <v>137121</v>
      </c>
      <c r="R21" s="154"/>
      <c r="S21" s="144">
        <v>3333349</v>
      </c>
      <c r="T21" s="155">
        <f t="shared" si="1"/>
        <v>1.6043459458123801</v>
      </c>
      <c r="U21" s="156">
        <f t="shared" si="0"/>
        <v>31</v>
      </c>
    </row>
    <row r="22" spans="1:21" x14ac:dyDescent="0.25">
      <c r="A22" s="43">
        <v>19</v>
      </c>
      <c r="B22" s="46" t="s">
        <v>87</v>
      </c>
      <c r="C22" s="45"/>
      <c r="D22" s="142">
        <v>349555.13359970163</v>
      </c>
      <c r="E22" s="142">
        <v>373437.74414699542</v>
      </c>
      <c r="F22" s="142">
        <v>375146.76</v>
      </c>
      <c r="G22" s="142">
        <v>365058.32999999996</v>
      </c>
      <c r="H22" s="143">
        <v>307606.54000000004</v>
      </c>
      <c r="I22" s="143">
        <v>357070.27</v>
      </c>
      <c r="J22" s="142">
        <v>350049.47</v>
      </c>
      <c r="K22" s="157">
        <v>319590.47000000003</v>
      </c>
      <c r="L22" s="158">
        <v>316953.03999999986</v>
      </c>
      <c r="M22" s="158">
        <v>287257</v>
      </c>
      <c r="N22" s="159">
        <v>289646.25999999995</v>
      </c>
      <c r="O22" s="157">
        <v>259653.72999999998</v>
      </c>
      <c r="P22" s="160">
        <v>249158</v>
      </c>
      <c r="Q22" s="161">
        <v>229659</v>
      </c>
      <c r="R22" s="154"/>
      <c r="S22" s="144">
        <v>1101376</v>
      </c>
      <c r="T22" s="155">
        <f t="shared" si="1"/>
        <v>9.8387917855398612</v>
      </c>
      <c r="U22" s="156">
        <f t="shared" si="0"/>
        <v>3</v>
      </c>
    </row>
    <row r="23" spans="1:21" x14ac:dyDescent="0.25">
      <c r="A23" s="43">
        <v>26</v>
      </c>
      <c r="B23" s="46" t="s">
        <v>523</v>
      </c>
      <c r="C23" s="45"/>
      <c r="D23" s="142">
        <v>187080.41331964714</v>
      </c>
      <c r="E23" s="142">
        <v>269509.31671993691</v>
      </c>
      <c r="F23" s="142">
        <v>275267.67397260282</v>
      </c>
      <c r="G23" s="142">
        <v>293115.47000000009</v>
      </c>
      <c r="H23" s="143">
        <v>266679.66000000003</v>
      </c>
      <c r="I23" s="143">
        <v>296441.00999999989</v>
      </c>
      <c r="J23" s="142">
        <v>292596.05</v>
      </c>
      <c r="K23" s="157">
        <v>293298.15999999997</v>
      </c>
      <c r="L23" s="158">
        <v>282593.26</v>
      </c>
      <c r="M23" s="158">
        <v>258926</v>
      </c>
      <c r="N23" s="159">
        <v>210777.91999999998</v>
      </c>
      <c r="O23" s="157">
        <v>171469.67</v>
      </c>
      <c r="P23" s="160">
        <v>154650</v>
      </c>
      <c r="Q23" s="161">
        <v>123371</v>
      </c>
      <c r="R23" s="154"/>
      <c r="S23" s="144">
        <v>4594943</v>
      </c>
      <c r="T23" s="155">
        <f t="shared" si="1"/>
        <v>1.262146845544996</v>
      </c>
      <c r="U23" s="156">
        <f t="shared" si="0"/>
        <v>35</v>
      </c>
    </row>
    <row r="24" spans="1:21" x14ac:dyDescent="0.25">
      <c r="A24" s="43">
        <v>17</v>
      </c>
      <c r="B24" s="46" t="s">
        <v>53</v>
      </c>
      <c r="C24" s="45"/>
      <c r="D24" s="142">
        <v>379774.29258950101</v>
      </c>
      <c r="E24" s="142">
        <v>448129.6179557924</v>
      </c>
      <c r="F24" s="142">
        <v>472342.89671232883</v>
      </c>
      <c r="G24" s="142">
        <v>507854.24800000014</v>
      </c>
      <c r="H24" s="143">
        <v>514142.27999999997</v>
      </c>
      <c r="I24" s="143">
        <v>599841.11999999988</v>
      </c>
      <c r="J24" s="142">
        <v>609684.33000000007</v>
      </c>
      <c r="K24" s="157">
        <v>584895.20094866329</v>
      </c>
      <c r="L24" s="158">
        <v>520299.887941177</v>
      </c>
      <c r="M24" s="158">
        <v>446158</v>
      </c>
      <c r="N24" s="159">
        <v>372882.73</v>
      </c>
      <c r="O24" s="157">
        <v>329413.41000000015</v>
      </c>
      <c r="P24" s="160">
        <v>291206</v>
      </c>
      <c r="Q24" s="161">
        <v>234601</v>
      </c>
      <c r="R24" s="154"/>
      <c r="S24" s="144">
        <v>5361519</v>
      </c>
      <c r="T24" s="155">
        <f t="shared" si="1"/>
        <v>2.1958335073091284</v>
      </c>
      <c r="U24" s="156">
        <f t="shared" si="0"/>
        <v>23</v>
      </c>
    </row>
    <row r="25" spans="1:21" x14ac:dyDescent="0.25">
      <c r="A25" s="43">
        <v>21</v>
      </c>
      <c r="B25" s="46" t="s">
        <v>166</v>
      </c>
      <c r="C25" s="45"/>
      <c r="D25" s="142">
        <v>287842.01201777591</v>
      </c>
      <c r="E25" s="142">
        <v>307454.35815268679</v>
      </c>
      <c r="F25" s="142">
        <v>332141.79728397686</v>
      </c>
      <c r="G25" s="142">
        <v>829595.21</v>
      </c>
      <c r="H25" s="143">
        <v>778026.71700000018</v>
      </c>
      <c r="I25" s="143">
        <v>907533.71009999991</v>
      </c>
      <c r="J25" s="142">
        <v>870027.07559999998</v>
      </c>
      <c r="K25" s="157">
        <v>873994.53</v>
      </c>
      <c r="L25" s="158">
        <v>846028.92</v>
      </c>
      <c r="M25" s="158">
        <v>769897</v>
      </c>
      <c r="N25" s="159">
        <v>825102.61740740738</v>
      </c>
      <c r="O25" s="157">
        <v>582908.62</v>
      </c>
      <c r="P25" s="160">
        <v>438383</v>
      </c>
      <c r="Q25" s="161">
        <v>356780</v>
      </c>
      <c r="R25" s="154"/>
      <c r="S25" s="144">
        <v>7538746</v>
      </c>
      <c r="T25" s="155">
        <f t="shared" si="1"/>
        <v>1.1836321813403785</v>
      </c>
      <c r="U25" s="156">
        <f t="shared" si="0"/>
        <v>37</v>
      </c>
    </row>
    <row r="26" spans="1:21" x14ac:dyDescent="0.25">
      <c r="A26" s="43">
        <v>13</v>
      </c>
      <c r="B26" s="46" t="s">
        <v>108</v>
      </c>
      <c r="C26" s="45"/>
      <c r="D26" s="142">
        <v>527154.8102374624</v>
      </c>
      <c r="E26" s="142">
        <v>525333.37516645074</v>
      </c>
      <c r="F26" s="142">
        <v>552284.49339999992</v>
      </c>
      <c r="G26" s="142">
        <v>616274.24619999994</v>
      </c>
      <c r="H26" s="143">
        <v>571990.20559998008</v>
      </c>
      <c r="I26" s="143">
        <v>635149.5299999998</v>
      </c>
      <c r="J26" s="142">
        <v>618756.12999999989</v>
      </c>
      <c r="K26" s="157">
        <v>650974.43299999996</v>
      </c>
      <c r="L26" s="158">
        <v>609415.2300000001</v>
      </c>
      <c r="M26" s="158">
        <v>631955</v>
      </c>
      <c r="N26" s="159">
        <v>528642.68703703722</v>
      </c>
      <c r="O26" s="157">
        <v>367680.66</v>
      </c>
      <c r="P26" s="160">
        <v>308370</v>
      </c>
      <c r="Q26" s="161">
        <v>170102</v>
      </c>
      <c r="R26" s="154"/>
      <c r="S26" s="144">
        <v>4219096</v>
      </c>
      <c r="T26" s="155">
        <f t="shared" si="1"/>
        <v>3.8732939751457032</v>
      </c>
      <c r="U26" s="156">
        <f t="shared" si="0"/>
        <v>15</v>
      </c>
    </row>
    <row r="27" spans="1:21" x14ac:dyDescent="0.25">
      <c r="A27" s="43">
        <v>51</v>
      </c>
      <c r="B27" s="46" t="s">
        <v>802</v>
      </c>
      <c r="C27" s="45"/>
      <c r="D27" s="142">
        <v>19633.444427558465</v>
      </c>
      <c r="E27" s="142">
        <v>20307.324167080213</v>
      </c>
      <c r="F27" s="142">
        <v>17233</v>
      </c>
      <c r="G27" s="142">
        <v>21274</v>
      </c>
      <c r="H27" s="143">
        <v>20390</v>
      </c>
      <c r="I27" s="143">
        <v>24997</v>
      </c>
      <c r="J27" s="142">
        <v>26123</v>
      </c>
      <c r="K27" s="157">
        <v>30254</v>
      </c>
      <c r="L27" s="158">
        <v>28876</v>
      </c>
      <c r="M27" s="158">
        <v>30790</v>
      </c>
      <c r="N27" s="159">
        <v>24725</v>
      </c>
      <c r="O27" s="157">
        <v>17560</v>
      </c>
      <c r="P27" s="160">
        <v>14589</v>
      </c>
      <c r="Q27" s="161">
        <v>13580</v>
      </c>
      <c r="R27" s="154"/>
      <c r="S27" s="144">
        <v>2129084</v>
      </c>
      <c r="T27" s="155">
        <f t="shared" si="1"/>
        <v>0.28586790246618377</v>
      </c>
      <c r="U27" s="156">
        <f t="shared" si="0"/>
        <v>51</v>
      </c>
    </row>
    <row r="28" spans="1:21" x14ac:dyDescent="0.25">
      <c r="A28" s="43">
        <v>20</v>
      </c>
      <c r="B28" s="46" t="s">
        <v>82</v>
      </c>
      <c r="C28" s="45"/>
      <c r="D28" s="142">
        <v>297446.59615093109</v>
      </c>
      <c r="E28" s="142">
        <v>306722.73893196974</v>
      </c>
      <c r="F28" s="142">
        <v>337572.76818181813</v>
      </c>
      <c r="G28" s="142">
        <v>351395.31999999995</v>
      </c>
      <c r="H28" s="143">
        <v>320985.08299999993</v>
      </c>
      <c r="I28" s="143">
        <v>368332.141</v>
      </c>
      <c r="J28" s="142">
        <v>361806.55900000001</v>
      </c>
      <c r="K28" s="157">
        <v>372839.9</v>
      </c>
      <c r="L28" s="158">
        <v>368856.59</v>
      </c>
      <c r="M28" s="158">
        <v>359864</v>
      </c>
      <c r="N28" s="159">
        <v>327181.18481481483</v>
      </c>
      <c r="O28" s="157">
        <v>299214.28000000003</v>
      </c>
      <c r="P28" s="160">
        <v>268003</v>
      </c>
      <c r="Q28" s="161">
        <v>229648</v>
      </c>
      <c r="R28" s="154"/>
      <c r="S28" s="144">
        <v>4585840</v>
      </c>
      <c r="T28" s="155">
        <f t="shared" si="1"/>
        <v>2.010720932409082</v>
      </c>
      <c r="U28" s="156">
        <f t="shared" si="0"/>
        <v>26</v>
      </c>
    </row>
    <row r="29" spans="1:21" x14ac:dyDescent="0.25">
      <c r="A29" s="43">
        <v>27</v>
      </c>
      <c r="B29" s="46" t="s">
        <v>142</v>
      </c>
      <c r="C29" s="45"/>
      <c r="D29" s="142">
        <v>182487.85654023057</v>
      </c>
      <c r="E29" s="142">
        <v>192656.21496467767</v>
      </c>
      <c r="F29" s="142">
        <v>194493.68713698626</v>
      </c>
      <c r="G29" s="142">
        <v>200442.46</v>
      </c>
      <c r="H29" s="143">
        <v>183765.84999999998</v>
      </c>
      <c r="I29" s="143">
        <v>210050.4</v>
      </c>
      <c r="J29" s="142">
        <v>203509.96000000002</v>
      </c>
      <c r="K29" s="157">
        <v>188448.55000000005</v>
      </c>
      <c r="L29" s="158">
        <v>179632.08999999997</v>
      </c>
      <c r="M29" s="158">
        <v>171276</v>
      </c>
      <c r="N29" s="159">
        <v>155283.31</v>
      </c>
      <c r="O29" s="157">
        <v>133464.87</v>
      </c>
      <c r="P29" s="160">
        <v>118528</v>
      </c>
      <c r="Q29" s="161">
        <v>107581</v>
      </c>
      <c r="R29" s="154"/>
      <c r="S29" s="144">
        <v>852690</v>
      </c>
      <c r="T29" s="155">
        <f t="shared" si="1"/>
        <v>6.6344434117289373</v>
      </c>
      <c r="U29" s="156">
        <f t="shared" si="0"/>
        <v>7</v>
      </c>
    </row>
    <row r="30" spans="1:21" x14ac:dyDescent="0.25">
      <c r="A30" s="43">
        <v>45</v>
      </c>
      <c r="B30" s="46" t="s">
        <v>710</v>
      </c>
      <c r="C30" s="45"/>
      <c r="D30" s="142">
        <v>46879.230435889294</v>
      </c>
      <c r="E30" s="142">
        <v>47522.820844366972</v>
      </c>
      <c r="F30" s="142">
        <v>50118.400000000001</v>
      </c>
      <c r="G30" s="142">
        <v>53390.557000000001</v>
      </c>
      <c r="H30" s="143">
        <v>49267.020000000004</v>
      </c>
      <c r="I30" s="143">
        <v>54906.020000000004</v>
      </c>
      <c r="J30" s="142">
        <v>52690.630000000005</v>
      </c>
      <c r="K30" s="157">
        <v>53655.25</v>
      </c>
      <c r="L30" s="158">
        <v>46805.38</v>
      </c>
      <c r="M30" s="158">
        <v>39505</v>
      </c>
      <c r="N30" s="159">
        <v>33939.304814814815</v>
      </c>
      <c r="O30" s="157">
        <v>24466.91</v>
      </c>
      <c r="P30" s="160">
        <v>21228</v>
      </c>
      <c r="Q30" s="161">
        <v>19071</v>
      </c>
      <c r="R30" s="154"/>
      <c r="S30" s="144">
        <v>1422995</v>
      </c>
      <c r="T30" s="155">
        <f t="shared" si="1"/>
        <v>1.0212658115541995</v>
      </c>
      <c r="U30" s="156">
        <f t="shared" si="0"/>
        <v>42</v>
      </c>
    </row>
    <row r="31" spans="1:21" x14ac:dyDescent="0.25">
      <c r="A31" s="43">
        <v>43</v>
      </c>
      <c r="B31" s="46" t="s">
        <v>337</v>
      </c>
      <c r="C31" s="45"/>
      <c r="D31" s="142">
        <v>54601.368714061537</v>
      </c>
      <c r="E31" s="142">
        <v>73052.216063055079</v>
      </c>
      <c r="F31" s="142">
        <v>74788.732694063932</v>
      </c>
      <c r="G31" s="142">
        <v>78029.039999999994</v>
      </c>
      <c r="H31" s="143">
        <v>67281.210000000021</v>
      </c>
      <c r="I31" s="143">
        <v>89830.45</v>
      </c>
      <c r="J31" s="142">
        <v>71691.739999999991</v>
      </c>
      <c r="K31" s="157">
        <v>64620.520000000004</v>
      </c>
      <c r="L31" s="158">
        <v>52827.81</v>
      </c>
      <c r="M31" s="158">
        <v>64901</v>
      </c>
      <c r="N31" s="159">
        <v>52684.200000000004</v>
      </c>
      <c r="O31" s="157">
        <v>46728.639999999999</v>
      </c>
      <c r="P31" s="160">
        <v>45761</v>
      </c>
      <c r="Q31" s="161">
        <v>27712</v>
      </c>
      <c r="R31" s="154"/>
      <c r="S31" s="144">
        <v>2404607</v>
      </c>
      <c r="T31" s="155">
        <f t="shared" si="1"/>
        <v>0.70391645293218708</v>
      </c>
      <c r="U31" s="156">
        <f t="shared" si="0"/>
        <v>48</v>
      </c>
    </row>
    <row r="32" spans="1:21" x14ac:dyDescent="0.25">
      <c r="A32" s="43">
        <v>36</v>
      </c>
      <c r="B32" s="46" t="s">
        <v>272</v>
      </c>
      <c r="C32" s="45"/>
      <c r="D32" s="142">
        <v>122842.60762827932</v>
      </c>
      <c r="E32" s="142">
        <v>124118.24581188337</v>
      </c>
      <c r="F32" s="142">
        <v>128388.3473313039</v>
      </c>
      <c r="G32" s="142">
        <v>115658.64333333334</v>
      </c>
      <c r="H32" s="143">
        <v>108521.11</v>
      </c>
      <c r="I32" s="143">
        <v>115405.95999999999</v>
      </c>
      <c r="J32" s="142">
        <v>107304.48000000001</v>
      </c>
      <c r="K32" s="157">
        <v>103329</v>
      </c>
      <c r="L32" s="158">
        <v>100163.55</v>
      </c>
      <c r="M32" s="158">
        <v>94094</v>
      </c>
      <c r="N32" s="159">
        <v>79951.64</v>
      </c>
      <c r="O32" s="157">
        <v>69164</v>
      </c>
      <c r="P32" s="160">
        <v>58811</v>
      </c>
      <c r="Q32" s="161">
        <v>43173</v>
      </c>
      <c r="R32" s="154"/>
      <c r="S32" s="144">
        <v>1098146</v>
      </c>
      <c r="T32" s="155">
        <f t="shared" si="1"/>
        <v>3.4677728066000868</v>
      </c>
      <c r="U32" s="156">
        <f t="shared" si="0"/>
        <v>16</v>
      </c>
    </row>
    <row r="33" spans="1:21" x14ac:dyDescent="0.25">
      <c r="A33" s="43">
        <v>28</v>
      </c>
      <c r="B33" s="46" t="s">
        <v>192</v>
      </c>
      <c r="C33" s="45"/>
      <c r="D33" s="142">
        <v>180541.42817525234</v>
      </c>
      <c r="E33" s="142">
        <v>205801.07968639003</v>
      </c>
      <c r="F33" s="142">
        <v>214523.43842105265</v>
      </c>
      <c r="G33" s="142">
        <v>202370.19435524236</v>
      </c>
      <c r="H33" s="143">
        <v>185964.31</v>
      </c>
      <c r="I33" s="143">
        <v>168861.31000000003</v>
      </c>
      <c r="J33" s="142">
        <v>142208.32999999999</v>
      </c>
      <c r="K33" s="157">
        <v>139562.03999999998</v>
      </c>
      <c r="L33" s="158">
        <v>111416</v>
      </c>
      <c r="M33" s="158">
        <v>79942</v>
      </c>
      <c r="N33" s="159">
        <v>67321</v>
      </c>
      <c r="O33" s="157">
        <v>48995.5</v>
      </c>
      <c r="P33" s="160">
        <v>37468</v>
      </c>
      <c r="Q33" s="161">
        <v>34507</v>
      </c>
      <c r="R33" s="154"/>
      <c r="S33" s="144">
        <v>6961068</v>
      </c>
      <c r="T33" s="155">
        <f t="shared" si="1"/>
        <v>0.80401229716946065</v>
      </c>
      <c r="U33" s="156">
        <f t="shared" si="0"/>
        <v>45</v>
      </c>
    </row>
    <row r="34" spans="1:21" x14ac:dyDescent="0.25">
      <c r="A34" s="43">
        <v>31</v>
      </c>
      <c r="B34" s="46" t="s">
        <v>177</v>
      </c>
      <c r="C34" s="45"/>
      <c r="D34" s="142">
        <v>156229.56749757243</v>
      </c>
      <c r="E34" s="142">
        <v>159806.94858306847</v>
      </c>
      <c r="F34" s="142">
        <v>165012.85</v>
      </c>
      <c r="G34" s="142">
        <v>156247.70000000001</v>
      </c>
      <c r="H34" s="143">
        <v>138055.74</v>
      </c>
      <c r="I34" s="143">
        <v>150083.1</v>
      </c>
      <c r="J34" s="142">
        <v>126076.40000000001</v>
      </c>
      <c r="K34" s="157">
        <v>116023.42</v>
      </c>
      <c r="L34" s="158">
        <v>111236.96999999999</v>
      </c>
      <c r="M34" s="158">
        <v>85230</v>
      </c>
      <c r="N34" s="159">
        <v>77048.52</v>
      </c>
      <c r="O34" s="157">
        <v>58247.149999999994</v>
      </c>
      <c r="P34" s="160">
        <v>48213</v>
      </c>
      <c r="Q34" s="161">
        <v>39856</v>
      </c>
      <c r="R34" s="154"/>
      <c r="S34" s="144">
        <v>1580658</v>
      </c>
      <c r="T34" s="155">
        <f t="shared" si="1"/>
        <v>3.0639876509812654</v>
      </c>
      <c r="U34" s="156">
        <f t="shared" si="0"/>
        <v>19</v>
      </c>
    </row>
    <row r="35" spans="1:21" x14ac:dyDescent="0.25">
      <c r="A35" s="43">
        <v>3</v>
      </c>
      <c r="B35" s="46" t="s">
        <v>63</v>
      </c>
      <c r="C35" s="45"/>
      <c r="D35" s="142">
        <v>1596285.1816701242</v>
      </c>
      <c r="E35" s="142">
        <v>1434992.0884433463</v>
      </c>
      <c r="F35" s="142">
        <v>1400532.1313698632</v>
      </c>
      <c r="G35" s="142">
        <v>1306444.2315521738</v>
      </c>
      <c r="H35" s="143">
        <v>1240567.9476963563</v>
      </c>
      <c r="I35" s="143">
        <v>1389771.9961972754</v>
      </c>
      <c r="J35" s="142">
        <v>1255317.4600000002</v>
      </c>
      <c r="K35" s="157">
        <v>1211493.7459</v>
      </c>
      <c r="L35" s="158">
        <v>1091826.31</v>
      </c>
      <c r="M35" s="158">
        <v>1086718</v>
      </c>
      <c r="N35" s="159">
        <v>948228.05</v>
      </c>
      <c r="O35" s="157">
        <v>859534.9</v>
      </c>
      <c r="P35" s="160">
        <v>724984</v>
      </c>
      <c r="Q35" s="161">
        <v>638110</v>
      </c>
      <c r="R35" s="154"/>
      <c r="S35" s="144">
        <v>14878507</v>
      </c>
      <c r="T35" s="155">
        <f t="shared" si="1"/>
        <v>3.3259278388465892</v>
      </c>
      <c r="U35" s="156">
        <f t="shared" ref="U35:U53" si="2">RANK(T35,$T$3:$T$53)</f>
        <v>17</v>
      </c>
    </row>
    <row r="36" spans="1:21" x14ac:dyDescent="0.25">
      <c r="A36" s="43">
        <v>8</v>
      </c>
      <c r="B36" s="46" t="s">
        <v>66</v>
      </c>
      <c r="C36" s="45"/>
      <c r="D36" s="142">
        <v>808015.60122714587</v>
      </c>
      <c r="E36" s="142">
        <v>892626.74096401013</v>
      </c>
      <c r="F36" s="142">
        <v>906798.33159077831</v>
      </c>
      <c r="G36" s="142">
        <v>909362.72189999989</v>
      </c>
      <c r="H36" s="143">
        <v>877201.30195286812</v>
      </c>
      <c r="I36" s="143">
        <v>1313286.9902518999</v>
      </c>
      <c r="J36" s="142">
        <v>1230413.0144999998</v>
      </c>
      <c r="K36" s="157">
        <v>1211392.8600000001</v>
      </c>
      <c r="L36" s="158">
        <v>1269401.6200000001</v>
      </c>
      <c r="M36" s="158">
        <v>675469</v>
      </c>
      <c r="N36" s="159">
        <v>372473.19999999995</v>
      </c>
      <c r="O36" s="157">
        <v>263488.26</v>
      </c>
      <c r="P36" s="160">
        <v>159033</v>
      </c>
      <c r="Q36" s="161">
        <v>119253</v>
      </c>
      <c r="R36" s="154"/>
      <c r="S36" s="144">
        <v>8057665</v>
      </c>
      <c r="T36" s="155">
        <f t="shared" si="1"/>
        <v>3.1086528960985005</v>
      </c>
      <c r="U36" s="156">
        <f t="shared" si="2"/>
        <v>18</v>
      </c>
    </row>
    <row r="37" spans="1:21" x14ac:dyDescent="0.25">
      <c r="A37" s="43">
        <v>50</v>
      </c>
      <c r="B37" s="46" t="s">
        <v>486</v>
      </c>
      <c r="C37" s="45"/>
      <c r="D37" s="142">
        <v>21374.647412257982</v>
      </c>
      <c r="E37" s="142">
        <v>22058.637173997824</v>
      </c>
      <c r="F37" s="142">
        <v>23394.937808219176</v>
      </c>
      <c r="G37" s="142">
        <v>21745</v>
      </c>
      <c r="H37" s="143">
        <v>20125.760000000002</v>
      </c>
      <c r="I37" s="143">
        <v>21186.11</v>
      </c>
      <c r="J37" s="142">
        <v>16763.349999999999</v>
      </c>
      <c r="K37" s="157">
        <v>12848.43</v>
      </c>
      <c r="L37" s="158">
        <v>11352.83</v>
      </c>
      <c r="M37" s="158">
        <v>8452</v>
      </c>
      <c r="N37" s="159">
        <v>4571.4074074074069</v>
      </c>
      <c r="O37" s="157">
        <v>1865.5900000000001</v>
      </c>
      <c r="P37" s="160">
        <v>858</v>
      </c>
      <c r="Q37" s="161">
        <v>950</v>
      </c>
      <c r="R37" s="154"/>
      <c r="S37" s="144">
        <v>566822</v>
      </c>
      <c r="T37" s="155">
        <f t="shared" si="1"/>
        <v>1.168998503551375</v>
      </c>
      <c r="U37" s="156">
        <f t="shared" si="2"/>
        <v>38</v>
      </c>
    </row>
    <row r="38" spans="1:21" x14ac:dyDescent="0.25">
      <c r="A38" s="43">
        <v>6</v>
      </c>
      <c r="B38" s="46" t="s">
        <v>93</v>
      </c>
      <c r="C38" s="45"/>
      <c r="D38" s="142">
        <v>1150451.8963215023</v>
      </c>
      <c r="E38" s="142">
        <v>1159312.2562812108</v>
      </c>
      <c r="F38" s="142">
        <v>1214106.7504566216</v>
      </c>
      <c r="G38" s="142">
        <v>1306058.3999999999</v>
      </c>
      <c r="H38" s="143">
        <v>1168904.9200000002</v>
      </c>
      <c r="I38" s="143">
        <v>1330484.8460869561</v>
      </c>
      <c r="J38" s="142">
        <v>1353351.9860869562</v>
      </c>
      <c r="K38" s="157">
        <v>1355279</v>
      </c>
      <c r="L38" s="158">
        <v>1373041.297</v>
      </c>
      <c r="M38" s="158">
        <v>1385100</v>
      </c>
      <c r="N38" s="159">
        <v>1274330.9069999999</v>
      </c>
      <c r="O38" s="157">
        <v>1097955.1299999999</v>
      </c>
      <c r="P38" s="160">
        <v>980969</v>
      </c>
      <c r="Q38" s="161">
        <v>973804</v>
      </c>
      <c r="R38" s="154"/>
      <c r="S38" s="144">
        <v>8760422</v>
      </c>
      <c r="T38" s="155">
        <f t="shared" si="1"/>
        <v>4.0710377634737878</v>
      </c>
      <c r="U38" s="156">
        <f t="shared" si="2"/>
        <v>13</v>
      </c>
    </row>
    <row r="39" spans="1:21" x14ac:dyDescent="0.25">
      <c r="A39" s="43">
        <v>39</v>
      </c>
      <c r="B39" s="46" t="s">
        <v>348</v>
      </c>
      <c r="C39" s="45"/>
      <c r="D39" s="142">
        <v>76559.884867021392</v>
      </c>
      <c r="E39" s="142">
        <v>79650.542763174526</v>
      </c>
      <c r="F39" s="142">
        <v>81893.850000000006</v>
      </c>
      <c r="G39" s="142">
        <v>88835.529999999984</v>
      </c>
      <c r="H39" s="143">
        <v>74702.28</v>
      </c>
      <c r="I39" s="143">
        <v>71764.539999999994</v>
      </c>
      <c r="J39" s="142">
        <v>67541.78</v>
      </c>
      <c r="K39" s="157">
        <v>52807.159999999996</v>
      </c>
      <c r="L39" s="158">
        <v>47847.21</v>
      </c>
      <c r="M39" s="158">
        <v>34381</v>
      </c>
      <c r="N39" s="159">
        <v>25425.37</v>
      </c>
      <c r="O39" s="157">
        <v>21029</v>
      </c>
      <c r="P39" s="160">
        <v>16123</v>
      </c>
      <c r="Q39" s="161">
        <v>11024</v>
      </c>
      <c r="R39" s="154"/>
      <c r="S39" s="144">
        <v>2911256</v>
      </c>
      <c r="T39" s="155">
        <f t="shared" si="1"/>
        <v>0.81523453481166319</v>
      </c>
      <c r="U39" s="156">
        <f t="shared" si="2"/>
        <v>44</v>
      </c>
    </row>
    <row r="40" spans="1:21" x14ac:dyDescent="0.25">
      <c r="A40" s="43">
        <v>7</v>
      </c>
      <c r="B40" s="46" t="s">
        <v>78</v>
      </c>
      <c r="C40" s="45"/>
      <c r="D40" s="142">
        <v>1104572.1673887335</v>
      </c>
      <c r="E40" s="142">
        <v>895741.4679401922</v>
      </c>
      <c r="F40" s="142">
        <v>960281.09150603996</v>
      </c>
      <c r="G40" s="142">
        <v>906192.82000000007</v>
      </c>
      <c r="H40" s="143">
        <v>853404.24990000005</v>
      </c>
      <c r="I40" s="143">
        <v>1021116.1099999999</v>
      </c>
      <c r="J40" s="142">
        <v>1021084.701</v>
      </c>
      <c r="K40" s="157">
        <v>1078391.25</v>
      </c>
      <c r="L40" s="158">
        <v>1149150.1500000004</v>
      </c>
      <c r="M40" s="158">
        <v>1081152</v>
      </c>
      <c r="N40" s="159">
        <v>1039062.8200000002</v>
      </c>
      <c r="O40" s="157">
        <v>877890.71999999986</v>
      </c>
      <c r="P40" s="160">
        <v>764226</v>
      </c>
      <c r="Q40" s="161">
        <v>659598</v>
      </c>
      <c r="R40" s="154"/>
      <c r="S40" s="144">
        <v>3259500</v>
      </c>
      <c r="T40" s="155">
        <f t="shared" si="1"/>
        <v>10.5052115935115</v>
      </c>
      <c r="U40" s="156">
        <f t="shared" si="2"/>
        <v>2</v>
      </c>
    </row>
    <row r="41" spans="1:21" x14ac:dyDescent="0.25">
      <c r="A41" s="43">
        <v>2</v>
      </c>
      <c r="B41" s="46" t="s">
        <v>50</v>
      </c>
      <c r="C41" s="45"/>
      <c r="D41" s="142">
        <v>2654358.6217361828</v>
      </c>
      <c r="E41" s="142">
        <v>3132799.1365388175</v>
      </c>
      <c r="F41" s="142">
        <v>3131035.1703656917</v>
      </c>
      <c r="G41" s="142">
        <v>3244844.0869071642</v>
      </c>
      <c r="H41" s="143">
        <v>3162473.0872247755</v>
      </c>
      <c r="I41" s="143">
        <v>3510669.4534838051</v>
      </c>
      <c r="J41" s="142">
        <v>3705889.733913043</v>
      </c>
      <c r="K41" s="157">
        <v>3724010</v>
      </c>
      <c r="L41" s="158">
        <v>3905620.07</v>
      </c>
      <c r="M41" s="158">
        <v>4059330</v>
      </c>
      <c r="N41" s="159">
        <f>4224882.74-150000</f>
        <v>4074882.74</v>
      </c>
      <c r="O41" s="157">
        <v>1788555.9</v>
      </c>
      <c r="P41" s="160">
        <v>1626116</v>
      </c>
      <c r="Q41" s="161">
        <v>1547114</v>
      </c>
      <c r="R41" s="154"/>
      <c r="S41" s="144">
        <v>9803793</v>
      </c>
      <c r="T41" s="155">
        <f t="shared" si="1"/>
        <v>8.3931920302500949</v>
      </c>
      <c r="U41" s="156">
        <f t="shared" si="2"/>
        <v>5</v>
      </c>
    </row>
    <row r="42" spans="1:21" x14ac:dyDescent="0.25">
      <c r="A42" s="43">
        <v>42</v>
      </c>
      <c r="B42" s="46" t="s">
        <v>105</v>
      </c>
      <c r="C42" s="45"/>
      <c r="D42" s="142">
        <v>62483.732998799031</v>
      </c>
      <c r="E42" s="142">
        <v>92850.626637082023</v>
      </c>
      <c r="F42" s="142">
        <v>95538.2</v>
      </c>
      <c r="G42" s="142">
        <v>85307</v>
      </c>
      <c r="H42" s="143">
        <v>74195.439999999988</v>
      </c>
      <c r="I42" s="143">
        <v>45392.54</v>
      </c>
      <c r="J42" s="142">
        <v>47823.97</v>
      </c>
      <c r="K42" s="157">
        <v>26295</v>
      </c>
      <c r="L42" s="158">
        <v>27075</v>
      </c>
      <c r="M42" s="158">
        <v>20807</v>
      </c>
      <c r="N42" s="159">
        <v>18041.34</v>
      </c>
      <c r="O42" s="157">
        <v>12217.6</v>
      </c>
      <c r="P42" s="160">
        <v>7831</v>
      </c>
      <c r="Q42" s="161">
        <v>7129</v>
      </c>
      <c r="R42" s="154"/>
      <c r="S42" s="144">
        <v>840348</v>
      </c>
      <c r="T42" s="155">
        <f t="shared" si="1"/>
        <v>2.3049923638335188</v>
      </c>
      <c r="U42" s="156">
        <f t="shared" si="2"/>
        <v>21</v>
      </c>
    </row>
    <row r="43" spans="1:21" x14ac:dyDescent="0.25">
      <c r="A43" s="43">
        <v>35</v>
      </c>
      <c r="B43" s="46" t="s">
        <v>394</v>
      </c>
      <c r="C43" s="45"/>
      <c r="D43" s="142">
        <v>128520.83065735923</v>
      </c>
      <c r="E43" s="142">
        <v>137968.61404416821</v>
      </c>
      <c r="F43" s="142">
        <v>139680.21292769222</v>
      </c>
      <c r="G43" s="142">
        <v>136816.18421052632</v>
      </c>
      <c r="H43" s="143">
        <v>103107.39</v>
      </c>
      <c r="I43" s="143">
        <v>108427.37999999999</v>
      </c>
      <c r="J43" s="142">
        <v>97113.505000000005</v>
      </c>
      <c r="K43" s="157">
        <v>108210.91</v>
      </c>
      <c r="L43" s="158">
        <v>101194.38</v>
      </c>
      <c r="M43" s="158">
        <v>80155</v>
      </c>
      <c r="N43" s="159">
        <v>56261.25</v>
      </c>
      <c r="O43" s="157">
        <v>46900.35</v>
      </c>
      <c r="P43" s="160">
        <v>34496</v>
      </c>
      <c r="Q43" s="161">
        <v>27501</v>
      </c>
      <c r="R43" s="154"/>
      <c r="S43" s="144">
        <v>4016679</v>
      </c>
      <c r="T43" s="155">
        <f t="shared" si="1"/>
        <v>0.99190046064874393</v>
      </c>
      <c r="U43" s="156">
        <f t="shared" si="2"/>
        <v>43</v>
      </c>
    </row>
    <row r="44" spans="1:21" x14ac:dyDescent="0.25">
      <c r="A44" s="43">
        <v>48</v>
      </c>
      <c r="B44" s="46" t="s">
        <v>1200</v>
      </c>
      <c r="C44" s="45"/>
      <c r="D44" s="142">
        <v>22772.067419654493</v>
      </c>
      <c r="E44" s="142">
        <v>25623.758554161301</v>
      </c>
      <c r="F44" s="142">
        <v>26389.24</v>
      </c>
      <c r="G44" s="142">
        <v>24892.406900000002</v>
      </c>
      <c r="H44" s="143">
        <v>19903.46</v>
      </c>
      <c r="I44" s="143">
        <v>20880.239999999998</v>
      </c>
      <c r="J44" s="142">
        <v>18008.260000000002</v>
      </c>
      <c r="K44" s="157">
        <v>14057.45</v>
      </c>
      <c r="L44" s="158">
        <v>10028.810000000001</v>
      </c>
      <c r="M44" s="158">
        <v>8547</v>
      </c>
      <c r="N44" s="159">
        <v>4720.5974074074074</v>
      </c>
      <c r="O44" s="157">
        <v>4008.41</v>
      </c>
      <c r="P44" s="160">
        <v>3934</v>
      </c>
      <c r="Q44" s="161">
        <v>3003</v>
      </c>
      <c r="R44" s="154"/>
      <c r="S44" s="144">
        <v>661415</v>
      </c>
      <c r="T44" s="155">
        <f t="shared" si="1"/>
        <v>1.0673088605630192</v>
      </c>
      <c r="U44" s="156">
        <f t="shared" si="2"/>
        <v>41</v>
      </c>
    </row>
    <row r="45" spans="1:21" x14ac:dyDescent="0.25">
      <c r="A45" s="43">
        <v>25</v>
      </c>
      <c r="B45" s="46" t="s">
        <v>264</v>
      </c>
      <c r="C45" s="45"/>
      <c r="D45" s="142">
        <v>191764.23815840617</v>
      </c>
      <c r="E45" s="142">
        <v>196516.28094091173</v>
      </c>
      <c r="F45" s="142">
        <v>204751.10657534248</v>
      </c>
      <c r="G45" s="142">
        <v>199613.99838709677</v>
      </c>
      <c r="H45" s="143">
        <v>170687.76</v>
      </c>
      <c r="I45" s="143">
        <v>190428.20000000004</v>
      </c>
      <c r="J45" s="142">
        <v>183808.41999999998</v>
      </c>
      <c r="K45" s="157">
        <v>253781.75</v>
      </c>
      <c r="L45" s="158">
        <v>250246.72000000003</v>
      </c>
      <c r="M45" s="158">
        <v>142818</v>
      </c>
      <c r="N45" s="159">
        <v>121514.77</v>
      </c>
      <c r="O45" s="157">
        <v>98507.94</v>
      </c>
      <c r="P45" s="160">
        <v>54077</v>
      </c>
      <c r="Q45" s="161">
        <v>33863</v>
      </c>
      <c r="R45" s="154"/>
      <c r="S45" s="144">
        <v>5301999</v>
      </c>
      <c r="T45" s="155">
        <f t="shared" si="1"/>
        <v>1.1212169943658215</v>
      </c>
      <c r="U45" s="156">
        <f t="shared" si="2"/>
        <v>40</v>
      </c>
    </row>
    <row r="46" spans="1:21" x14ac:dyDescent="0.25">
      <c r="A46" s="43">
        <v>4</v>
      </c>
      <c r="B46" s="46" t="s">
        <v>59</v>
      </c>
      <c r="C46" s="45"/>
      <c r="D46" s="142">
        <v>1368592.5701252897</v>
      </c>
      <c r="E46" s="142">
        <v>1519691.3509358773</v>
      </c>
      <c r="F46" s="142">
        <v>1309019.411046077</v>
      </c>
      <c r="G46" s="142">
        <v>1269299.1200000001</v>
      </c>
      <c r="H46" s="143">
        <v>1090563.4699999997</v>
      </c>
      <c r="I46" s="143">
        <v>1190504.5125812902</v>
      </c>
      <c r="J46" s="142">
        <v>1153817.4622580642</v>
      </c>
      <c r="K46" s="157">
        <v>1156535.6300000001</v>
      </c>
      <c r="L46" s="158">
        <v>1165579.0124301075</v>
      </c>
      <c r="M46" s="158">
        <v>1135043</v>
      </c>
      <c r="N46" s="159">
        <v>982917.89</v>
      </c>
      <c r="O46" s="157">
        <v>848258.81</v>
      </c>
      <c r="P46" s="160">
        <v>713712</v>
      </c>
      <c r="Q46" s="161">
        <v>624903</v>
      </c>
      <c r="R46" s="154"/>
      <c r="S46" s="144">
        <v>21706890</v>
      </c>
      <c r="T46" s="155">
        <f t="shared" si="1"/>
        <v>1.9545116630656894</v>
      </c>
      <c r="U46" s="156">
        <f t="shared" si="2"/>
        <v>27</v>
      </c>
    </row>
    <row r="47" spans="1:21" x14ac:dyDescent="0.25">
      <c r="A47" s="43">
        <v>34</v>
      </c>
      <c r="B47" s="46" t="s">
        <v>517</v>
      </c>
      <c r="C47" s="45"/>
      <c r="D47" s="142">
        <v>128672.7003758881</v>
      </c>
      <c r="E47" s="142">
        <v>141226.72527094928</v>
      </c>
      <c r="F47" s="142">
        <v>153698.16301369865</v>
      </c>
      <c r="G47" s="142">
        <v>158736.35999999999</v>
      </c>
      <c r="H47" s="143">
        <v>156936.26</v>
      </c>
      <c r="I47" s="143">
        <v>191638.55</v>
      </c>
      <c r="J47" s="142">
        <v>193029.68</v>
      </c>
      <c r="K47" s="157">
        <v>206529.43</v>
      </c>
      <c r="L47" s="158">
        <v>199220.14200000002</v>
      </c>
      <c r="M47" s="158">
        <v>183660</v>
      </c>
      <c r="N47" s="159">
        <v>161606.25</v>
      </c>
      <c r="O47" s="157">
        <v>130789.93</v>
      </c>
      <c r="P47" s="160">
        <v>110025</v>
      </c>
      <c r="Q47" s="161">
        <v>86198</v>
      </c>
      <c r="R47" s="154"/>
      <c r="S47" s="144">
        <v>2323601</v>
      </c>
      <c r="T47" s="155">
        <f t="shared" si="1"/>
        <v>1.7166689597966824</v>
      </c>
      <c r="U47" s="156">
        <f t="shared" si="2"/>
        <v>30</v>
      </c>
    </row>
    <row r="48" spans="1:21" x14ac:dyDescent="0.25">
      <c r="A48" s="43">
        <v>18</v>
      </c>
      <c r="B48" s="46" t="s">
        <v>118</v>
      </c>
      <c r="C48" s="45"/>
      <c r="D48" s="142">
        <v>353032.09113701107</v>
      </c>
      <c r="E48" s="142">
        <v>352998.55901749636</v>
      </c>
      <c r="F48" s="142">
        <v>330202.66835616436</v>
      </c>
      <c r="G48" s="142">
        <v>312186.3</v>
      </c>
      <c r="H48" s="143">
        <v>347114.69</v>
      </c>
      <c r="I48" s="143">
        <v>345307.40519340005</v>
      </c>
      <c r="J48" s="142">
        <v>333827.39999999997</v>
      </c>
      <c r="K48" s="157">
        <v>292478.92545133637</v>
      </c>
      <c r="L48" s="158">
        <v>295716.57205882354</v>
      </c>
      <c r="M48" s="158">
        <v>261654</v>
      </c>
      <c r="N48" s="159">
        <v>243905.14</v>
      </c>
      <c r="O48" s="157">
        <v>229061.69</v>
      </c>
      <c r="P48" s="160">
        <v>204693</v>
      </c>
      <c r="Q48" s="161">
        <v>199830</v>
      </c>
      <c r="R48" s="154"/>
      <c r="S48" s="144">
        <v>501345</v>
      </c>
      <c r="T48" s="155">
        <f t="shared" si="1"/>
        <v>21.829268917107669</v>
      </c>
      <c r="U48" s="156">
        <f t="shared" si="2"/>
        <v>1</v>
      </c>
    </row>
    <row r="49" spans="1:22" x14ac:dyDescent="0.25">
      <c r="A49" s="43">
        <v>16</v>
      </c>
      <c r="B49" s="46" t="s">
        <v>277</v>
      </c>
      <c r="C49" s="45"/>
      <c r="D49" s="142">
        <v>397160.9309673839</v>
      </c>
      <c r="E49" s="142">
        <v>357390.47945052932</v>
      </c>
      <c r="F49" s="142">
        <v>360074.74684931512</v>
      </c>
      <c r="G49" s="142">
        <v>454011.28085027938</v>
      </c>
      <c r="H49" s="143">
        <v>391605.10999999993</v>
      </c>
      <c r="I49" s="143">
        <v>352356.81999999995</v>
      </c>
      <c r="J49" s="142">
        <v>312593.48</v>
      </c>
      <c r="K49" s="157">
        <v>358903.2</v>
      </c>
      <c r="L49" s="158">
        <v>257644.62000000002</v>
      </c>
      <c r="M49" s="158">
        <v>274111</v>
      </c>
      <c r="N49" s="159">
        <v>195956.63999999998</v>
      </c>
      <c r="O49" s="157">
        <v>129102.63</v>
      </c>
      <c r="P49" s="160">
        <v>84059</v>
      </c>
      <c r="Q49" s="161">
        <v>61440</v>
      </c>
      <c r="R49" s="154"/>
      <c r="S49" s="144">
        <v>6493085</v>
      </c>
      <c r="T49" s="155">
        <f t="shared" si="1"/>
        <v>1.8961693647917595</v>
      </c>
      <c r="U49" s="156">
        <f t="shared" si="2"/>
        <v>28</v>
      </c>
    </row>
    <row r="50" spans="1:22" x14ac:dyDescent="0.25">
      <c r="A50" s="43">
        <v>12</v>
      </c>
      <c r="B50" s="46" t="s">
        <v>90</v>
      </c>
      <c r="C50" s="45"/>
      <c r="D50" s="142">
        <v>528013.32130960422</v>
      </c>
      <c r="E50" s="142">
        <v>560966.82347505202</v>
      </c>
      <c r="F50" s="142">
        <v>581072.29865479446</v>
      </c>
      <c r="G50" s="142">
        <v>567733.15499999991</v>
      </c>
      <c r="H50" s="143">
        <v>487819.54899999988</v>
      </c>
      <c r="I50" s="143">
        <v>598350.57299999963</v>
      </c>
      <c r="J50" s="142">
        <v>570352.82847895811</v>
      </c>
      <c r="K50" s="157">
        <v>510681.58000000037</v>
      </c>
      <c r="L50" s="158">
        <v>467269.53999999969</v>
      </c>
      <c r="M50" s="158">
        <v>426462</v>
      </c>
      <c r="N50" s="159">
        <v>405130.93000000011</v>
      </c>
      <c r="O50" s="157">
        <v>333174.58999999985</v>
      </c>
      <c r="P50" s="160">
        <v>291107</v>
      </c>
      <c r="Q50" s="161">
        <v>235532</v>
      </c>
      <c r="R50" s="154"/>
      <c r="S50" s="144">
        <v>5897062</v>
      </c>
      <c r="T50" s="155">
        <f t="shared" si="1"/>
        <v>2.7756894807274759</v>
      </c>
      <c r="U50" s="156">
        <f t="shared" si="2"/>
        <v>20</v>
      </c>
    </row>
    <row r="51" spans="1:22" x14ac:dyDescent="0.25">
      <c r="A51" s="43">
        <v>49</v>
      </c>
      <c r="B51" s="46" t="s">
        <v>774</v>
      </c>
      <c r="C51" s="45"/>
      <c r="D51" s="142">
        <v>21618.838671567963</v>
      </c>
      <c r="E51" s="142">
        <v>23912.728503956478</v>
      </c>
      <c r="F51" s="142">
        <v>23837.126255707764</v>
      </c>
      <c r="G51" s="142">
        <v>23674</v>
      </c>
      <c r="H51" s="143">
        <v>22229.760000000002</v>
      </c>
      <c r="I51" s="143">
        <v>23006.34</v>
      </c>
      <c r="J51" s="142">
        <v>18566.169999999998</v>
      </c>
      <c r="K51" s="157">
        <v>12988.98</v>
      </c>
      <c r="L51" s="158">
        <v>14681.86</v>
      </c>
      <c r="M51" s="158">
        <v>14161</v>
      </c>
      <c r="N51" s="159">
        <v>7923.31</v>
      </c>
      <c r="O51" s="157">
        <f>5147</f>
        <v>5147</v>
      </c>
      <c r="P51" s="160">
        <v>3752</v>
      </c>
      <c r="Q51" s="161">
        <v>3055</v>
      </c>
      <c r="R51" s="154"/>
      <c r="S51" s="144">
        <v>1345507</v>
      </c>
      <c r="T51" s="155">
        <f t="shared" si="1"/>
        <v>0.49809031006052501</v>
      </c>
      <c r="U51" s="156">
        <f t="shared" si="2"/>
        <v>50</v>
      </c>
    </row>
    <row r="52" spans="1:22" x14ac:dyDescent="0.25">
      <c r="A52" s="43">
        <v>10</v>
      </c>
      <c r="B52" s="46" t="s">
        <v>75</v>
      </c>
      <c r="C52" s="45"/>
      <c r="D52" s="142">
        <v>742240.25068241009</v>
      </c>
      <c r="E52" s="142">
        <v>771252.12950074289</v>
      </c>
      <c r="F52" s="142">
        <v>859129.69352112699</v>
      </c>
      <c r="G52" s="142">
        <v>984886.60999999975</v>
      </c>
      <c r="H52" s="143">
        <v>758972.9600000002</v>
      </c>
      <c r="I52" s="143">
        <v>819685.94000000006</v>
      </c>
      <c r="J52" s="142">
        <v>867663.48</v>
      </c>
      <c r="K52" s="157">
        <v>1029915.9450000002</v>
      </c>
      <c r="L52" s="158">
        <v>974537.52999999991</v>
      </c>
      <c r="M52" s="158">
        <v>1020567</v>
      </c>
      <c r="N52" s="159">
        <v>850874.11740740738</v>
      </c>
      <c r="O52" s="157">
        <v>458706.12</v>
      </c>
      <c r="P52" s="160">
        <v>398811</v>
      </c>
      <c r="Q52" s="161">
        <v>388025</v>
      </c>
      <c r="R52" s="154"/>
      <c r="S52" s="144">
        <v>4432759</v>
      </c>
      <c r="T52" s="155">
        <f t="shared" si="1"/>
        <v>5.1907734598598099</v>
      </c>
      <c r="U52" s="156">
        <f t="shared" si="2"/>
        <v>9</v>
      </c>
    </row>
    <row r="53" spans="1:22" x14ac:dyDescent="0.25">
      <c r="A53" s="43">
        <v>41</v>
      </c>
      <c r="B53" s="47" t="s">
        <v>222</v>
      </c>
      <c r="C53" s="45"/>
      <c r="D53" s="142">
        <v>68406.989970297465</v>
      </c>
      <c r="E53" s="142">
        <v>64116.689487666001</v>
      </c>
      <c r="F53" s="142">
        <v>66070.566027397261</v>
      </c>
      <c r="G53" s="142">
        <v>64559</v>
      </c>
      <c r="H53" s="143">
        <v>58590.44</v>
      </c>
      <c r="I53" s="143">
        <v>59169.329999999994</v>
      </c>
      <c r="J53" s="142">
        <v>52787.479999999989</v>
      </c>
      <c r="K53" s="157">
        <v>45400.76</v>
      </c>
      <c r="L53" s="158">
        <v>31356.81</v>
      </c>
      <c r="M53" s="158">
        <v>21053</v>
      </c>
      <c r="N53" s="157">
        <v>18616.59</v>
      </c>
      <c r="O53" s="157">
        <v>15863</v>
      </c>
      <c r="P53" s="161">
        <v>14070</v>
      </c>
      <c r="Q53" s="161">
        <v>10607</v>
      </c>
      <c r="R53" s="154"/>
      <c r="S53" s="144">
        <v>431053</v>
      </c>
      <c r="T53" s="155">
        <f t="shared" si="1"/>
        <v>4.9196193718155801</v>
      </c>
      <c r="U53" s="156">
        <f t="shared" si="2"/>
        <v>11</v>
      </c>
    </row>
    <row r="54" spans="1:22" x14ac:dyDescent="0.25">
      <c r="F54"/>
      <c r="G54"/>
    </row>
    <row r="55" spans="1:22" x14ac:dyDescent="0.25">
      <c r="A55" s="48"/>
      <c r="B55" s="49" t="s">
        <v>10434</v>
      </c>
      <c r="C55" s="50"/>
      <c r="D55" s="162">
        <f>SUM(D3:D54)</f>
        <v>23103885.411978573</v>
      </c>
      <c r="E55" s="162">
        <f>SUM(E3:E54)</f>
        <v>23357835.161249172</v>
      </c>
      <c r="F55" s="162">
        <f>SUM(F3:F54)</f>
        <v>23547421.276342288</v>
      </c>
      <c r="G55" s="162">
        <f>SUM(G3:G54)</f>
        <v>24725270.439646855</v>
      </c>
      <c r="H55" s="162">
        <f>SUM(H3:H54)</f>
        <v>22817183.901988879</v>
      </c>
      <c r="I55" s="162">
        <f t="shared" ref="I55:K55" si="3">SUM(I3:I54)</f>
        <v>26334229.061606534</v>
      </c>
      <c r="J55" s="162">
        <f t="shared" si="3"/>
        <v>25519454.754637029</v>
      </c>
      <c r="K55" s="162">
        <f t="shared" si="3"/>
        <v>25280679.104469981</v>
      </c>
      <c r="L55" s="162">
        <v>24570643.623430111</v>
      </c>
      <c r="M55" s="162">
        <v>24523015</v>
      </c>
      <c r="N55" s="162">
        <v>22099388.369592592</v>
      </c>
      <c r="O55" s="162">
        <v>15579181.277000001</v>
      </c>
      <c r="P55" s="162">
        <v>13235917</v>
      </c>
      <c r="Q55" s="162">
        <v>11458152</v>
      </c>
      <c r="S55" s="163">
        <f>SUM(S3:S53)</f>
        <v>249124385</v>
      </c>
      <c r="T55" s="164">
        <f t="shared" si="1"/>
        <v>2.8749511926395153</v>
      </c>
    </row>
    <row r="56" spans="1:22" x14ac:dyDescent="0.25">
      <c r="A56" s="51" t="s">
        <v>10435</v>
      </c>
      <c r="B56" s="32"/>
      <c r="C56" s="32"/>
      <c r="D56" s="32"/>
      <c r="E56" s="32"/>
      <c r="F56" s="73"/>
      <c r="G56" s="73"/>
      <c r="H56" s="73"/>
      <c r="I56" s="73"/>
      <c r="J56" s="73"/>
      <c r="K56" s="73"/>
      <c r="L56" s="73"/>
      <c r="M56" s="73"/>
      <c r="N56" s="73"/>
      <c r="O56" s="73"/>
      <c r="P56" s="73"/>
      <c r="Q56" s="73"/>
      <c r="R56" s="73"/>
      <c r="S56" s="73"/>
    </row>
    <row r="57" spans="1:22" x14ac:dyDescent="0.25">
      <c r="A57" s="32" t="s">
        <v>10436</v>
      </c>
      <c r="B57" s="32"/>
      <c r="C57" s="32"/>
      <c r="D57" s="32"/>
      <c r="E57" s="32"/>
      <c r="F57" s="73"/>
      <c r="G57" s="73"/>
      <c r="H57" s="73"/>
      <c r="I57" s="73"/>
      <c r="J57" s="73"/>
      <c r="K57" s="73"/>
      <c r="L57" s="73"/>
      <c r="M57" s="73"/>
      <c r="N57" s="73"/>
      <c r="O57" s="73"/>
      <c r="P57" s="73"/>
      <c r="Q57" s="73"/>
      <c r="R57" s="73"/>
      <c r="S57" s="73"/>
    </row>
    <row r="63" spans="1:22" x14ac:dyDescent="0.25">
      <c r="F63"/>
      <c r="G63"/>
      <c r="H63"/>
      <c r="I63"/>
      <c r="J63"/>
      <c r="K63"/>
      <c r="L63"/>
      <c r="M63"/>
      <c r="N63"/>
      <c r="O63"/>
      <c r="V63" s="1"/>
    </row>
    <row r="64" spans="1:22" x14ac:dyDescent="0.25">
      <c r="F64"/>
      <c r="G64"/>
      <c r="H64"/>
      <c r="I64"/>
      <c r="J64"/>
      <c r="K64"/>
      <c r="L64"/>
      <c r="M64"/>
      <c r="N64"/>
      <c r="O64"/>
      <c r="V64" s="1"/>
    </row>
    <row r="65" spans="6:22" x14ac:dyDescent="0.25">
      <c r="F65"/>
      <c r="G65"/>
      <c r="H65"/>
      <c r="I65"/>
      <c r="J65"/>
      <c r="K65"/>
      <c r="L65"/>
      <c r="M65"/>
      <c r="N65"/>
      <c r="O65"/>
      <c r="V65" s="1"/>
    </row>
    <row r="66" spans="6:22" x14ac:dyDescent="0.25">
      <c r="F66"/>
      <c r="G66"/>
      <c r="H66"/>
      <c r="I66"/>
      <c r="J66"/>
      <c r="K66"/>
      <c r="L66"/>
      <c r="M66"/>
      <c r="N66"/>
      <c r="O66"/>
      <c r="V66" s="1"/>
    </row>
    <row r="67" spans="6:22" x14ac:dyDescent="0.25">
      <c r="F67"/>
      <c r="G67"/>
      <c r="H67"/>
      <c r="I67"/>
      <c r="J67"/>
      <c r="K67"/>
      <c r="L67"/>
      <c r="M67"/>
      <c r="N67"/>
      <c r="O67"/>
      <c r="V67" s="1"/>
    </row>
    <row r="68" spans="6:22" x14ac:dyDescent="0.25">
      <c r="F68"/>
      <c r="G68"/>
      <c r="H68"/>
      <c r="I68"/>
      <c r="J68"/>
      <c r="K68"/>
      <c r="L68"/>
      <c r="M68"/>
      <c r="N68"/>
      <c r="O68"/>
      <c r="V68" s="1"/>
    </row>
    <row r="69" spans="6:22" x14ac:dyDescent="0.25">
      <c r="F69"/>
      <c r="G69"/>
      <c r="H69"/>
      <c r="I69"/>
      <c r="J69"/>
      <c r="K69"/>
      <c r="L69"/>
      <c r="M69"/>
      <c r="N69"/>
      <c r="O69"/>
      <c r="V69" s="1"/>
    </row>
    <row r="70" spans="6:22" x14ac:dyDescent="0.25">
      <c r="F70"/>
      <c r="G70"/>
      <c r="H70"/>
      <c r="I70"/>
      <c r="J70"/>
      <c r="K70"/>
      <c r="L70"/>
      <c r="M70"/>
      <c r="N70"/>
      <c r="O70"/>
      <c r="V70" s="1"/>
    </row>
    <row r="71" spans="6:22" x14ac:dyDescent="0.25">
      <c r="F71"/>
      <c r="G71"/>
      <c r="H71"/>
      <c r="I71"/>
      <c r="J71"/>
      <c r="K71"/>
      <c r="L71"/>
      <c r="M71"/>
      <c r="N71"/>
      <c r="O71"/>
      <c r="V71" s="1"/>
    </row>
    <row r="72" spans="6:22" x14ac:dyDescent="0.25">
      <c r="F72"/>
      <c r="G72"/>
      <c r="H72"/>
      <c r="I72"/>
      <c r="J72"/>
      <c r="K72"/>
      <c r="L72"/>
      <c r="M72"/>
      <c r="N72"/>
      <c r="O72"/>
      <c r="V72" s="1"/>
    </row>
    <row r="73" spans="6:22" x14ac:dyDescent="0.25">
      <c r="F73"/>
      <c r="G73"/>
      <c r="H73"/>
      <c r="I73"/>
      <c r="J73"/>
      <c r="K73"/>
      <c r="L73"/>
      <c r="M73"/>
      <c r="N73"/>
      <c r="O73"/>
      <c r="V73" s="1"/>
    </row>
    <row r="74" spans="6:22" x14ac:dyDescent="0.25">
      <c r="F74"/>
      <c r="G74"/>
      <c r="H74"/>
      <c r="I74"/>
      <c r="J74"/>
      <c r="K74"/>
      <c r="L74"/>
      <c r="M74"/>
      <c r="N74"/>
      <c r="O74"/>
      <c r="V74" s="1"/>
    </row>
    <row r="75" spans="6:22" x14ac:dyDescent="0.25">
      <c r="F75"/>
      <c r="G75"/>
      <c r="H75"/>
      <c r="I75"/>
      <c r="J75"/>
      <c r="K75"/>
      <c r="L75"/>
      <c r="M75"/>
      <c r="N75"/>
      <c r="O75"/>
      <c r="V75" s="1"/>
    </row>
    <row r="76" spans="6:22" x14ac:dyDescent="0.25">
      <c r="F76"/>
      <c r="G76"/>
      <c r="H76"/>
      <c r="I76"/>
      <c r="J76"/>
      <c r="K76"/>
      <c r="L76"/>
      <c r="M76"/>
      <c r="N76"/>
      <c r="O76"/>
      <c r="V76" s="1"/>
    </row>
    <row r="77" spans="6:22" x14ac:dyDescent="0.25">
      <c r="F77"/>
      <c r="G77"/>
      <c r="H77"/>
      <c r="I77"/>
      <c r="J77"/>
      <c r="K77"/>
      <c r="L77"/>
      <c r="M77"/>
      <c r="N77"/>
      <c r="O77"/>
      <c r="V77" s="1"/>
    </row>
    <row r="78" spans="6:22" x14ac:dyDescent="0.25">
      <c r="F78"/>
      <c r="G78"/>
      <c r="H78"/>
      <c r="I78"/>
      <c r="J78"/>
      <c r="K78"/>
      <c r="L78"/>
      <c r="M78"/>
      <c r="N78"/>
      <c r="O78"/>
      <c r="V78" s="1"/>
    </row>
    <row r="79" spans="6:22" x14ac:dyDescent="0.25">
      <c r="F79"/>
      <c r="G79"/>
      <c r="H79"/>
      <c r="I79"/>
      <c r="J79"/>
      <c r="K79"/>
      <c r="L79"/>
      <c r="M79"/>
      <c r="N79"/>
      <c r="O79"/>
      <c r="V79" s="1"/>
    </row>
    <row r="80" spans="6:22" x14ac:dyDescent="0.25">
      <c r="F80"/>
      <c r="G80"/>
      <c r="H80"/>
      <c r="I80"/>
      <c r="J80"/>
      <c r="K80"/>
      <c r="L80"/>
      <c r="M80"/>
      <c r="N80"/>
      <c r="O80"/>
      <c r="V80" s="1"/>
    </row>
    <row r="81" spans="6:22" x14ac:dyDescent="0.25">
      <c r="F81"/>
      <c r="G81"/>
      <c r="H81"/>
      <c r="I81"/>
      <c r="J81"/>
      <c r="K81"/>
      <c r="L81"/>
      <c r="M81"/>
      <c r="N81"/>
      <c r="O81"/>
      <c r="V81" s="1"/>
    </row>
    <row r="82" spans="6:22" x14ac:dyDescent="0.25">
      <c r="F82"/>
      <c r="G82"/>
      <c r="H82"/>
      <c r="I82"/>
      <c r="J82"/>
      <c r="K82"/>
      <c r="L82"/>
      <c r="M82"/>
      <c r="N82"/>
      <c r="O82"/>
      <c r="V82" s="1"/>
    </row>
    <row r="83" spans="6:22" x14ac:dyDescent="0.25">
      <c r="F83"/>
      <c r="G83"/>
      <c r="H83"/>
      <c r="I83"/>
      <c r="J83"/>
      <c r="K83"/>
      <c r="L83"/>
      <c r="M83"/>
      <c r="N83"/>
      <c r="O83"/>
      <c r="V83" s="1"/>
    </row>
    <row r="84" spans="6:22" x14ac:dyDescent="0.25">
      <c r="F84"/>
      <c r="G84"/>
      <c r="H84"/>
      <c r="I84"/>
      <c r="J84"/>
      <c r="K84"/>
      <c r="L84"/>
      <c r="M84"/>
      <c r="N84"/>
      <c r="O84"/>
      <c r="V84" s="1"/>
    </row>
    <row r="85" spans="6:22" x14ac:dyDescent="0.25">
      <c r="F85"/>
      <c r="G85"/>
      <c r="H85"/>
      <c r="I85"/>
      <c r="J85"/>
      <c r="K85"/>
      <c r="L85"/>
      <c r="M85"/>
      <c r="N85"/>
      <c r="O85"/>
      <c r="V85" s="1"/>
    </row>
    <row r="86" spans="6:22" x14ac:dyDescent="0.25">
      <c r="F86"/>
      <c r="G86"/>
      <c r="H86"/>
      <c r="I86"/>
      <c r="J86"/>
      <c r="K86"/>
      <c r="L86"/>
      <c r="M86"/>
      <c r="N86"/>
      <c r="O86"/>
      <c r="V86" s="1"/>
    </row>
    <row r="87" spans="6:22" x14ac:dyDescent="0.25">
      <c r="F87"/>
      <c r="G87"/>
      <c r="H87"/>
      <c r="I87"/>
      <c r="J87"/>
      <c r="K87"/>
      <c r="L87"/>
      <c r="M87"/>
      <c r="N87"/>
      <c r="O87"/>
      <c r="V87" s="1"/>
    </row>
    <row r="88" spans="6:22" x14ac:dyDescent="0.25">
      <c r="F88"/>
      <c r="G88"/>
      <c r="H88"/>
      <c r="I88"/>
      <c r="J88"/>
      <c r="K88"/>
      <c r="L88"/>
      <c r="M88"/>
      <c r="N88"/>
      <c r="O88"/>
      <c r="V88" s="1"/>
    </row>
    <row r="89" spans="6:22" x14ac:dyDescent="0.25">
      <c r="F89"/>
      <c r="G89"/>
      <c r="H89"/>
      <c r="I89"/>
      <c r="J89"/>
      <c r="K89"/>
      <c r="L89"/>
      <c r="M89"/>
      <c r="N89"/>
      <c r="O89"/>
      <c r="V89" s="1"/>
    </row>
    <row r="90" spans="6:22" x14ac:dyDescent="0.25">
      <c r="F90"/>
      <c r="G90"/>
      <c r="H90"/>
      <c r="I90"/>
      <c r="J90"/>
      <c r="K90"/>
      <c r="L90"/>
      <c r="M90"/>
      <c r="N90"/>
      <c r="O90"/>
      <c r="V90" s="1"/>
    </row>
    <row r="91" spans="6:22" x14ac:dyDescent="0.25">
      <c r="F91"/>
      <c r="G91"/>
      <c r="H91"/>
      <c r="I91"/>
      <c r="J91"/>
      <c r="K91"/>
      <c r="L91"/>
      <c r="M91"/>
      <c r="N91"/>
      <c r="O91"/>
      <c r="V91" s="1"/>
    </row>
    <row r="92" spans="6:22" x14ac:dyDescent="0.25">
      <c r="F92"/>
      <c r="G92"/>
      <c r="H92"/>
      <c r="I92"/>
      <c r="J92"/>
      <c r="K92"/>
      <c r="L92"/>
      <c r="M92"/>
      <c r="N92"/>
      <c r="O92"/>
      <c r="V92" s="1"/>
    </row>
    <row r="93" spans="6:22" x14ac:dyDescent="0.25">
      <c r="F93"/>
      <c r="G93"/>
      <c r="H93"/>
      <c r="I93"/>
      <c r="J93"/>
      <c r="K93"/>
      <c r="L93"/>
      <c r="M93"/>
      <c r="N93"/>
      <c r="O93"/>
      <c r="V93" s="1"/>
    </row>
    <row r="94" spans="6:22" x14ac:dyDescent="0.25">
      <c r="F94"/>
      <c r="G94"/>
      <c r="H94"/>
      <c r="I94"/>
      <c r="J94"/>
      <c r="K94"/>
      <c r="L94"/>
      <c r="M94"/>
      <c r="N94"/>
      <c r="O94"/>
      <c r="V94" s="1"/>
    </row>
    <row r="95" spans="6:22" x14ac:dyDescent="0.25">
      <c r="F95"/>
      <c r="G95"/>
      <c r="H95"/>
      <c r="I95"/>
      <c r="J95"/>
      <c r="K95"/>
      <c r="L95"/>
      <c r="M95"/>
      <c r="N95"/>
      <c r="O95"/>
      <c r="V95" s="1"/>
    </row>
    <row r="96" spans="6:22" x14ac:dyDescent="0.25">
      <c r="F96"/>
      <c r="G96"/>
      <c r="H96"/>
      <c r="I96"/>
      <c r="J96"/>
      <c r="K96"/>
      <c r="L96"/>
      <c r="M96"/>
      <c r="N96"/>
      <c r="O96"/>
      <c r="V96" s="1"/>
    </row>
    <row r="97" spans="6:22" x14ac:dyDescent="0.25">
      <c r="F97"/>
      <c r="G97"/>
      <c r="H97"/>
      <c r="I97"/>
      <c r="J97"/>
      <c r="K97"/>
      <c r="L97"/>
      <c r="M97"/>
      <c r="N97"/>
      <c r="O97"/>
      <c r="V97" s="1"/>
    </row>
    <row r="98" spans="6:22" x14ac:dyDescent="0.25">
      <c r="F98"/>
      <c r="G98"/>
      <c r="H98"/>
      <c r="I98"/>
      <c r="J98"/>
      <c r="K98"/>
      <c r="L98"/>
      <c r="M98"/>
      <c r="N98"/>
      <c r="O98"/>
      <c r="V98" s="1"/>
    </row>
    <row r="99" spans="6:22" x14ac:dyDescent="0.25">
      <c r="F99"/>
      <c r="G99"/>
      <c r="H99"/>
      <c r="I99"/>
      <c r="J99"/>
      <c r="K99"/>
      <c r="L99"/>
      <c r="M99"/>
      <c r="N99"/>
      <c r="O99"/>
      <c r="V99" s="1"/>
    </row>
    <row r="100" spans="6:22" x14ac:dyDescent="0.25">
      <c r="F100"/>
      <c r="G100"/>
      <c r="H100"/>
      <c r="I100"/>
      <c r="J100"/>
      <c r="K100"/>
      <c r="L100"/>
      <c r="M100"/>
      <c r="N100"/>
      <c r="O100"/>
      <c r="V100" s="1"/>
    </row>
    <row r="101" spans="6:22" x14ac:dyDescent="0.25">
      <c r="F101"/>
      <c r="G101"/>
      <c r="H101"/>
      <c r="I101"/>
      <c r="J101"/>
      <c r="K101"/>
      <c r="L101"/>
      <c r="M101"/>
      <c r="N101"/>
      <c r="O101"/>
      <c r="V101" s="1"/>
    </row>
    <row r="102" spans="6:22" x14ac:dyDescent="0.25">
      <c r="F102"/>
      <c r="G102"/>
      <c r="H102"/>
      <c r="I102"/>
      <c r="J102"/>
      <c r="K102"/>
      <c r="L102"/>
      <c r="M102"/>
      <c r="N102"/>
      <c r="O102"/>
      <c r="V102" s="1"/>
    </row>
    <row r="103" spans="6:22" x14ac:dyDescent="0.25">
      <c r="F103"/>
      <c r="G103"/>
      <c r="H103"/>
      <c r="I103"/>
      <c r="J103"/>
      <c r="K103"/>
      <c r="L103"/>
      <c r="M103"/>
      <c r="N103"/>
      <c r="O103"/>
      <c r="V103" s="1"/>
    </row>
    <row r="104" spans="6:22" x14ac:dyDescent="0.25">
      <c r="F104"/>
      <c r="G104"/>
      <c r="H104"/>
      <c r="I104"/>
      <c r="J104"/>
      <c r="K104"/>
      <c r="L104"/>
      <c r="M104"/>
      <c r="N104"/>
      <c r="O104"/>
      <c r="V104" s="1"/>
    </row>
    <row r="105" spans="6:22" x14ac:dyDescent="0.25">
      <c r="F105"/>
      <c r="G105"/>
      <c r="H105"/>
      <c r="I105"/>
      <c r="J105"/>
      <c r="K105"/>
      <c r="L105"/>
      <c r="M105"/>
      <c r="N105"/>
      <c r="O105"/>
      <c r="V105" s="1"/>
    </row>
    <row r="106" spans="6:22" x14ac:dyDescent="0.25">
      <c r="F106"/>
      <c r="G106"/>
      <c r="H106"/>
      <c r="I106"/>
      <c r="J106"/>
      <c r="K106"/>
      <c r="L106"/>
      <c r="M106"/>
      <c r="N106"/>
      <c r="O106"/>
      <c r="V106" s="1"/>
    </row>
    <row r="107" spans="6:22" x14ac:dyDescent="0.25">
      <c r="F107"/>
      <c r="G107"/>
      <c r="H107"/>
      <c r="I107"/>
      <c r="J107"/>
      <c r="K107"/>
      <c r="L107"/>
      <c r="M107"/>
      <c r="N107"/>
      <c r="O107"/>
      <c r="V107" s="1"/>
    </row>
    <row r="108" spans="6:22" x14ac:dyDescent="0.25">
      <c r="F108"/>
      <c r="G108"/>
      <c r="H108"/>
      <c r="I108"/>
      <c r="J108"/>
      <c r="K108"/>
      <c r="L108"/>
      <c r="M108"/>
      <c r="N108"/>
      <c r="O108"/>
      <c r="V108" s="1"/>
    </row>
    <row r="109" spans="6:22" x14ac:dyDescent="0.25">
      <c r="F109"/>
      <c r="G109"/>
      <c r="H109"/>
      <c r="I109"/>
      <c r="J109"/>
      <c r="K109"/>
      <c r="L109"/>
      <c r="M109"/>
      <c r="N109"/>
      <c r="O109"/>
      <c r="V109" s="1"/>
    </row>
    <row r="110" spans="6:22" x14ac:dyDescent="0.25">
      <c r="F110"/>
      <c r="G110"/>
      <c r="H110"/>
      <c r="I110"/>
      <c r="J110"/>
      <c r="K110"/>
      <c r="L110"/>
      <c r="M110"/>
      <c r="N110"/>
      <c r="O110"/>
      <c r="V110" s="1"/>
    </row>
    <row r="111" spans="6:22" x14ac:dyDescent="0.25">
      <c r="F111"/>
      <c r="G111"/>
      <c r="H111"/>
      <c r="I111"/>
      <c r="J111"/>
      <c r="K111"/>
      <c r="L111"/>
      <c r="M111"/>
      <c r="N111"/>
      <c r="O111"/>
      <c r="V111" s="1"/>
    </row>
    <row r="112" spans="6:22" x14ac:dyDescent="0.25">
      <c r="F112"/>
      <c r="G112"/>
      <c r="H112"/>
      <c r="I112"/>
      <c r="J112"/>
      <c r="K112"/>
      <c r="L112"/>
      <c r="M112"/>
      <c r="N112"/>
      <c r="O112"/>
      <c r="V112" s="1"/>
    </row>
    <row r="113" spans="6:22" x14ac:dyDescent="0.25">
      <c r="F113"/>
      <c r="G113"/>
      <c r="H113"/>
      <c r="I113"/>
      <c r="J113"/>
      <c r="K113"/>
      <c r="L113"/>
      <c r="M113"/>
      <c r="N113"/>
      <c r="O113"/>
      <c r="V113" s="1"/>
    </row>
    <row r="114" spans="6:22" x14ac:dyDescent="0.25">
      <c r="F114"/>
      <c r="G114"/>
      <c r="H114"/>
      <c r="I114"/>
      <c r="J114"/>
      <c r="K114"/>
      <c r="L114"/>
      <c r="M114"/>
      <c r="N114"/>
      <c r="O114"/>
      <c r="V114" s="1"/>
    </row>
    <row r="115" spans="6:22" x14ac:dyDescent="0.25">
      <c r="F115"/>
      <c r="G115"/>
      <c r="H115"/>
      <c r="I115"/>
      <c r="J115"/>
      <c r="K115"/>
      <c r="L115"/>
      <c r="M115"/>
      <c r="N115"/>
      <c r="O115"/>
      <c r="V115" s="1"/>
    </row>
    <row r="116" spans="6:22" x14ac:dyDescent="0.25">
      <c r="F116"/>
      <c r="G116"/>
      <c r="H116"/>
      <c r="I116"/>
      <c r="J116"/>
      <c r="K116"/>
      <c r="L116"/>
      <c r="M116"/>
      <c r="N116"/>
      <c r="O116"/>
      <c r="V116" s="1"/>
    </row>
    <row r="117" spans="6:22" x14ac:dyDescent="0.25">
      <c r="F117"/>
      <c r="G117"/>
      <c r="H117"/>
      <c r="I117"/>
      <c r="J117"/>
      <c r="K117"/>
      <c r="L117"/>
      <c r="M117"/>
      <c r="N117"/>
      <c r="O117"/>
      <c r="V117"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92132-24CF-4401-99E6-F9F92CBDA32A}">
  <dimension ref="A1:N55"/>
  <sheetViews>
    <sheetView topLeftCell="A18" workbookViewId="0">
      <selection activeCell="D55" sqref="D55"/>
    </sheetView>
  </sheetViews>
  <sheetFormatPr defaultRowHeight="15" customHeight="1" x14ac:dyDescent="0.25"/>
  <cols>
    <col min="1" max="1" width="18.7109375" bestFit="1" customWidth="1"/>
    <col min="2" max="2" width="7.85546875" style="1" customWidth="1"/>
    <col min="3" max="3" width="4.28515625" customWidth="1"/>
    <col min="4" max="4" width="12.5703125" bestFit="1" customWidth="1"/>
    <col min="5" max="5" width="4.28515625" customWidth="1"/>
    <col min="6" max="6" width="11" customWidth="1"/>
    <col min="8" max="8" width="14.85546875" customWidth="1"/>
    <col min="9" max="9" width="10" customWidth="1"/>
    <col min="10" max="10" width="4.28515625" customWidth="1"/>
    <col min="11" max="11" width="11.85546875" customWidth="1"/>
    <col min="13" max="13" width="12.7109375" customWidth="1"/>
    <col min="14" max="14" width="10.42578125" customWidth="1"/>
  </cols>
  <sheetData>
    <row r="1" spans="1:14" ht="60" customHeight="1" thickBot="1" x14ac:dyDescent="0.3">
      <c r="A1" s="52" t="s">
        <v>46</v>
      </c>
      <c r="B1" s="201" t="s">
        <v>10437</v>
      </c>
      <c r="C1" s="53"/>
      <c r="D1" s="111" t="s">
        <v>10438</v>
      </c>
      <c r="E1" s="54"/>
      <c r="F1" s="55" t="s">
        <v>41</v>
      </c>
      <c r="G1" s="56" t="s">
        <v>10418</v>
      </c>
      <c r="H1" s="55" t="s">
        <v>10439</v>
      </c>
      <c r="I1" s="57" t="s">
        <v>10440</v>
      </c>
      <c r="J1" s="54"/>
      <c r="K1" s="58" t="s">
        <v>10441</v>
      </c>
      <c r="L1" s="59" t="s">
        <v>10418</v>
      </c>
      <c r="M1" s="58" t="s">
        <v>10442</v>
      </c>
      <c r="N1" s="58" t="s">
        <v>10443</v>
      </c>
    </row>
    <row r="2" spans="1:14" ht="15" customHeight="1" x14ac:dyDescent="0.25">
      <c r="A2" s="60" t="s">
        <v>172</v>
      </c>
      <c r="B2" s="200" t="s">
        <v>10444</v>
      </c>
      <c r="C2" s="61"/>
      <c r="D2" s="144">
        <f>'5. State Production'!S3</f>
        <v>3763934</v>
      </c>
      <c r="E2" s="62"/>
      <c r="F2" s="109">
        <v>53</v>
      </c>
      <c r="G2" s="63">
        <f>RANK(F2,$F$2:$F$53)</f>
        <v>39</v>
      </c>
      <c r="H2" s="108">
        <f>F2/(D2/100000)</f>
        <v>1.4081012047501364</v>
      </c>
      <c r="I2" s="63">
        <f>RANK(H2,$H$2:$H$53)</f>
        <v>50</v>
      </c>
      <c r="J2" s="64"/>
      <c r="K2" s="33">
        <v>53</v>
      </c>
      <c r="L2" s="65">
        <f>RANK(K2,$K$2:$K$53)</f>
        <v>39</v>
      </c>
      <c r="M2" s="66">
        <f>K2/(D2/100000)</f>
        <v>1.4081012047501364</v>
      </c>
      <c r="N2" s="67">
        <f>RANK(M2,$M$2:$M$53)</f>
        <v>50</v>
      </c>
    </row>
    <row r="3" spans="1:14" ht="15" customHeight="1" x14ac:dyDescent="0.25">
      <c r="A3" s="68" t="s">
        <v>124</v>
      </c>
      <c r="B3" s="197" t="s">
        <v>10445</v>
      </c>
      <c r="C3" s="61"/>
      <c r="D3" s="144">
        <f>'5. State Production'!S4</f>
        <v>533123</v>
      </c>
      <c r="E3" s="62"/>
      <c r="F3" s="109">
        <v>61</v>
      </c>
      <c r="G3" s="63">
        <f t="shared" ref="G3:G53" si="0">RANK(F3,$F$2:$F$53)</f>
        <v>37</v>
      </c>
      <c r="H3" s="108">
        <f t="shared" ref="H3:H55" si="1">F3/(D3/100000)</f>
        <v>11.442012443657468</v>
      </c>
      <c r="I3" s="63">
        <f t="shared" ref="I3:I53" si="2">RANK(H3,$H$2:$H$53)</f>
        <v>5</v>
      </c>
      <c r="J3" s="64"/>
      <c r="K3" s="33">
        <v>61</v>
      </c>
      <c r="L3" s="65">
        <f t="shared" ref="L3:L53" si="3">RANK(K3,$K$2:$K$53)</f>
        <v>37</v>
      </c>
      <c r="M3" s="66">
        <f t="shared" ref="M3:M55" si="4">K3/(D3/100000)</f>
        <v>11.442012443657468</v>
      </c>
      <c r="N3" s="67">
        <f t="shared" ref="N3:N53" si="5">RANK(M3,$M$2:$M$53)</f>
        <v>5</v>
      </c>
    </row>
    <row r="4" spans="1:14" ht="15" customHeight="1" x14ac:dyDescent="0.25">
      <c r="A4" s="68" t="s">
        <v>206</v>
      </c>
      <c r="B4" s="197" t="s">
        <v>10400</v>
      </c>
      <c r="C4" s="61"/>
      <c r="D4" s="144">
        <f>'5. State Production'!S5</f>
        <v>5553078</v>
      </c>
      <c r="E4" s="62"/>
      <c r="F4" s="109">
        <v>127</v>
      </c>
      <c r="G4" s="63">
        <f t="shared" si="0"/>
        <v>25</v>
      </c>
      <c r="H4" s="108">
        <f t="shared" si="1"/>
        <v>2.287019919403257</v>
      </c>
      <c r="I4" s="63">
        <f t="shared" si="2"/>
        <v>44</v>
      </c>
      <c r="J4" s="64"/>
      <c r="K4" s="33">
        <v>129</v>
      </c>
      <c r="L4" s="65">
        <f t="shared" si="3"/>
        <v>25</v>
      </c>
      <c r="M4" s="66">
        <f t="shared" si="4"/>
        <v>2.323035981126143</v>
      </c>
      <c r="N4" s="67">
        <f t="shared" si="5"/>
        <v>44</v>
      </c>
    </row>
    <row r="5" spans="1:14" ht="15" customHeight="1" x14ac:dyDescent="0.25">
      <c r="A5" s="68" t="s">
        <v>378</v>
      </c>
      <c r="B5" s="197" t="s">
        <v>10446</v>
      </c>
      <c r="C5" s="61"/>
      <c r="D5" s="144">
        <f>'5. State Production'!S6</f>
        <v>2243142</v>
      </c>
      <c r="E5" s="62"/>
      <c r="F5" s="109">
        <v>58</v>
      </c>
      <c r="G5" s="63">
        <f t="shared" si="0"/>
        <v>38</v>
      </c>
      <c r="H5" s="108">
        <f t="shared" si="1"/>
        <v>2.5856588660013502</v>
      </c>
      <c r="I5" s="63">
        <f t="shared" si="2"/>
        <v>40</v>
      </c>
      <c r="J5" s="64"/>
      <c r="K5" s="33">
        <v>58</v>
      </c>
      <c r="L5" s="65">
        <f t="shared" si="3"/>
        <v>38</v>
      </c>
      <c r="M5" s="66">
        <f t="shared" si="4"/>
        <v>2.5856588660013502</v>
      </c>
      <c r="N5" s="67">
        <f t="shared" si="5"/>
        <v>40</v>
      </c>
    </row>
    <row r="6" spans="1:14" ht="15" customHeight="1" x14ac:dyDescent="0.25">
      <c r="A6" s="68" t="s">
        <v>56</v>
      </c>
      <c r="B6" s="197" t="s">
        <v>10387</v>
      </c>
      <c r="C6" s="61"/>
      <c r="D6" s="144">
        <f>'5. State Production'!S7</f>
        <v>28988643</v>
      </c>
      <c r="E6" s="62"/>
      <c r="F6" s="109">
        <v>946</v>
      </c>
      <c r="G6" s="63">
        <f t="shared" si="0"/>
        <v>1</v>
      </c>
      <c r="H6" s="108">
        <f t="shared" si="1"/>
        <v>3.2633469597041844</v>
      </c>
      <c r="I6" s="63">
        <f t="shared" si="2"/>
        <v>31</v>
      </c>
      <c r="J6" s="64"/>
      <c r="K6" s="33">
        <v>956</v>
      </c>
      <c r="L6" s="65">
        <f t="shared" si="3"/>
        <v>1</v>
      </c>
      <c r="M6" s="66">
        <f t="shared" si="4"/>
        <v>3.2978432277771677</v>
      </c>
      <c r="N6" s="67">
        <f t="shared" si="5"/>
        <v>31</v>
      </c>
    </row>
    <row r="7" spans="1:14" ht="15" customHeight="1" x14ac:dyDescent="0.25">
      <c r="A7" s="68" t="s">
        <v>69</v>
      </c>
      <c r="B7" s="197" t="s">
        <v>10395</v>
      </c>
      <c r="C7" s="61"/>
      <c r="D7" s="144">
        <f>'5. State Production'!S8</f>
        <v>4441305</v>
      </c>
      <c r="E7" s="62"/>
      <c r="F7" s="109">
        <v>456</v>
      </c>
      <c r="G7" s="63">
        <f t="shared" si="0"/>
        <v>4</v>
      </c>
      <c r="H7" s="108">
        <f t="shared" si="1"/>
        <v>10.267252530506237</v>
      </c>
      <c r="I7" s="63">
        <f t="shared" si="2"/>
        <v>6</v>
      </c>
      <c r="J7" s="64"/>
      <c r="K7" s="33">
        <v>460</v>
      </c>
      <c r="L7" s="65">
        <f t="shared" si="3"/>
        <v>4</v>
      </c>
      <c r="M7" s="66">
        <f t="shared" si="4"/>
        <v>10.357316149194888</v>
      </c>
      <c r="N7" s="67">
        <f t="shared" si="5"/>
        <v>6</v>
      </c>
    </row>
    <row r="8" spans="1:14" ht="15" customHeight="1" x14ac:dyDescent="0.25">
      <c r="A8" s="68" t="s">
        <v>72</v>
      </c>
      <c r="B8" s="197" t="s">
        <v>10447</v>
      </c>
      <c r="C8" s="61"/>
      <c r="D8" s="144">
        <f>'5. State Production'!S9</f>
        <v>2743788</v>
      </c>
      <c r="E8" s="62"/>
      <c r="F8" s="109">
        <v>122</v>
      </c>
      <c r="G8" s="63">
        <f t="shared" si="0"/>
        <v>27</v>
      </c>
      <c r="H8" s="108">
        <f t="shared" si="1"/>
        <v>4.4464076670646566</v>
      </c>
      <c r="I8" s="63">
        <f t="shared" si="2"/>
        <v>24</v>
      </c>
      <c r="J8" s="64"/>
      <c r="K8" s="33">
        <v>122</v>
      </c>
      <c r="L8" s="65">
        <f t="shared" si="3"/>
        <v>27</v>
      </c>
      <c r="M8" s="66">
        <f t="shared" si="4"/>
        <v>4.4464076670646566</v>
      </c>
      <c r="N8" s="67">
        <f t="shared" si="5"/>
        <v>24</v>
      </c>
    </row>
    <row r="9" spans="1:14" ht="15" customHeight="1" x14ac:dyDescent="0.25">
      <c r="A9" s="68" t="s">
        <v>628</v>
      </c>
      <c r="B9" s="197" t="s">
        <v>10448</v>
      </c>
      <c r="C9" s="61"/>
      <c r="D9" s="144">
        <f>'5. State Production'!S10</f>
        <v>779308</v>
      </c>
      <c r="E9" s="62"/>
      <c r="F9" s="109">
        <v>38</v>
      </c>
      <c r="G9" s="63">
        <f t="shared" si="0"/>
        <v>46</v>
      </c>
      <c r="H9" s="108">
        <f t="shared" si="1"/>
        <v>4.876120866204376</v>
      </c>
      <c r="I9" s="63">
        <f t="shared" si="2"/>
        <v>22</v>
      </c>
      <c r="J9" s="64"/>
      <c r="K9" s="33">
        <v>38</v>
      </c>
      <c r="L9" s="65">
        <f t="shared" si="3"/>
        <v>46</v>
      </c>
      <c r="M9" s="66">
        <f t="shared" si="4"/>
        <v>4.876120866204376</v>
      </c>
      <c r="N9" s="67">
        <f t="shared" si="5"/>
        <v>22</v>
      </c>
    </row>
    <row r="10" spans="1:14" ht="15" customHeight="1" x14ac:dyDescent="0.25">
      <c r="A10" s="68" t="s">
        <v>441</v>
      </c>
      <c r="B10" s="197" t="s">
        <v>10449</v>
      </c>
      <c r="C10" s="61"/>
      <c r="D10" s="144">
        <f>'5. State Production'!S11</f>
        <v>526682</v>
      </c>
      <c r="E10" s="62"/>
      <c r="F10" s="109">
        <v>14</v>
      </c>
      <c r="G10" s="63">
        <f t="shared" si="0"/>
        <v>51</v>
      </c>
      <c r="H10" s="108">
        <f t="shared" si="1"/>
        <v>2.6581504589106899</v>
      </c>
      <c r="I10" s="63">
        <f t="shared" si="2"/>
        <v>39</v>
      </c>
      <c r="J10" s="64"/>
      <c r="K10" s="33">
        <v>14</v>
      </c>
      <c r="L10" s="65">
        <f t="shared" si="3"/>
        <v>51</v>
      </c>
      <c r="M10" s="66">
        <f t="shared" si="4"/>
        <v>2.6581504589106899</v>
      </c>
      <c r="N10" s="67">
        <f t="shared" si="5"/>
        <v>39</v>
      </c>
    </row>
    <row r="11" spans="1:14" ht="15" customHeight="1" x14ac:dyDescent="0.25">
      <c r="A11" s="68" t="s">
        <v>188</v>
      </c>
      <c r="B11" s="197" t="s">
        <v>10389</v>
      </c>
      <c r="C11" s="61"/>
      <c r="D11" s="144">
        <f>'5. State Production'!S12</f>
        <v>17446963</v>
      </c>
      <c r="E11" s="62"/>
      <c r="F11" s="109">
        <v>391</v>
      </c>
      <c r="G11" s="63">
        <f t="shared" si="0"/>
        <v>10</v>
      </c>
      <c r="H11" s="108">
        <f t="shared" si="1"/>
        <v>2.2410777165057323</v>
      </c>
      <c r="I11" s="63">
        <f t="shared" si="2"/>
        <v>45</v>
      </c>
      <c r="J11" s="64"/>
      <c r="K11" s="33">
        <v>395</v>
      </c>
      <c r="L11" s="65">
        <f t="shared" si="3"/>
        <v>10</v>
      </c>
      <c r="M11" s="66">
        <f t="shared" si="4"/>
        <v>2.2640043427615453</v>
      </c>
      <c r="N11" s="67">
        <f t="shared" si="5"/>
        <v>45</v>
      </c>
    </row>
    <row r="12" spans="1:14" ht="15" customHeight="1" x14ac:dyDescent="0.25">
      <c r="A12" s="68" t="s">
        <v>130</v>
      </c>
      <c r="B12" s="197" t="s">
        <v>10417</v>
      </c>
      <c r="C12" s="61"/>
      <c r="D12" s="144">
        <f>'5. State Production'!S13</f>
        <v>8037936</v>
      </c>
      <c r="E12" s="62"/>
      <c r="F12" s="109">
        <v>190</v>
      </c>
      <c r="G12" s="63">
        <f t="shared" si="0"/>
        <v>18</v>
      </c>
      <c r="H12" s="108">
        <f t="shared" si="1"/>
        <v>2.3637909035354348</v>
      </c>
      <c r="I12" s="63">
        <f t="shared" si="2"/>
        <v>43</v>
      </c>
      <c r="J12" s="64"/>
      <c r="K12" s="33">
        <v>192</v>
      </c>
      <c r="L12" s="65">
        <f t="shared" si="3"/>
        <v>18</v>
      </c>
      <c r="M12" s="66">
        <f t="shared" si="4"/>
        <v>2.3886729130463342</v>
      </c>
      <c r="N12" s="67">
        <f t="shared" si="5"/>
        <v>42</v>
      </c>
    </row>
    <row r="13" spans="1:14" ht="15" customHeight="1" x14ac:dyDescent="0.25">
      <c r="A13" s="68" t="s">
        <v>113</v>
      </c>
      <c r="B13" s="197" t="s">
        <v>10450</v>
      </c>
      <c r="C13" s="61"/>
      <c r="D13" s="144">
        <f>'5. State Production'!S14</f>
        <v>1093745</v>
      </c>
      <c r="E13" s="62"/>
      <c r="F13" s="109">
        <v>26</v>
      </c>
      <c r="G13" s="63">
        <f t="shared" si="0"/>
        <v>48</v>
      </c>
      <c r="H13" s="108">
        <f t="shared" si="1"/>
        <v>2.3771537241313103</v>
      </c>
      <c r="I13" s="63">
        <f t="shared" si="2"/>
        <v>42</v>
      </c>
      <c r="J13" s="64"/>
      <c r="K13" s="33">
        <v>26</v>
      </c>
      <c r="L13" s="65">
        <f t="shared" si="3"/>
        <v>48</v>
      </c>
      <c r="M13" s="66">
        <f t="shared" si="4"/>
        <v>2.3771537241313103</v>
      </c>
      <c r="N13" s="67">
        <f t="shared" si="5"/>
        <v>43</v>
      </c>
    </row>
    <row r="14" spans="1:14" ht="15" customHeight="1" x14ac:dyDescent="0.25">
      <c r="A14" s="68" t="s">
        <v>585</v>
      </c>
      <c r="B14" s="197" t="s">
        <v>10451</v>
      </c>
      <c r="C14" s="61"/>
      <c r="D14" s="144">
        <f>'5. State Production'!S15</f>
        <v>1409213</v>
      </c>
      <c r="E14" s="62"/>
      <c r="F14" s="109">
        <v>100</v>
      </c>
      <c r="G14" s="63">
        <f t="shared" si="0"/>
        <v>32</v>
      </c>
      <c r="H14" s="108">
        <f t="shared" si="1"/>
        <v>7.0961593456773393</v>
      </c>
      <c r="I14" s="63">
        <f t="shared" si="2"/>
        <v>10</v>
      </c>
      <c r="J14" s="64"/>
      <c r="K14" s="33">
        <v>100</v>
      </c>
      <c r="L14" s="65">
        <f t="shared" si="3"/>
        <v>32</v>
      </c>
      <c r="M14" s="66">
        <f t="shared" si="4"/>
        <v>7.0961593456773393</v>
      </c>
      <c r="N14" s="67">
        <f t="shared" si="5"/>
        <v>10</v>
      </c>
    </row>
    <row r="15" spans="1:14" ht="15" customHeight="1" x14ac:dyDescent="0.25">
      <c r="A15" s="68" t="s">
        <v>139</v>
      </c>
      <c r="B15" s="197" t="s">
        <v>10397</v>
      </c>
      <c r="C15" s="61"/>
      <c r="D15" s="144">
        <f>'5. State Production'!S16</f>
        <v>9374392</v>
      </c>
      <c r="E15" s="62"/>
      <c r="F15" s="109">
        <v>296</v>
      </c>
      <c r="G15" s="63">
        <f t="shared" si="0"/>
        <v>13</v>
      </c>
      <c r="H15" s="108">
        <f t="shared" si="1"/>
        <v>3.1575381102049072</v>
      </c>
      <c r="I15" s="63">
        <f t="shared" si="2"/>
        <v>33</v>
      </c>
      <c r="J15" s="64"/>
      <c r="K15" s="33">
        <v>301</v>
      </c>
      <c r="L15" s="65">
        <f t="shared" si="3"/>
        <v>13</v>
      </c>
      <c r="M15" s="66">
        <f t="shared" si="4"/>
        <v>3.2108749026070171</v>
      </c>
      <c r="N15" s="67">
        <f t="shared" si="5"/>
        <v>33</v>
      </c>
    </row>
    <row r="16" spans="1:14" ht="15" customHeight="1" x14ac:dyDescent="0.25">
      <c r="A16" s="68" t="s">
        <v>98</v>
      </c>
      <c r="B16" s="197" t="s">
        <v>10452</v>
      </c>
      <c r="C16" s="61"/>
      <c r="D16" s="144">
        <f>'5. State Production'!S17</f>
        <v>4990409</v>
      </c>
      <c r="E16" s="62"/>
      <c r="F16" s="109">
        <v>194</v>
      </c>
      <c r="G16" s="63">
        <f t="shared" si="0"/>
        <v>17</v>
      </c>
      <c r="H16" s="108">
        <f t="shared" si="1"/>
        <v>3.8874569198636828</v>
      </c>
      <c r="I16" s="63">
        <f t="shared" si="2"/>
        <v>28</v>
      </c>
      <c r="J16" s="64"/>
      <c r="K16" s="33">
        <v>194</v>
      </c>
      <c r="L16" s="65">
        <f t="shared" si="3"/>
        <v>17</v>
      </c>
      <c r="M16" s="66">
        <f t="shared" si="4"/>
        <v>3.8874569198636828</v>
      </c>
      <c r="N16" s="67">
        <f t="shared" si="5"/>
        <v>28</v>
      </c>
    </row>
    <row r="17" spans="1:14" ht="15" customHeight="1" x14ac:dyDescent="0.25">
      <c r="A17" s="68" t="s">
        <v>201</v>
      </c>
      <c r="B17" s="197" t="s">
        <v>10453</v>
      </c>
      <c r="C17" s="61"/>
      <c r="D17" s="144">
        <f>'5. State Production'!S18</f>
        <v>2341800</v>
      </c>
      <c r="E17" s="62"/>
      <c r="F17" s="109">
        <v>127</v>
      </c>
      <c r="G17" s="63">
        <f t="shared" si="0"/>
        <v>25</v>
      </c>
      <c r="H17" s="108">
        <f t="shared" si="1"/>
        <v>5.4231787513878214</v>
      </c>
      <c r="I17" s="63">
        <f t="shared" si="2"/>
        <v>17</v>
      </c>
      <c r="J17" s="64"/>
      <c r="K17" s="33">
        <v>127</v>
      </c>
      <c r="L17" s="65">
        <f t="shared" si="3"/>
        <v>26</v>
      </c>
      <c r="M17" s="66">
        <f t="shared" si="4"/>
        <v>5.4231787513878214</v>
      </c>
      <c r="N17" s="67">
        <f t="shared" si="5"/>
        <v>17</v>
      </c>
    </row>
    <row r="18" spans="1:14" ht="15" customHeight="1" x14ac:dyDescent="0.25">
      <c r="A18" s="68" t="s">
        <v>575</v>
      </c>
      <c r="B18" s="197" t="s">
        <v>10454</v>
      </c>
      <c r="C18" s="61"/>
      <c r="D18" s="144">
        <f>'5. State Production'!S19</f>
        <v>2127099</v>
      </c>
      <c r="E18" s="62"/>
      <c r="F18" s="109">
        <v>85</v>
      </c>
      <c r="G18" s="63">
        <f t="shared" si="0"/>
        <v>33</v>
      </c>
      <c r="H18" s="108">
        <f t="shared" si="1"/>
        <v>3.9960528400417656</v>
      </c>
      <c r="I18" s="63">
        <f t="shared" si="2"/>
        <v>26</v>
      </c>
      <c r="J18" s="64"/>
      <c r="K18" s="33">
        <v>85</v>
      </c>
      <c r="L18" s="65">
        <f t="shared" si="3"/>
        <v>33</v>
      </c>
      <c r="M18" s="66">
        <f t="shared" si="4"/>
        <v>3.9960528400417656</v>
      </c>
      <c r="N18" s="67">
        <f t="shared" si="5"/>
        <v>26</v>
      </c>
    </row>
    <row r="19" spans="1:14" ht="15" customHeight="1" x14ac:dyDescent="0.25">
      <c r="A19" s="68" t="s">
        <v>236</v>
      </c>
      <c r="B19" s="197" t="s">
        <v>10455</v>
      </c>
      <c r="C19" s="61"/>
      <c r="D19" s="144">
        <f>'5. State Production'!S20</f>
        <v>3356000</v>
      </c>
      <c r="E19" s="62"/>
      <c r="F19" s="109">
        <v>103</v>
      </c>
      <c r="G19" s="63">
        <f t="shared" si="0"/>
        <v>30</v>
      </c>
      <c r="H19" s="108">
        <f t="shared" si="1"/>
        <v>3.0691299165673418</v>
      </c>
      <c r="I19" s="63">
        <f t="shared" si="2"/>
        <v>34</v>
      </c>
      <c r="J19" s="64"/>
      <c r="K19" s="33">
        <v>103</v>
      </c>
      <c r="L19" s="65">
        <f t="shared" si="3"/>
        <v>31</v>
      </c>
      <c r="M19" s="66">
        <f t="shared" si="4"/>
        <v>3.0691299165673418</v>
      </c>
      <c r="N19" s="67">
        <f t="shared" si="5"/>
        <v>34</v>
      </c>
    </row>
    <row r="20" spans="1:14" ht="15" customHeight="1" x14ac:dyDescent="0.25">
      <c r="A20" s="68" t="s">
        <v>127</v>
      </c>
      <c r="B20" s="197" t="s">
        <v>10456</v>
      </c>
      <c r="C20" s="61"/>
      <c r="D20" s="144">
        <f>'5. State Production'!S21</f>
        <v>3333349</v>
      </c>
      <c r="E20" s="62"/>
      <c r="F20" s="109">
        <v>52</v>
      </c>
      <c r="G20" s="63">
        <f t="shared" si="0"/>
        <v>40</v>
      </c>
      <c r="H20" s="108">
        <f t="shared" si="1"/>
        <v>1.5599926680344602</v>
      </c>
      <c r="I20" s="63">
        <f t="shared" si="2"/>
        <v>49</v>
      </c>
      <c r="J20" s="64"/>
      <c r="K20" s="33">
        <v>52</v>
      </c>
      <c r="L20" s="65">
        <f t="shared" si="3"/>
        <v>40</v>
      </c>
      <c r="M20" s="66">
        <f t="shared" si="4"/>
        <v>1.5599926680344602</v>
      </c>
      <c r="N20" s="67">
        <f t="shared" si="5"/>
        <v>49</v>
      </c>
    </row>
    <row r="21" spans="1:14" ht="15" customHeight="1" x14ac:dyDescent="0.25">
      <c r="A21" s="68" t="s">
        <v>87</v>
      </c>
      <c r="B21" s="197" t="s">
        <v>10457</v>
      </c>
      <c r="C21" s="61"/>
      <c r="D21" s="144">
        <f>'5. State Production'!S22</f>
        <v>1101376</v>
      </c>
      <c r="E21" s="62"/>
      <c r="F21" s="109">
        <v>158</v>
      </c>
      <c r="G21" s="63">
        <f t="shared" si="0"/>
        <v>21</v>
      </c>
      <c r="H21" s="108">
        <f t="shared" si="1"/>
        <v>14.345691208088791</v>
      </c>
      <c r="I21" s="63">
        <f t="shared" si="2"/>
        <v>2</v>
      </c>
      <c r="J21" s="64"/>
      <c r="K21" s="33">
        <v>158</v>
      </c>
      <c r="L21" s="65">
        <f t="shared" si="3"/>
        <v>21</v>
      </c>
      <c r="M21" s="66">
        <f t="shared" si="4"/>
        <v>14.345691208088791</v>
      </c>
      <c r="N21" s="67">
        <f t="shared" si="5"/>
        <v>2</v>
      </c>
    </row>
    <row r="22" spans="1:14" ht="15" customHeight="1" x14ac:dyDescent="0.25">
      <c r="A22" s="68" t="s">
        <v>523</v>
      </c>
      <c r="B22" s="197" t="s">
        <v>10458</v>
      </c>
      <c r="C22" s="61"/>
      <c r="D22" s="144">
        <f>'5. State Production'!S23</f>
        <v>4594943</v>
      </c>
      <c r="E22" s="62"/>
      <c r="F22" s="109">
        <v>134</v>
      </c>
      <c r="G22" s="63">
        <f t="shared" si="0"/>
        <v>23</v>
      </c>
      <c r="H22" s="108">
        <f t="shared" si="1"/>
        <v>2.9162494507548842</v>
      </c>
      <c r="I22" s="63">
        <f t="shared" si="2"/>
        <v>36</v>
      </c>
      <c r="J22" s="64"/>
      <c r="K22" s="33">
        <v>135</v>
      </c>
      <c r="L22" s="65">
        <f t="shared" si="3"/>
        <v>23</v>
      </c>
      <c r="M22" s="66">
        <f t="shared" si="4"/>
        <v>2.9380125063575329</v>
      </c>
      <c r="N22" s="67">
        <f t="shared" si="5"/>
        <v>36</v>
      </c>
    </row>
    <row r="23" spans="1:14" ht="15" customHeight="1" x14ac:dyDescent="0.25">
      <c r="A23" s="68" t="s">
        <v>53</v>
      </c>
      <c r="B23" s="197" t="s">
        <v>10459</v>
      </c>
      <c r="C23" s="61"/>
      <c r="D23" s="144">
        <f>'5. State Production'!S24</f>
        <v>5361519</v>
      </c>
      <c r="E23" s="62"/>
      <c r="F23" s="109">
        <v>228</v>
      </c>
      <c r="G23" s="63">
        <f t="shared" si="0"/>
        <v>16</v>
      </c>
      <c r="H23" s="108">
        <f t="shared" si="1"/>
        <v>4.2525261964006846</v>
      </c>
      <c r="I23" s="63">
        <f t="shared" si="2"/>
        <v>25</v>
      </c>
      <c r="J23" s="64"/>
      <c r="K23" s="33">
        <v>228</v>
      </c>
      <c r="L23" s="65">
        <f t="shared" si="3"/>
        <v>16</v>
      </c>
      <c r="M23" s="66">
        <f t="shared" si="4"/>
        <v>4.2525261964006846</v>
      </c>
      <c r="N23" s="67">
        <f t="shared" si="5"/>
        <v>25</v>
      </c>
    </row>
    <row r="24" spans="1:14" ht="15" customHeight="1" x14ac:dyDescent="0.25">
      <c r="A24" s="68" t="s">
        <v>166</v>
      </c>
      <c r="B24" s="197" t="s">
        <v>10393</v>
      </c>
      <c r="C24" s="61"/>
      <c r="D24" s="144">
        <f>'5. State Production'!S25</f>
        <v>7538746</v>
      </c>
      <c r="E24" s="62"/>
      <c r="F24" s="109">
        <v>420</v>
      </c>
      <c r="G24" s="63">
        <f t="shared" si="0"/>
        <v>9</v>
      </c>
      <c r="H24" s="108">
        <f t="shared" si="1"/>
        <v>5.571218343209865</v>
      </c>
      <c r="I24" s="63">
        <f t="shared" si="2"/>
        <v>14</v>
      </c>
      <c r="J24" s="64"/>
      <c r="K24" s="33">
        <v>421</v>
      </c>
      <c r="L24" s="65">
        <f t="shared" si="3"/>
        <v>9</v>
      </c>
      <c r="M24" s="66">
        <f t="shared" si="4"/>
        <v>5.5844831487889364</v>
      </c>
      <c r="N24" s="67">
        <f t="shared" si="5"/>
        <v>14</v>
      </c>
    </row>
    <row r="25" spans="1:14" ht="15" customHeight="1" x14ac:dyDescent="0.25">
      <c r="A25" s="68" t="s">
        <v>108</v>
      </c>
      <c r="B25" s="197" t="s">
        <v>10460</v>
      </c>
      <c r="C25" s="61"/>
      <c r="D25" s="144">
        <f>'5. State Production'!S26</f>
        <v>4219096</v>
      </c>
      <c r="E25" s="62"/>
      <c r="F25" s="109">
        <v>234</v>
      </c>
      <c r="G25" s="63">
        <f t="shared" si="0"/>
        <v>15</v>
      </c>
      <c r="H25" s="108">
        <f t="shared" si="1"/>
        <v>5.5462117951333658</v>
      </c>
      <c r="I25" s="63">
        <f t="shared" si="2"/>
        <v>15</v>
      </c>
      <c r="J25" s="64"/>
      <c r="K25" s="33">
        <v>234</v>
      </c>
      <c r="L25" s="65">
        <f t="shared" si="3"/>
        <v>15</v>
      </c>
      <c r="M25" s="66">
        <f t="shared" si="4"/>
        <v>5.5462117951333658</v>
      </c>
      <c r="N25" s="67">
        <f t="shared" si="5"/>
        <v>15</v>
      </c>
    </row>
    <row r="26" spans="1:14" ht="15" customHeight="1" x14ac:dyDescent="0.25">
      <c r="A26" s="68" t="s">
        <v>802</v>
      </c>
      <c r="B26" s="197" t="s">
        <v>10461</v>
      </c>
      <c r="C26" s="61"/>
      <c r="D26" s="144">
        <f>'5. State Production'!S27</f>
        <v>2129084</v>
      </c>
      <c r="E26" s="62"/>
      <c r="F26" s="109">
        <v>22</v>
      </c>
      <c r="G26" s="63">
        <f t="shared" si="0"/>
        <v>49</v>
      </c>
      <c r="H26" s="108">
        <f t="shared" si="1"/>
        <v>1.0333082208123305</v>
      </c>
      <c r="I26" s="63">
        <f t="shared" si="2"/>
        <v>51</v>
      </c>
      <c r="J26" s="64"/>
      <c r="K26" s="33">
        <v>22</v>
      </c>
      <c r="L26" s="65">
        <f t="shared" si="3"/>
        <v>49</v>
      </c>
      <c r="M26" s="66">
        <f t="shared" si="4"/>
        <v>1.0333082208123305</v>
      </c>
      <c r="N26" s="67">
        <f t="shared" si="5"/>
        <v>51</v>
      </c>
    </row>
    <row r="27" spans="1:14" ht="15" customHeight="1" x14ac:dyDescent="0.25">
      <c r="A27" s="68" t="s">
        <v>82</v>
      </c>
      <c r="B27" s="197" t="s">
        <v>10462</v>
      </c>
      <c r="C27" s="61"/>
      <c r="D27" s="144">
        <f>'5. State Production'!S28</f>
        <v>4585840</v>
      </c>
      <c r="E27" s="62"/>
      <c r="F27" s="109">
        <v>181</v>
      </c>
      <c r="G27" s="63">
        <f t="shared" si="0"/>
        <v>19</v>
      </c>
      <c r="H27" s="108">
        <f t="shared" si="1"/>
        <v>3.9469322959370583</v>
      </c>
      <c r="I27" s="63">
        <f t="shared" si="2"/>
        <v>27</v>
      </c>
      <c r="J27" s="64"/>
      <c r="K27" s="33">
        <v>182</v>
      </c>
      <c r="L27" s="65">
        <f t="shared" si="3"/>
        <v>19</v>
      </c>
      <c r="M27" s="66">
        <f t="shared" si="4"/>
        <v>3.9687385517157159</v>
      </c>
      <c r="N27" s="67">
        <f t="shared" si="5"/>
        <v>27</v>
      </c>
    </row>
    <row r="28" spans="1:14" ht="15" customHeight="1" x14ac:dyDescent="0.25">
      <c r="A28" s="68" t="s">
        <v>142</v>
      </c>
      <c r="B28" s="197" t="s">
        <v>10463</v>
      </c>
      <c r="C28" s="61"/>
      <c r="D28" s="144">
        <f>'5. State Production'!S29</f>
        <v>852690</v>
      </c>
      <c r="E28" s="62"/>
      <c r="F28" s="109">
        <v>109</v>
      </c>
      <c r="G28" s="63">
        <f t="shared" si="0"/>
        <v>28</v>
      </c>
      <c r="H28" s="108">
        <f t="shared" si="1"/>
        <v>12.783074739940659</v>
      </c>
      <c r="I28" s="63">
        <f t="shared" si="2"/>
        <v>3</v>
      </c>
      <c r="J28" s="64"/>
      <c r="K28" s="33">
        <v>109</v>
      </c>
      <c r="L28" s="65">
        <f t="shared" si="3"/>
        <v>28</v>
      </c>
      <c r="M28" s="66">
        <f t="shared" si="4"/>
        <v>12.783074739940659</v>
      </c>
      <c r="N28" s="67">
        <f t="shared" si="5"/>
        <v>3</v>
      </c>
    </row>
    <row r="29" spans="1:14" ht="15" customHeight="1" x14ac:dyDescent="0.25">
      <c r="A29" s="68" t="s">
        <v>710</v>
      </c>
      <c r="B29" s="197" t="s">
        <v>10464</v>
      </c>
      <c r="C29" s="61"/>
      <c r="D29" s="144">
        <f>'5. State Production'!S30</f>
        <v>1422995</v>
      </c>
      <c r="E29" s="62"/>
      <c r="F29" s="109">
        <v>70</v>
      </c>
      <c r="G29" s="63">
        <f t="shared" si="0"/>
        <v>36</v>
      </c>
      <c r="H29" s="108">
        <f t="shared" si="1"/>
        <v>4.9192021054185009</v>
      </c>
      <c r="I29" s="63">
        <f t="shared" si="2"/>
        <v>21</v>
      </c>
      <c r="J29" s="64"/>
      <c r="K29" s="33">
        <v>70</v>
      </c>
      <c r="L29" s="65">
        <f t="shared" si="3"/>
        <v>36</v>
      </c>
      <c r="M29" s="66">
        <f t="shared" si="4"/>
        <v>4.9192021054185009</v>
      </c>
      <c r="N29" s="67">
        <f t="shared" si="5"/>
        <v>21</v>
      </c>
    </row>
    <row r="30" spans="1:14" ht="15" customHeight="1" x14ac:dyDescent="0.25">
      <c r="A30" s="68" t="s">
        <v>337</v>
      </c>
      <c r="B30" s="197" t="s">
        <v>10465</v>
      </c>
      <c r="C30" s="61"/>
      <c r="D30" s="144">
        <f>'5. State Production'!S31</f>
        <v>2404607</v>
      </c>
      <c r="E30" s="62"/>
      <c r="F30" s="109">
        <v>50</v>
      </c>
      <c r="G30" s="63">
        <f t="shared" si="0"/>
        <v>42</v>
      </c>
      <c r="H30" s="108">
        <f t="shared" si="1"/>
        <v>2.079341863348148</v>
      </c>
      <c r="I30" s="63">
        <f t="shared" si="2"/>
        <v>46</v>
      </c>
      <c r="J30" s="64"/>
      <c r="K30" s="33">
        <v>50</v>
      </c>
      <c r="L30" s="65">
        <f t="shared" si="3"/>
        <v>42</v>
      </c>
      <c r="M30" s="66">
        <f t="shared" si="4"/>
        <v>2.079341863348148</v>
      </c>
      <c r="N30" s="67">
        <f t="shared" si="5"/>
        <v>46</v>
      </c>
    </row>
    <row r="31" spans="1:14" ht="15" customHeight="1" x14ac:dyDescent="0.25">
      <c r="A31" s="68" t="s">
        <v>272</v>
      </c>
      <c r="B31" s="197" t="s">
        <v>10466</v>
      </c>
      <c r="C31" s="61"/>
      <c r="D31" s="144">
        <f>'5. State Production'!S32</f>
        <v>1098146</v>
      </c>
      <c r="E31" s="62"/>
      <c r="F31" s="109">
        <v>102</v>
      </c>
      <c r="G31" s="63">
        <f t="shared" si="0"/>
        <v>31</v>
      </c>
      <c r="H31" s="108">
        <f t="shared" si="1"/>
        <v>9.2883824190954574</v>
      </c>
      <c r="I31" s="63">
        <f t="shared" si="2"/>
        <v>8</v>
      </c>
      <c r="J31" s="64"/>
      <c r="K31" s="33">
        <v>104</v>
      </c>
      <c r="L31" s="65">
        <f t="shared" si="3"/>
        <v>30</v>
      </c>
      <c r="M31" s="66">
        <f t="shared" si="4"/>
        <v>9.4705075645679173</v>
      </c>
      <c r="N31" s="67">
        <f t="shared" si="5"/>
        <v>7</v>
      </c>
    </row>
    <row r="32" spans="1:14" ht="15" customHeight="1" x14ac:dyDescent="0.25">
      <c r="A32" s="68" t="s">
        <v>192</v>
      </c>
      <c r="B32" s="197" t="s">
        <v>10467</v>
      </c>
      <c r="C32" s="61"/>
      <c r="D32" s="144">
        <f>'5. State Production'!S33</f>
        <v>6961068</v>
      </c>
      <c r="E32" s="62"/>
      <c r="F32" s="109">
        <v>168</v>
      </c>
      <c r="G32" s="63">
        <f t="shared" si="0"/>
        <v>20</v>
      </c>
      <c r="H32" s="108">
        <f t="shared" si="1"/>
        <v>2.4134227678856175</v>
      </c>
      <c r="I32" s="63">
        <f t="shared" si="2"/>
        <v>41</v>
      </c>
      <c r="J32" s="64"/>
      <c r="K32" s="33">
        <v>169</v>
      </c>
      <c r="L32" s="65">
        <f t="shared" si="3"/>
        <v>20</v>
      </c>
      <c r="M32" s="66">
        <f t="shared" si="4"/>
        <v>2.4277883795992223</v>
      </c>
      <c r="N32" s="67">
        <f t="shared" si="5"/>
        <v>41</v>
      </c>
    </row>
    <row r="33" spans="1:14" ht="15" customHeight="1" x14ac:dyDescent="0.25">
      <c r="A33" s="68" t="s">
        <v>177</v>
      </c>
      <c r="B33" s="197" t="s">
        <v>10468</v>
      </c>
      <c r="C33" s="61"/>
      <c r="D33" s="144">
        <f>'5. State Production'!S34</f>
        <v>1580658</v>
      </c>
      <c r="E33" s="62"/>
      <c r="F33" s="109">
        <v>107</v>
      </c>
      <c r="G33" s="63">
        <f t="shared" si="0"/>
        <v>29</v>
      </c>
      <c r="H33" s="108">
        <f t="shared" si="1"/>
        <v>6.7693327715419782</v>
      </c>
      <c r="I33" s="63">
        <f t="shared" si="2"/>
        <v>11</v>
      </c>
      <c r="J33" s="64"/>
      <c r="K33" s="33">
        <v>107</v>
      </c>
      <c r="L33" s="65">
        <f t="shared" si="3"/>
        <v>29</v>
      </c>
      <c r="M33" s="66">
        <f t="shared" si="4"/>
        <v>6.7693327715419782</v>
      </c>
      <c r="N33" s="67">
        <f t="shared" si="5"/>
        <v>11</v>
      </c>
    </row>
    <row r="34" spans="1:14" ht="15" customHeight="1" x14ac:dyDescent="0.25">
      <c r="A34" s="68" t="s">
        <v>63</v>
      </c>
      <c r="B34" s="197" t="s">
        <v>10380</v>
      </c>
      <c r="C34" s="61"/>
      <c r="D34" s="144">
        <f>'5. State Production'!S35</f>
        <v>14878507</v>
      </c>
      <c r="E34" s="62"/>
      <c r="F34" s="109">
        <v>545</v>
      </c>
      <c r="G34" s="63">
        <f t="shared" si="0"/>
        <v>2</v>
      </c>
      <c r="H34" s="108">
        <f t="shared" si="1"/>
        <v>3.6630019396435411</v>
      </c>
      <c r="I34" s="63">
        <f t="shared" si="2"/>
        <v>30</v>
      </c>
      <c r="J34" s="64"/>
      <c r="K34" s="33">
        <v>546</v>
      </c>
      <c r="L34" s="65">
        <f t="shared" si="3"/>
        <v>2</v>
      </c>
      <c r="M34" s="66">
        <f t="shared" si="4"/>
        <v>3.6697230441199511</v>
      </c>
      <c r="N34" s="67">
        <f t="shared" si="5"/>
        <v>30</v>
      </c>
    </row>
    <row r="35" spans="1:14" ht="15" customHeight="1" x14ac:dyDescent="0.25">
      <c r="A35" s="68" t="s">
        <v>66</v>
      </c>
      <c r="B35" s="197" t="s">
        <v>10406</v>
      </c>
      <c r="C35" s="61"/>
      <c r="D35" s="144">
        <f>'5. State Production'!S36</f>
        <v>8057665</v>
      </c>
      <c r="E35" s="62"/>
      <c r="F35" s="109">
        <v>430</v>
      </c>
      <c r="G35" s="63">
        <f t="shared" si="0"/>
        <v>7</v>
      </c>
      <c r="H35" s="108">
        <f t="shared" si="1"/>
        <v>5.3365335987534852</v>
      </c>
      <c r="I35" s="63">
        <f t="shared" si="2"/>
        <v>18</v>
      </c>
      <c r="J35" s="64"/>
      <c r="K35" s="33">
        <v>435</v>
      </c>
      <c r="L35" s="65">
        <f t="shared" si="3"/>
        <v>7</v>
      </c>
      <c r="M35" s="66">
        <f t="shared" si="4"/>
        <v>5.3985863150180604</v>
      </c>
      <c r="N35" s="67">
        <f t="shared" si="5"/>
        <v>19</v>
      </c>
    </row>
    <row r="36" spans="1:14" ht="15" customHeight="1" x14ac:dyDescent="0.25">
      <c r="A36" s="68" t="s">
        <v>486</v>
      </c>
      <c r="B36" s="197" t="s">
        <v>10469</v>
      </c>
      <c r="C36" s="61"/>
      <c r="D36" s="144">
        <f>'5. State Production'!S37</f>
        <v>566822</v>
      </c>
      <c r="E36" s="62"/>
      <c r="F36" s="109">
        <v>22</v>
      </c>
      <c r="G36" s="63">
        <f t="shared" si="0"/>
        <v>49</v>
      </c>
      <c r="H36" s="108">
        <f t="shared" si="1"/>
        <v>3.8812890113651202</v>
      </c>
      <c r="I36" s="63">
        <f t="shared" si="2"/>
        <v>29</v>
      </c>
      <c r="J36" s="64"/>
      <c r="K36" s="33">
        <v>22</v>
      </c>
      <c r="L36" s="65">
        <f t="shared" si="3"/>
        <v>49</v>
      </c>
      <c r="M36" s="66">
        <f t="shared" si="4"/>
        <v>3.8812890113651202</v>
      </c>
      <c r="N36" s="67">
        <f t="shared" si="5"/>
        <v>29</v>
      </c>
    </row>
    <row r="37" spans="1:14" ht="15" customHeight="1" x14ac:dyDescent="0.25">
      <c r="A37" s="68" t="s">
        <v>93</v>
      </c>
      <c r="B37" s="197" t="s">
        <v>10408</v>
      </c>
      <c r="C37" s="61"/>
      <c r="D37" s="144">
        <f>'5. State Production'!S38</f>
        <v>8760422</v>
      </c>
      <c r="E37" s="62"/>
      <c r="F37" s="109">
        <v>421</v>
      </c>
      <c r="G37" s="63">
        <f t="shared" si="0"/>
        <v>8</v>
      </c>
      <c r="H37" s="108">
        <f t="shared" si="1"/>
        <v>4.8057045653736772</v>
      </c>
      <c r="I37" s="63">
        <f t="shared" si="2"/>
        <v>23</v>
      </c>
      <c r="J37" s="64"/>
      <c r="K37" s="33">
        <v>423</v>
      </c>
      <c r="L37" s="65">
        <f t="shared" si="3"/>
        <v>8</v>
      </c>
      <c r="M37" s="66">
        <f t="shared" si="4"/>
        <v>4.828534515803006</v>
      </c>
      <c r="N37" s="67">
        <f t="shared" si="5"/>
        <v>23</v>
      </c>
    </row>
    <row r="38" spans="1:14" ht="15" customHeight="1" x14ac:dyDescent="0.25">
      <c r="A38" s="68" t="s">
        <v>348</v>
      </c>
      <c r="B38" s="197" t="s">
        <v>10470</v>
      </c>
      <c r="C38" s="61"/>
      <c r="D38" s="144">
        <f>'5. State Production'!S39</f>
        <v>2911256</v>
      </c>
      <c r="E38" s="62"/>
      <c r="F38" s="109">
        <v>78</v>
      </c>
      <c r="G38" s="63">
        <f t="shared" si="0"/>
        <v>34</v>
      </c>
      <c r="H38" s="108">
        <f t="shared" si="1"/>
        <v>2.6792559637489801</v>
      </c>
      <c r="I38" s="63">
        <f t="shared" si="2"/>
        <v>37</v>
      </c>
      <c r="J38" s="64"/>
      <c r="K38" s="33">
        <v>78</v>
      </c>
      <c r="L38" s="65">
        <f t="shared" si="3"/>
        <v>34</v>
      </c>
      <c r="M38" s="66">
        <f t="shared" si="4"/>
        <v>2.6792559637489801</v>
      </c>
      <c r="N38" s="67">
        <f t="shared" si="5"/>
        <v>37</v>
      </c>
    </row>
    <row r="39" spans="1:14" ht="15" customHeight="1" x14ac:dyDescent="0.25">
      <c r="A39" s="68" t="s">
        <v>78</v>
      </c>
      <c r="B39" s="197" t="s">
        <v>10409</v>
      </c>
      <c r="C39" s="61"/>
      <c r="D39" s="144">
        <f>'5. State Production'!S40</f>
        <v>3259500</v>
      </c>
      <c r="E39" s="62"/>
      <c r="F39" s="109">
        <v>307</v>
      </c>
      <c r="G39" s="63">
        <f t="shared" si="0"/>
        <v>12</v>
      </c>
      <c r="H39" s="108">
        <f t="shared" si="1"/>
        <v>9.4186224881116747</v>
      </c>
      <c r="I39" s="63">
        <f t="shared" si="2"/>
        <v>7</v>
      </c>
      <c r="J39" s="64"/>
      <c r="K39" s="33">
        <v>307</v>
      </c>
      <c r="L39" s="65">
        <f t="shared" si="3"/>
        <v>12</v>
      </c>
      <c r="M39" s="66">
        <f t="shared" si="4"/>
        <v>9.4186224881116747</v>
      </c>
      <c r="N39" s="67">
        <f t="shared" si="5"/>
        <v>8</v>
      </c>
    </row>
    <row r="40" spans="1:14" ht="15" customHeight="1" x14ac:dyDescent="0.25">
      <c r="A40" s="68" t="s">
        <v>50</v>
      </c>
      <c r="B40" s="197" t="s">
        <v>10471</v>
      </c>
      <c r="C40" s="61"/>
      <c r="D40" s="144">
        <f>'5. State Production'!S41</f>
        <v>9803793</v>
      </c>
      <c r="E40" s="62"/>
      <c r="F40" s="109">
        <v>533</v>
      </c>
      <c r="G40" s="63">
        <f t="shared" si="0"/>
        <v>3</v>
      </c>
      <c r="H40" s="108">
        <f t="shared" si="1"/>
        <v>5.4366712965073827</v>
      </c>
      <c r="I40" s="63">
        <f t="shared" si="2"/>
        <v>16</v>
      </c>
      <c r="J40" s="64"/>
      <c r="K40" s="33">
        <v>533</v>
      </c>
      <c r="L40" s="65">
        <f t="shared" si="3"/>
        <v>3</v>
      </c>
      <c r="M40" s="66">
        <f t="shared" si="4"/>
        <v>5.4366712965073827</v>
      </c>
      <c r="N40" s="67">
        <f t="shared" si="5"/>
        <v>16</v>
      </c>
    </row>
    <row r="41" spans="1:14" ht="15" customHeight="1" x14ac:dyDescent="0.25">
      <c r="A41" s="68" t="s">
        <v>7585</v>
      </c>
      <c r="B41" s="197" t="s">
        <v>10900</v>
      </c>
      <c r="C41" s="61"/>
      <c r="D41" s="144">
        <v>2584911</v>
      </c>
      <c r="E41" s="62"/>
      <c r="F41" s="109">
        <v>8</v>
      </c>
      <c r="G41" s="63">
        <f t="shared" ref="G41" si="6">RANK(F41,$F$2:$F$53)</f>
        <v>52</v>
      </c>
      <c r="H41" s="108">
        <f t="shared" ref="H41" si="7">F41/(D41/100000)</f>
        <v>0.30948841178671144</v>
      </c>
      <c r="I41" s="63">
        <f t="shared" ref="I41" si="8">RANK(H41,$H$2:$H$53)</f>
        <v>52</v>
      </c>
      <c r="J41" s="64"/>
      <c r="K41" s="33">
        <v>8</v>
      </c>
      <c r="L41" s="65">
        <f t="shared" ref="L41" si="9">RANK(K41,$K$2:$K$53)</f>
        <v>52</v>
      </c>
      <c r="M41" s="66">
        <f t="shared" ref="M41" si="10">K41/(D41/100000)</f>
        <v>0.30948841178671144</v>
      </c>
      <c r="N41" s="67">
        <f t="shared" ref="N41" si="11">RANK(M41,$M$2:$M$53)</f>
        <v>52</v>
      </c>
    </row>
    <row r="42" spans="1:14" ht="15" customHeight="1" x14ac:dyDescent="0.25">
      <c r="A42" s="68" t="s">
        <v>105</v>
      </c>
      <c r="B42" s="197" t="s">
        <v>10472</v>
      </c>
      <c r="C42" s="61"/>
      <c r="D42" s="144">
        <f>'5. State Production'!S42</f>
        <v>840348</v>
      </c>
      <c r="E42" s="62"/>
      <c r="F42" s="109">
        <v>42</v>
      </c>
      <c r="G42" s="63">
        <f t="shared" si="0"/>
        <v>45</v>
      </c>
      <c r="H42" s="108">
        <f t="shared" si="1"/>
        <v>4.9979294292364589</v>
      </c>
      <c r="I42" s="63">
        <f t="shared" si="2"/>
        <v>20</v>
      </c>
      <c r="J42" s="64"/>
      <c r="K42" s="33">
        <v>42</v>
      </c>
      <c r="L42" s="65">
        <f t="shared" si="3"/>
        <v>45</v>
      </c>
      <c r="M42" s="66">
        <f t="shared" si="4"/>
        <v>4.9979294292364589</v>
      </c>
      <c r="N42" s="67">
        <f t="shared" si="5"/>
        <v>20</v>
      </c>
    </row>
    <row r="43" spans="1:14" ht="15" customHeight="1" x14ac:dyDescent="0.25">
      <c r="A43" s="68" t="s">
        <v>394</v>
      </c>
      <c r="B43" s="197" t="s">
        <v>10473</v>
      </c>
      <c r="C43" s="61"/>
      <c r="D43" s="144">
        <f>'5. State Production'!S43</f>
        <v>4016679</v>
      </c>
      <c r="E43" s="62"/>
      <c r="F43" s="109">
        <v>131</v>
      </c>
      <c r="G43" s="63">
        <f t="shared" si="0"/>
        <v>24</v>
      </c>
      <c r="H43" s="108">
        <f t="shared" si="1"/>
        <v>3.2614007741221043</v>
      </c>
      <c r="I43" s="63">
        <f t="shared" si="2"/>
        <v>32</v>
      </c>
      <c r="J43" s="64"/>
      <c r="K43" s="33">
        <v>131</v>
      </c>
      <c r="L43" s="65">
        <f t="shared" si="3"/>
        <v>24</v>
      </c>
      <c r="M43" s="66">
        <f t="shared" si="4"/>
        <v>3.2614007741221043</v>
      </c>
      <c r="N43" s="67">
        <f t="shared" si="5"/>
        <v>32</v>
      </c>
    </row>
    <row r="44" spans="1:14" ht="15" customHeight="1" x14ac:dyDescent="0.25">
      <c r="A44" s="68" t="s">
        <v>1200</v>
      </c>
      <c r="B44" s="197" t="s">
        <v>10474</v>
      </c>
      <c r="C44" s="61"/>
      <c r="D44" s="144">
        <f>'5. State Production'!S44</f>
        <v>661415</v>
      </c>
      <c r="E44" s="62"/>
      <c r="F44" s="109">
        <v>44</v>
      </c>
      <c r="G44" s="63">
        <f t="shared" si="0"/>
        <v>44</v>
      </c>
      <c r="H44" s="108">
        <f t="shared" si="1"/>
        <v>6.6524043149913439</v>
      </c>
      <c r="I44" s="63">
        <f t="shared" si="2"/>
        <v>12</v>
      </c>
      <c r="J44" s="64"/>
      <c r="K44" s="33">
        <v>44</v>
      </c>
      <c r="L44" s="65">
        <f t="shared" si="3"/>
        <v>44</v>
      </c>
      <c r="M44" s="66">
        <f t="shared" si="4"/>
        <v>6.6524043149913439</v>
      </c>
      <c r="N44" s="67">
        <f t="shared" si="5"/>
        <v>12</v>
      </c>
    </row>
    <row r="45" spans="1:14" ht="15" customHeight="1" x14ac:dyDescent="0.25">
      <c r="A45" s="68" t="s">
        <v>264</v>
      </c>
      <c r="B45" s="197" t="s">
        <v>10475</v>
      </c>
      <c r="C45" s="61"/>
      <c r="D45" s="144">
        <f>'5. State Production'!S45</f>
        <v>5301999</v>
      </c>
      <c r="E45" s="62"/>
      <c r="F45" s="109">
        <v>157</v>
      </c>
      <c r="G45" s="63">
        <f t="shared" si="0"/>
        <v>22</v>
      </c>
      <c r="H45" s="108">
        <f t="shared" si="1"/>
        <v>2.9611472955766307</v>
      </c>
      <c r="I45" s="63">
        <f t="shared" si="2"/>
        <v>35</v>
      </c>
      <c r="J45" s="64"/>
      <c r="K45" s="33">
        <v>157</v>
      </c>
      <c r="L45" s="65">
        <f t="shared" si="3"/>
        <v>22</v>
      </c>
      <c r="M45" s="66">
        <f t="shared" si="4"/>
        <v>2.9611472955766307</v>
      </c>
      <c r="N45" s="67">
        <f t="shared" si="5"/>
        <v>35</v>
      </c>
    </row>
    <row r="46" spans="1:14" ht="15" customHeight="1" x14ac:dyDescent="0.25">
      <c r="A46" s="68" t="s">
        <v>59</v>
      </c>
      <c r="B46" s="197" t="s">
        <v>10390</v>
      </c>
      <c r="C46" s="61"/>
      <c r="D46" s="144">
        <f>'5. State Production'!S46</f>
        <v>21706890</v>
      </c>
      <c r="E46" s="62"/>
      <c r="F46" s="109">
        <v>440</v>
      </c>
      <c r="G46" s="63">
        <f t="shared" si="0"/>
        <v>6</v>
      </c>
      <c r="H46" s="108">
        <f t="shared" si="1"/>
        <v>2.0270061717731096</v>
      </c>
      <c r="I46" s="63">
        <f t="shared" si="2"/>
        <v>48</v>
      </c>
      <c r="J46" s="64"/>
      <c r="K46" s="33">
        <v>445</v>
      </c>
      <c r="L46" s="65">
        <f t="shared" si="3"/>
        <v>6</v>
      </c>
      <c r="M46" s="66">
        <f t="shared" si="4"/>
        <v>2.050040332815986</v>
      </c>
      <c r="N46" s="67">
        <f t="shared" si="5"/>
        <v>48</v>
      </c>
    </row>
    <row r="47" spans="1:14" ht="15" customHeight="1" x14ac:dyDescent="0.25">
      <c r="A47" s="68" t="s">
        <v>517</v>
      </c>
      <c r="B47" s="197" t="s">
        <v>10476</v>
      </c>
      <c r="C47" s="61"/>
      <c r="D47" s="144">
        <f>'5. State Production'!S47</f>
        <v>2323601</v>
      </c>
      <c r="E47" s="62"/>
      <c r="F47" s="109">
        <v>48</v>
      </c>
      <c r="G47" s="63">
        <f t="shared" si="0"/>
        <v>43</v>
      </c>
      <c r="H47" s="108">
        <f t="shared" si="1"/>
        <v>2.0657591385095806</v>
      </c>
      <c r="I47" s="63">
        <f t="shared" si="2"/>
        <v>47</v>
      </c>
      <c r="J47" s="64"/>
      <c r="K47" s="33">
        <v>48</v>
      </c>
      <c r="L47" s="65">
        <f t="shared" si="3"/>
        <v>43</v>
      </c>
      <c r="M47" s="66">
        <f t="shared" si="4"/>
        <v>2.0657591385095806</v>
      </c>
      <c r="N47" s="67">
        <f t="shared" si="5"/>
        <v>47</v>
      </c>
    </row>
    <row r="48" spans="1:14" ht="15" customHeight="1" x14ac:dyDescent="0.25">
      <c r="A48" s="68" t="s">
        <v>118</v>
      </c>
      <c r="B48" s="197" t="s">
        <v>10382</v>
      </c>
      <c r="C48" s="61"/>
      <c r="D48" s="144">
        <f>'5. State Production'!S48</f>
        <v>501345</v>
      </c>
      <c r="E48" s="62"/>
      <c r="F48" s="109">
        <v>77</v>
      </c>
      <c r="G48" s="63">
        <f t="shared" si="0"/>
        <v>35</v>
      </c>
      <c r="H48" s="108">
        <f t="shared" si="1"/>
        <v>15.358685136981521</v>
      </c>
      <c r="I48" s="63">
        <f t="shared" si="2"/>
        <v>1</v>
      </c>
      <c r="J48" s="64"/>
      <c r="K48" s="33">
        <v>77</v>
      </c>
      <c r="L48" s="65">
        <f t="shared" si="3"/>
        <v>35</v>
      </c>
      <c r="M48" s="66">
        <f t="shared" si="4"/>
        <v>15.358685136981521</v>
      </c>
      <c r="N48" s="67">
        <f t="shared" si="5"/>
        <v>1</v>
      </c>
    </row>
    <row r="49" spans="1:14" ht="15" customHeight="1" x14ac:dyDescent="0.25">
      <c r="A49" s="68" t="s">
        <v>277</v>
      </c>
      <c r="B49" s="197" t="s">
        <v>10403</v>
      </c>
      <c r="C49" s="61"/>
      <c r="D49" s="144">
        <f>'5. State Production'!S49</f>
        <v>6493085</v>
      </c>
      <c r="E49" s="62"/>
      <c r="F49" s="109">
        <v>345</v>
      </c>
      <c r="G49" s="63">
        <f t="shared" si="0"/>
        <v>11</v>
      </c>
      <c r="H49" s="108">
        <f t="shared" si="1"/>
        <v>5.3133448892167587</v>
      </c>
      <c r="I49" s="63">
        <f t="shared" si="2"/>
        <v>19</v>
      </c>
      <c r="J49" s="64"/>
      <c r="K49" s="33">
        <v>352</v>
      </c>
      <c r="L49" s="65">
        <f t="shared" si="3"/>
        <v>11</v>
      </c>
      <c r="M49" s="66">
        <f t="shared" si="4"/>
        <v>5.4211518869689828</v>
      </c>
      <c r="N49" s="67">
        <f t="shared" si="5"/>
        <v>18</v>
      </c>
    </row>
    <row r="50" spans="1:14" ht="15" customHeight="1" x14ac:dyDescent="0.25">
      <c r="A50" s="68" t="s">
        <v>90</v>
      </c>
      <c r="B50" s="197" t="s">
        <v>10384</v>
      </c>
      <c r="C50" s="61"/>
      <c r="D50" s="144">
        <f>'5. State Production'!S50</f>
        <v>5897062</v>
      </c>
      <c r="E50" s="62"/>
      <c r="F50" s="109">
        <v>444</v>
      </c>
      <c r="G50" s="63">
        <f t="shared" si="0"/>
        <v>5</v>
      </c>
      <c r="H50" s="108">
        <f t="shared" si="1"/>
        <v>7.5291730017422243</v>
      </c>
      <c r="I50" s="63">
        <f t="shared" si="2"/>
        <v>9</v>
      </c>
      <c r="J50" s="64"/>
      <c r="K50" s="33">
        <v>448</v>
      </c>
      <c r="L50" s="65">
        <f t="shared" si="3"/>
        <v>5</v>
      </c>
      <c r="M50" s="66">
        <f t="shared" si="4"/>
        <v>7.597003389145307</v>
      </c>
      <c r="N50" s="67">
        <f t="shared" si="5"/>
        <v>9</v>
      </c>
    </row>
    <row r="51" spans="1:14" ht="15" customHeight="1" x14ac:dyDescent="0.25">
      <c r="A51" s="68" t="s">
        <v>774</v>
      </c>
      <c r="B51" s="197" t="s">
        <v>10477</v>
      </c>
      <c r="C51" s="61"/>
      <c r="D51" s="144">
        <f>'5. State Production'!S51</f>
        <v>1345507</v>
      </c>
      <c r="E51" s="62"/>
      <c r="F51" s="109">
        <v>36</v>
      </c>
      <c r="G51" s="63">
        <f t="shared" si="0"/>
        <v>47</v>
      </c>
      <c r="H51" s="108">
        <f t="shared" si="1"/>
        <v>2.6755713645488282</v>
      </c>
      <c r="I51" s="63">
        <f t="shared" si="2"/>
        <v>38</v>
      </c>
      <c r="J51" s="64"/>
      <c r="K51" s="33">
        <v>36</v>
      </c>
      <c r="L51" s="65">
        <f t="shared" si="3"/>
        <v>47</v>
      </c>
      <c r="M51" s="66">
        <f t="shared" si="4"/>
        <v>2.6755713645488282</v>
      </c>
      <c r="N51" s="67">
        <f t="shared" si="5"/>
        <v>38</v>
      </c>
    </row>
    <row r="52" spans="1:14" ht="15" customHeight="1" x14ac:dyDescent="0.25">
      <c r="A52" s="68" t="s">
        <v>75</v>
      </c>
      <c r="B52" s="197" t="s">
        <v>10416</v>
      </c>
      <c r="C52" s="61"/>
      <c r="D52" s="144">
        <f>'5. State Production'!S52</f>
        <v>4432759</v>
      </c>
      <c r="E52" s="62"/>
      <c r="F52" s="109">
        <v>262</v>
      </c>
      <c r="G52" s="63">
        <f t="shared" si="0"/>
        <v>14</v>
      </c>
      <c r="H52" s="108">
        <f t="shared" si="1"/>
        <v>5.9105401398993269</v>
      </c>
      <c r="I52" s="63">
        <f t="shared" si="2"/>
        <v>13</v>
      </c>
      <c r="J52" s="64"/>
      <c r="K52" s="33">
        <v>266</v>
      </c>
      <c r="L52" s="65">
        <f t="shared" si="3"/>
        <v>14</v>
      </c>
      <c r="M52" s="66">
        <f t="shared" si="4"/>
        <v>6.0007773939435909</v>
      </c>
      <c r="N52" s="67">
        <f t="shared" si="5"/>
        <v>13</v>
      </c>
    </row>
    <row r="53" spans="1:14" ht="15" customHeight="1" x14ac:dyDescent="0.25">
      <c r="A53" s="70" t="s">
        <v>222</v>
      </c>
      <c r="B53" s="197" t="s">
        <v>10478</v>
      </c>
      <c r="C53" s="61"/>
      <c r="D53" s="144">
        <f>'5. State Production'!S53</f>
        <v>431053</v>
      </c>
      <c r="E53" s="62"/>
      <c r="F53" s="109">
        <v>51</v>
      </c>
      <c r="G53" s="63">
        <f t="shared" si="0"/>
        <v>41</v>
      </c>
      <c r="H53" s="108">
        <f t="shared" si="1"/>
        <v>11.831491719115746</v>
      </c>
      <c r="I53" s="63">
        <f t="shared" si="2"/>
        <v>4</v>
      </c>
      <c r="J53" s="64"/>
      <c r="K53" s="33">
        <v>51</v>
      </c>
      <c r="L53" s="65">
        <f t="shared" si="3"/>
        <v>41</v>
      </c>
      <c r="M53" s="66">
        <f t="shared" si="4"/>
        <v>11.831491719115746</v>
      </c>
      <c r="N53" s="67">
        <f t="shared" si="5"/>
        <v>4</v>
      </c>
    </row>
    <row r="54" spans="1:14" ht="15" customHeight="1" x14ac:dyDescent="0.25">
      <c r="A54" s="71"/>
      <c r="B54" s="198"/>
      <c r="C54" s="71"/>
      <c r="E54" s="72"/>
      <c r="F54" s="73"/>
      <c r="G54" s="73"/>
      <c r="H54" s="74"/>
      <c r="I54" s="75"/>
      <c r="J54" s="76"/>
      <c r="K54" s="73"/>
      <c r="L54" s="73"/>
      <c r="M54" s="77"/>
      <c r="N54" s="76"/>
    </row>
    <row r="55" spans="1:14" ht="15" customHeight="1" x14ac:dyDescent="0.25">
      <c r="A55" s="107" t="s">
        <v>10434</v>
      </c>
      <c r="B55"/>
      <c r="C55" s="199"/>
      <c r="D55" s="202">
        <f>SUM(D2:D53)</f>
        <v>251709296</v>
      </c>
      <c r="E55" s="102"/>
      <c r="F55" s="105">
        <f>SUM(F2:F53)</f>
        <v>9843</v>
      </c>
      <c r="G55" s="105"/>
      <c r="H55" s="106">
        <f t="shared" si="1"/>
        <v>3.9104634419223041</v>
      </c>
      <c r="I55" s="105"/>
      <c r="K55" s="103">
        <f>SUM(K2:K53)</f>
        <v>9904</v>
      </c>
      <c r="L55" s="103"/>
      <c r="M55" s="104">
        <f t="shared" si="4"/>
        <v>3.9346977475158487</v>
      </c>
      <c r="N55" s="10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7A374-E731-4ADC-AD62-AA5D07AB42C0}">
  <dimension ref="A1:G60"/>
  <sheetViews>
    <sheetView topLeftCell="A24" workbookViewId="0">
      <selection activeCell="A61" sqref="A61"/>
    </sheetView>
  </sheetViews>
  <sheetFormatPr defaultRowHeight="15" x14ac:dyDescent="0.25"/>
  <cols>
    <col min="1" max="1" width="24" customWidth="1"/>
    <col min="2" max="2" width="8" bestFit="1" customWidth="1"/>
    <col min="3" max="3" width="16.7109375" bestFit="1" customWidth="1"/>
    <col min="4" max="4" width="9" bestFit="1" customWidth="1"/>
    <col min="5" max="5" width="11.140625" bestFit="1" customWidth="1"/>
    <col min="6" max="6" width="11" bestFit="1" customWidth="1"/>
    <col min="7" max="7" width="18.5703125" bestFit="1" customWidth="1"/>
    <col min="11" max="11" width="10.140625" bestFit="1" customWidth="1"/>
  </cols>
  <sheetData>
    <row r="1" spans="1:5" ht="15.75" thickBot="1" x14ac:dyDescent="0.3">
      <c r="A1" s="78" t="s">
        <v>46</v>
      </c>
      <c r="B1" s="78" t="s">
        <v>10437</v>
      </c>
      <c r="C1" s="79" t="s">
        <v>10901</v>
      </c>
      <c r="D1" s="79" t="s">
        <v>10479</v>
      </c>
      <c r="E1" s="79" t="s">
        <v>10480</v>
      </c>
    </row>
    <row r="2" spans="1:5" x14ac:dyDescent="0.25">
      <c r="A2" s="80" t="s">
        <v>172</v>
      </c>
      <c r="B2" s="200" t="s">
        <v>10444</v>
      </c>
      <c r="C2" s="145">
        <v>5157699</v>
      </c>
      <c r="D2" s="110">
        <f>E2/C2</f>
        <v>0.72977000014929139</v>
      </c>
      <c r="E2" s="144">
        <f>INDEX('6. Breweries by State'!$D$2:$D$53,MATCH($A2,'6. Breweries by State'!$A$2:$A$53,0))</f>
        <v>3763934</v>
      </c>
    </row>
    <row r="3" spans="1:5" x14ac:dyDescent="0.25">
      <c r="A3" s="70" t="s">
        <v>124</v>
      </c>
      <c r="B3" s="197" t="s">
        <v>10445</v>
      </c>
      <c r="C3" s="145">
        <v>740133</v>
      </c>
      <c r="D3" s="110">
        <f t="shared" ref="D3:D55" si="0">E3/C3</f>
        <v>0.72030702589939921</v>
      </c>
      <c r="E3" s="144">
        <f>INDEX('6. Breweries by State'!$D$2:$D$53,MATCH($A3,'6. Breweries by State'!$A$2:$A$53,0))</f>
        <v>533123</v>
      </c>
    </row>
    <row r="4" spans="1:5" x14ac:dyDescent="0.25">
      <c r="A4" s="70" t="s">
        <v>206</v>
      </c>
      <c r="B4" s="197" t="s">
        <v>10400</v>
      </c>
      <c r="C4" s="145">
        <v>7582384</v>
      </c>
      <c r="D4" s="110">
        <f t="shared" si="0"/>
        <v>0.7323657045066565</v>
      </c>
      <c r="E4" s="144">
        <f>INDEX('6. Breweries by State'!$D$2:$D$53,MATCH($A4,'6. Breweries by State'!$A$2:$A$53,0))</f>
        <v>5553078</v>
      </c>
    </row>
    <row r="5" spans="1:5" x14ac:dyDescent="0.25">
      <c r="A5" s="70" t="s">
        <v>378</v>
      </c>
      <c r="B5" s="197" t="s">
        <v>10446</v>
      </c>
      <c r="C5" s="145">
        <v>3088354</v>
      </c>
      <c r="D5" s="110">
        <f t="shared" si="0"/>
        <v>0.72632282439124529</v>
      </c>
      <c r="E5" s="144">
        <f>INDEX('6. Breweries by State'!$D$2:$D$53,MATCH($A5,'6. Breweries by State'!$A$2:$A$53,0))</f>
        <v>2243142</v>
      </c>
    </row>
    <row r="6" spans="1:5" x14ac:dyDescent="0.25">
      <c r="A6" s="70" t="s">
        <v>56</v>
      </c>
      <c r="B6" s="197" t="s">
        <v>10387</v>
      </c>
      <c r="C6" s="145">
        <v>39431263</v>
      </c>
      <c r="D6" s="110">
        <f t="shared" si="0"/>
        <v>0.73516902058146094</v>
      </c>
      <c r="E6" s="144">
        <f>INDEX('6. Breweries by State'!$D$2:$D$53,MATCH($A6,'6. Breweries by State'!$A$2:$A$53,0))</f>
        <v>28988643</v>
      </c>
    </row>
    <row r="7" spans="1:5" x14ac:dyDescent="0.25">
      <c r="A7" s="70" t="s">
        <v>69</v>
      </c>
      <c r="B7" s="197" t="s">
        <v>10395</v>
      </c>
      <c r="C7" s="145">
        <v>5957493</v>
      </c>
      <c r="D7" s="110">
        <f t="shared" si="0"/>
        <v>0.74549898757749278</v>
      </c>
      <c r="E7" s="144">
        <f>INDEX('6. Breweries by State'!$D$2:$D$53,MATCH($A7,'6. Breweries by State'!$A$2:$A$53,0))</f>
        <v>4441305</v>
      </c>
    </row>
    <row r="8" spans="1:5" x14ac:dyDescent="0.25">
      <c r="A8" s="70" t="s">
        <v>72</v>
      </c>
      <c r="B8" s="197" t="s">
        <v>10447</v>
      </c>
      <c r="C8" s="145">
        <v>3675069</v>
      </c>
      <c r="D8" s="110">
        <f t="shared" si="0"/>
        <v>0.74659496189051144</v>
      </c>
      <c r="E8" s="144">
        <f>INDEX('6. Breweries by State'!$D$2:$D$53,MATCH($A8,'6. Breweries by State'!$A$2:$A$53,0))</f>
        <v>2743788</v>
      </c>
    </row>
    <row r="9" spans="1:5" x14ac:dyDescent="0.25">
      <c r="A9" s="70" t="s">
        <v>628</v>
      </c>
      <c r="B9" s="197" t="s">
        <v>10448</v>
      </c>
      <c r="C9" s="145">
        <v>1051917</v>
      </c>
      <c r="D9" s="110">
        <f t="shared" si="0"/>
        <v>0.74084552298327722</v>
      </c>
      <c r="E9" s="144">
        <f>INDEX('6. Breweries by State'!$D$2:$D$53,MATCH($A9,'6. Breweries by State'!$A$2:$A$53,0))</f>
        <v>779308</v>
      </c>
    </row>
    <row r="10" spans="1:5" x14ac:dyDescent="0.25">
      <c r="A10" s="70" t="s">
        <v>441</v>
      </c>
      <c r="B10" s="197" t="s">
        <v>10449</v>
      </c>
      <c r="C10" s="145">
        <v>702250</v>
      </c>
      <c r="D10" s="110">
        <f t="shared" si="0"/>
        <v>0.74999216803132784</v>
      </c>
      <c r="E10" s="144">
        <f>INDEX('6. Breweries by State'!$D$2:$D$53,MATCH($A10,'6. Breweries by State'!$A$2:$A$53,0))</f>
        <v>526682</v>
      </c>
    </row>
    <row r="11" spans="1:5" x14ac:dyDescent="0.25">
      <c r="A11" s="70" t="s">
        <v>188</v>
      </c>
      <c r="B11" s="197" t="s">
        <v>10389</v>
      </c>
      <c r="C11" s="145">
        <v>23372215</v>
      </c>
      <c r="D11" s="110">
        <f t="shared" si="0"/>
        <v>0.7464830783047306</v>
      </c>
      <c r="E11" s="144">
        <f>INDEX('6. Breweries by State'!$D$2:$D$53,MATCH($A11,'6. Breweries by State'!$A$2:$A$53,0))</f>
        <v>17446963</v>
      </c>
    </row>
    <row r="12" spans="1:5" x14ac:dyDescent="0.25">
      <c r="A12" s="70" t="s">
        <v>130</v>
      </c>
      <c r="B12" s="197" t="s">
        <v>10417</v>
      </c>
      <c r="C12" s="145">
        <v>11180878</v>
      </c>
      <c r="D12" s="110">
        <f t="shared" si="0"/>
        <v>0.71890025094630317</v>
      </c>
      <c r="E12" s="144">
        <f>INDEX('6. Breweries by State'!$D$2:$D$53,MATCH($A12,'6. Breweries by State'!$A$2:$A$53,0))</f>
        <v>8037936</v>
      </c>
    </row>
    <row r="13" spans="1:5" x14ac:dyDescent="0.25">
      <c r="A13" s="70" t="s">
        <v>113</v>
      </c>
      <c r="B13" s="197" t="s">
        <v>10450</v>
      </c>
      <c r="C13" s="145">
        <v>1446146</v>
      </c>
      <c r="D13" s="110">
        <f t="shared" si="0"/>
        <v>0.75631713533764922</v>
      </c>
      <c r="E13" s="144">
        <f>INDEX('6. Breweries by State'!$D$2:$D$53,MATCH($A13,'6. Breweries by State'!$A$2:$A$53,0))</f>
        <v>1093745</v>
      </c>
    </row>
    <row r="14" spans="1:5" x14ac:dyDescent="0.25">
      <c r="A14" s="70" t="s">
        <v>585</v>
      </c>
      <c r="B14" s="197" t="s">
        <v>10451</v>
      </c>
      <c r="C14" s="145">
        <v>2001619</v>
      </c>
      <c r="D14" s="110">
        <f t="shared" si="0"/>
        <v>0.70403658238655809</v>
      </c>
      <c r="E14" s="144">
        <f>INDEX('6. Breweries by State'!$D$2:$D$53,MATCH($A14,'6. Breweries by State'!$A$2:$A$53,0))</f>
        <v>1409213</v>
      </c>
    </row>
    <row r="15" spans="1:5" x14ac:dyDescent="0.25">
      <c r="A15" s="70" t="s">
        <v>139</v>
      </c>
      <c r="B15" s="197" t="s">
        <v>10397</v>
      </c>
      <c r="C15" s="145">
        <v>12710158</v>
      </c>
      <c r="D15" s="110">
        <f t="shared" si="0"/>
        <v>0.73755117756994049</v>
      </c>
      <c r="E15" s="144">
        <f>INDEX('6. Breweries by State'!$D$2:$D$53,MATCH($A15,'6. Breweries by State'!$A$2:$A$53,0))</f>
        <v>9374392</v>
      </c>
    </row>
    <row r="16" spans="1:5" x14ac:dyDescent="0.25">
      <c r="A16" s="70" t="s">
        <v>98</v>
      </c>
      <c r="B16" s="197" t="s">
        <v>10452</v>
      </c>
      <c r="C16" s="145">
        <v>6924275</v>
      </c>
      <c r="D16" s="110">
        <f t="shared" si="0"/>
        <v>0.72071213231710174</v>
      </c>
      <c r="E16" s="144">
        <f>INDEX('6. Breweries by State'!$D$2:$D$53,MATCH($A16,'6. Breweries by State'!$A$2:$A$53,0))</f>
        <v>4990409</v>
      </c>
    </row>
    <row r="17" spans="1:5" x14ac:dyDescent="0.25">
      <c r="A17" s="70" t="s">
        <v>201</v>
      </c>
      <c r="B17" s="197" t="s">
        <v>10453</v>
      </c>
      <c r="C17" s="145">
        <v>3241488</v>
      </c>
      <c r="D17" s="110">
        <f t="shared" si="0"/>
        <v>0.72244598776858038</v>
      </c>
      <c r="E17" s="144">
        <f>INDEX('6. Breweries by State'!$D$2:$D$53,MATCH($A17,'6. Breweries by State'!$A$2:$A$53,0))</f>
        <v>2341800</v>
      </c>
    </row>
    <row r="18" spans="1:5" x14ac:dyDescent="0.25">
      <c r="A18" s="70" t="s">
        <v>575</v>
      </c>
      <c r="B18" s="197" t="s">
        <v>10454</v>
      </c>
      <c r="C18" s="145">
        <v>2970606</v>
      </c>
      <c r="D18" s="110">
        <f t="shared" si="0"/>
        <v>0.71604884659897683</v>
      </c>
      <c r="E18" s="144">
        <f>INDEX('6. Breweries by State'!$D$2:$D$53,MATCH($A18,'6. Breweries by State'!$A$2:$A$53,0))</f>
        <v>2127099</v>
      </c>
    </row>
    <row r="19" spans="1:5" x14ac:dyDescent="0.25">
      <c r="A19" s="70" t="s">
        <v>236</v>
      </c>
      <c r="B19" s="197" t="s">
        <v>10455</v>
      </c>
      <c r="C19" s="145">
        <v>4588372</v>
      </c>
      <c r="D19" s="110">
        <f t="shared" si="0"/>
        <v>0.73141410504640858</v>
      </c>
      <c r="E19" s="144">
        <f>INDEX('6. Breweries by State'!$D$2:$D$53,MATCH($A19,'6. Breweries by State'!$A$2:$A$53,0))</f>
        <v>3356000</v>
      </c>
    </row>
    <row r="20" spans="1:5" x14ac:dyDescent="0.25">
      <c r="A20" s="70" t="s">
        <v>127</v>
      </c>
      <c r="B20" s="197" t="s">
        <v>10456</v>
      </c>
      <c r="C20" s="145">
        <v>4597740</v>
      </c>
      <c r="D20" s="110">
        <f t="shared" si="0"/>
        <v>0.72499728127297325</v>
      </c>
      <c r="E20" s="144">
        <f>INDEX('6. Breweries by State'!$D$2:$D$53,MATCH($A20,'6. Breweries by State'!$A$2:$A$53,0))</f>
        <v>3333349</v>
      </c>
    </row>
    <row r="21" spans="1:5" x14ac:dyDescent="0.25">
      <c r="A21" s="70" t="s">
        <v>87</v>
      </c>
      <c r="B21" s="197" t="s">
        <v>10457</v>
      </c>
      <c r="C21" s="145">
        <v>1405012</v>
      </c>
      <c r="D21" s="110">
        <f t="shared" si="0"/>
        <v>0.78389081374393954</v>
      </c>
      <c r="E21" s="144">
        <f>INDEX('6. Breweries by State'!$D$2:$D$53,MATCH($A21,'6. Breweries by State'!$A$2:$A$53,0))</f>
        <v>1101376</v>
      </c>
    </row>
    <row r="22" spans="1:5" x14ac:dyDescent="0.25">
      <c r="A22" s="70" t="s">
        <v>523</v>
      </c>
      <c r="B22" s="197" t="s">
        <v>10458</v>
      </c>
      <c r="C22" s="145">
        <v>6263220</v>
      </c>
      <c r="D22" s="110">
        <f t="shared" si="0"/>
        <v>0.73363908660401522</v>
      </c>
      <c r="E22" s="144">
        <f>INDEX('6. Breweries by State'!$D$2:$D$53,MATCH($A22,'6. Breweries by State'!$A$2:$A$53,0))</f>
        <v>4594943</v>
      </c>
    </row>
    <row r="23" spans="1:5" x14ac:dyDescent="0.25">
      <c r="A23" s="70" t="s">
        <v>53</v>
      </c>
      <c r="B23" s="197" t="s">
        <v>10459</v>
      </c>
      <c r="C23" s="145">
        <v>7136171</v>
      </c>
      <c r="D23" s="110">
        <f t="shared" si="0"/>
        <v>0.75131593679579711</v>
      </c>
      <c r="E23" s="144">
        <f>INDEX('6. Breweries by State'!$D$2:$D$53,MATCH($A23,'6. Breweries by State'!$A$2:$A$53,0))</f>
        <v>5361519</v>
      </c>
    </row>
    <row r="24" spans="1:5" x14ac:dyDescent="0.25">
      <c r="A24" s="70" t="s">
        <v>166</v>
      </c>
      <c r="B24" s="197" t="s">
        <v>10393</v>
      </c>
      <c r="C24" s="145">
        <v>10140459</v>
      </c>
      <c r="D24" s="110">
        <f t="shared" si="0"/>
        <v>0.74343242253629738</v>
      </c>
      <c r="E24" s="144">
        <f>INDEX('6. Breweries by State'!$D$2:$D$53,MATCH($A24,'6. Breweries by State'!$A$2:$A$53,0))</f>
        <v>7538746</v>
      </c>
    </row>
    <row r="25" spans="1:5" x14ac:dyDescent="0.25">
      <c r="A25" s="70" t="s">
        <v>108</v>
      </c>
      <c r="B25" s="197" t="s">
        <v>10460</v>
      </c>
      <c r="C25" s="145">
        <v>5793151</v>
      </c>
      <c r="D25" s="110">
        <f t="shared" si="0"/>
        <v>0.72829035528333375</v>
      </c>
      <c r="E25" s="144">
        <f>INDEX('6. Breweries by State'!$D$2:$D$53,MATCH($A25,'6. Breweries by State'!$A$2:$A$53,0))</f>
        <v>4219096</v>
      </c>
    </row>
    <row r="26" spans="1:5" x14ac:dyDescent="0.25">
      <c r="A26" s="70" t="s">
        <v>802</v>
      </c>
      <c r="B26" s="197" t="s">
        <v>10461</v>
      </c>
      <c r="C26" s="145">
        <v>2943045</v>
      </c>
      <c r="D26" s="110">
        <f t="shared" si="0"/>
        <v>0.72342896557816816</v>
      </c>
      <c r="E26" s="144">
        <f>INDEX('6. Breweries by State'!$D$2:$D$53,MATCH($A26,'6. Breweries by State'!$A$2:$A$53,0))</f>
        <v>2129084</v>
      </c>
    </row>
    <row r="27" spans="1:5" x14ac:dyDescent="0.25">
      <c r="A27" s="70" t="s">
        <v>82</v>
      </c>
      <c r="B27" s="197" t="s">
        <v>10462</v>
      </c>
      <c r="C27" s="145">
        <v>6245466</v>
      </c>
      <c r="D27" s="110">
        <f t="shared" si="0"/>
        <v>0.7342670667008675</v>
      </c>
      <c r="E27" s="144">
        <f>INDEX('6. Breweries by State'!$D$2:$D$53,MATCH($A27,'6. Breweries by State'!$A$2:$A$53,0))</f>
        <v>4585840</v>
      </c>
    </row>
    <row r="28" spans="1:5" x14ac:dyDescent="0.25">
      <c r="A28" s="70" t="s">
        <v>142</v>
      </c>
      <c r="B28" s="197" t="s">
        <v>10463</v>
      </c>
      <c r="C28" s="145">
        <v>1137233</v>
      </c>
      <c r="D28" s="110">
        <f t="shared" si="0"/>
        <v>0.7497935779211472</v>
      </c>
      <c r="E28" s="144">
        <f>INDEX('6. Breweries by State'!$D$2:$D$53,MATCH($A28,'6. Breweries by State'!$A$2:$A$53,0))</f>
        <v>852690</v>
      </c>
    </row>
    <row r="29" spans="1:5" x14ac:dyDescent="0.25">
      <c r="A29" s="70" t="s">
        <v>710</v>
      </c>
      <c r="B29" s="197" t="s">
        <v>10464</v>
      </c>
      <c r="C29" s="145">
        <v>2005465</v>
      </c>
      <c r="D29" s="110">
        <f t="shared" si="0"/>
        <v>0.70955863104068129</v>
      </c>
      <c r="E29" s="144">
        <f>INDEX('6. Breweries by State'!$D$2:$D$53,MATCH($A29,'6. Breweries by State'!$A$2:$A$53,0))</f>
        <v>1422995</v>
      </c>
    </row>
    <row r="30" spans="1:5" x14ac:dyDescent="0.25">
      <c r="A30" s="70" t="s">
        <v>337</v>
      </c>
      <c r="B30" s="197" t="s">
        <v>10465</v>
      </c>
      <c r="C30" s="145">
        <v>3267467</v>
      </c>
      <c r="D30" s="110">
        <f t="shared" si="0"/>
        <v>0.73592388232230044</v>
      </c>
      <c r="E30" s="144">
        <f>INDEX('6. Breweries by State'!$D$2:$D$53,MATCH($A30,'6. Breweries by State'!$A$2:$A$53,0))</f>
        <v>2404607</v>
      </c>
    </row>
    <row r="31" spans="1:5" x14ac:dyDescent="0.25">
      <c r="A31" s="70" t="s">
        <v>272</v>
      </c>
      <c r="B31" s="197" t="s">
        <v>10466</v>
      </c>
      <c r="C31" s="145">
        <v>1409032</v>
      </c>
      <c r="D31" s="110">
        <f t="shared" si="0"/>
        <v>0.77936200171465231</v>
      </c>
      <c r="E31" s="144">
        <f>INDEX('6. Breweries by State'!$D$2:$D$53,MATCH($A31,'6. Breweries by State'!$A$2:$A$53,0))</f>
        <v>1098146</v>
      </c>
    </row>
    <row r="32" spans="1:5" x14ac:dyDescent="0.25">
      <c r="A32" s="70" t="s">
        <v>192</v>
      </c>
      <c r="B32" s="197" t="s">
        <v>10467</v>
      </c>
      <c r="C32" s="145">
        <v>9500851</v>
      </c>
      <c r="D32" s="110">
        <f t="shared" si="0"/>
        <v>0.73267836744308479</v>
      </c>
      <c r="E32" s="144">
        <f>INDEX('6. Breweries by State'!$D$2:$D$53,MATCH($A32,'6. Breweries by State'!$A$2:$A$53,0))</f>
        <v>6961068</v>
      </c>
    </row>
    <row r="33" spans="1:5" x14ac:dyDescent="0.25">
      <c r="A33" s="70" t="s">
        <v>177</v>
      </c>
      <c r="B33" s="197" t="s">
        <v>10468</v>
      </c>
      <c r="C33" s="145">
        <v>2130256</v>
      </c>
      <c r="D33" s="110">
        <f t="shared" si="0"/>
        <v>0.74200377794969241</v>
      </c>
      <c r="E33" s="144">
        <f>INDEX('6. Breweries by State'!$D$2:$D$53,MATCH($A33,'6. Breweries by State'!$A$2:$A$53,0))</f>
        <v>1580658</v>
      </c>
    </row>
    <row r="34" spans="1:5" x14ac:dyDescent="0.25">
      <c r="A34" s="70" t="s">
        <v>63</v>
      </c>
      <c r="B34" s="197" t="s">
        <v>10380</v>
      </c>
      <c r="C34" s="145">
        <v>19867248</v>
      </c>
      <c r="D34" s="110">
        <f t="shared" si="0"/>
        <v>0.74889622357359209</v>
      </c>
      <c r="E34" s="144">
        <f>INDEX('6. Breweries by State'!$D$2:$D$53,MATCH($A34,'6. Breweries by State'!$A$2:$A$53,0))</f>
        <v>14878507</v>
      </c>
    </row>
    <row r="35" spans="1:5" x14ac:dyDescent="0.25">
      <c r="A35" s="70" t="s">
        <v>66</v>
      </c>
      <c r="B35" s="197" t="s">
        <v>10406</v>
      </c>
      <c r="C35" s="145">
        <v>11046024</v>
      </c>
      <c r="D35" s="110">
        <f t="shared" si="0"/>
        <v>0.72946292711295935</v>
      </c>
      <c r="E35" s="144">
        <f>INDEX('6. Breweries by State'!$D$2:$D$53,MATCH($A35,'6. Breweries by State'!$A$2:$A$53,0))</f>
        <v>8057665</v>
      </c>
    </row>
    <row r="36" spans="1:5" x14ac:dyDescent="0.25">
      <c r="A36" s="70" t="s">
        <v>486</v>
      </c>
      <c r="B36" s="197" t="s">
        <v>10469</v>
      </c>
      <c r="C36" s="145">
        <v>796568</v>
      </c>
      <c r="D36" s="110">
        <f t="shared" si="0"/>
        <v>0.7115801789677717</v>
      </c>
      <c r="E36" s="144">
        <f>INDEX('6. Breweries by State'!$D$2:$D$53,MATCH($A36,'6. Breweries by State'!$A$2:$A$53,0))</f>
        <v>566822</v>
      </c>
    </row>
    <row r="37" spans="1:5" x14ac:dyDescent="0.25">
      <c r="A37" s="70" t="s">
        <v>93</v>
      </c>
      <c r="B37" s="197" t="s">
        <v>10408</v>
      </c>
      <c r="C37" s="145">
        <v>11883304</v>
      </c>
      <c r="D37" s="110">
        <f t="shared" si="0"/>
        <v>0.737204232088988</v>
      </c>
      <c r="E37" s="144">
        <f>INDEX('6. Breweries by State'!$D$2:$D$53,MATCH($A37,'6. Breweries by State'!$A$2:$A$53,0))</f>
        <v>8760422</v>
      </c>
    </row>
    <row r="38" spans="1:5" x14ac:dyDescent="0.25">
      <c r="A38" s="70" t="s">
        <v>348</v>
      </c>
      <c r="B38" s="197" t="s">
        <v>10470</v>
      </c>
      <c r="C38" s="145">
        <v>4095393</v>
      </c>
      <c r="D38" s="110">
        <f t="shared" si="0"/>
        <v>0.71086120428491228</v>
      </c>
      <c r="E38" s="144">
        <f>INDEX('6. Breweries by State'!$D$2:$D$53,MATCH($A38,'6. Breweries by State'!$A$2:$A$53,0))</f>
        <v>2911256</v>
      </c>
    </row>
    <row r="39" spans="1:5" x14ac:dyDescent="0.25">
      <c r="A39" s="70" t="s">
        <v>78</v>
      </c>
      <c r="B39" s="197" t="s">
        <v>10409</v>
      </c>
      <c r="C39" s="145">
        <v>4272371</v>
      </c>
      <c r="D39" s="110">
        <f t="shared" si="0"/>
        <v>0.76292531711314393</v>
      </c>
      <c r="E39" s="144">
        <f>INDEX('6. Breweries by State'!$D$2:$D$53,MATCH($A39,'6. Breweries by State'!$A$2:$A$53,0))</f>
        <v>3259500</v>
      </c>
    </row>
    <row r="40" spans="1:5" x14ac:dyDescent="0.25">
      <c r="A40" s="70" t="s">
        <v>50</v>
      </c>
      <c r="B40" s="197" t="s">
        <v>10471</v>
      </c>
      <c r="C40" s="145">
        <v>13078751</v>
      </c>
      <c r="D40" s="110">
        <f t="shared" si="0"/>
        <v>0.74959703720943993</v>
      </c>
      <c r="E40" s="144">
        <f>INDEX('6. Breweries by State'!$D$2:$D$53,MATCH($A40,'6. Breweries by State'!$A$2:$A$53,0))</f>
        <v>9803793</v>
      </c>
    </row>
    <row r="41" spans="1:5" x14ac:dyDescent="0.25">
      <c r="A41" s="70" t="s">
        <v>7585</v>
      </c>
      <c r="B41" s="197" t="s">
        <v>10900</v>
      </c>
      <c r="C41" s="145">
        <v>3203295</v>
      </c>
      <c r="D41" s="110">
        <f t="shared" si="0"/>
        <v>0.80695377728245443</v>
      </c>
      <c r="E41" s="144">
        <f>INDEX('6. Breweries by State'!$D$2:$D$53,MATCH($A41,'6. Breweries by State'!$A$2:$A$53,0))</f>
        <v>2584911</v>
      </c>
    </row>
    <row r="42" spans="1:5" x14ac:dyDescent="0.25">
      <c r="A42" s="70" t="s">
        <v>105</v>
      </c>
      <c r="B42" s="197" t="s">
        <v>10472</v>
      </c>
      <c r="C42" s="145">
        <v>1112308</v>
      </c>
      <c r="D42" s="110">
        <f t="shared" si="0"/>
        <v>0.75549937607209516</v>
      </c>
      <c r="E42" s="144">
        <f>INDEX('6. Breweries by State'!$D$2:$D$53,MATCH($A42,'6. Breweries by State'!$A$2:$A$53,0))</f>
        <v>840348</v>
      </c>
    </row>
    <row r="43" spans="1:5" x14ac:dyDescent="0.25">
      <c r="A43" s="70" t="s">
        <v>394</v>
      </c>
      <c r="B43" s="197" t="s">
        <v>10473</v>
      </c>
      <c r="C43" s="145">
        <v>5478831</v>
      </c>
      <c r="D43" s="110">
        <f t="shared" si="0"/>
        <v>0.73312701194835173</v>
      </c>
      <c r="E43" s="144">
        <f>INDEX('6. Breweries by State'!$D$2:$D$53,MATCH($A43,'6. Breweries by State'!$A$2:$A$53,0))</f>
        <v>4016679</v>
      </c>
    </row>
    <row r="44" spans="1:5" x14ac:dyDescent="0.25">
      <c r="A44" s="70" t="s">
        <v>1200</v>
      </c>
      <c r="B44" s="197" t="s">
        <v>10474</v>
      </c>
      <c r="C44" s="145">
        <v>924669</v>
      </c>
      <c r="D44" s="110">
        <f t="shared" si="0"/>
        <v>0.71529920436394001</v>
      </c>
      <c r="E44" s="144">
        <f>INDEX('6. Breweries by State'!$D$2:$D$53,MATCH($A44,'6. Breweries by State'!$A$2:$A$53,0))</f>
        <v>661415</v>
      </c>
    </row>
    <row r="45" spans="1:5" x14ac:dyDescent="0.25">
      <c r="A45" s="70" t="s">
        <v>264</v>
      </c>
      <c r="B45" s="197" t="s">
        <v>10475</v>
      </c>
      <c r="C45" s="145">
        <v>7227750</v>
      </c>
      <c r="D45" s="110">
        <f t="shared" si="0"/>
        <v>0.73356148178893843</v>
      </c>
      <c r="E45" s="144">
        <f>INDEX('6. Breweries by State'!$D$2:$D$53,MATCH($A45,'6. Breweries by State'!$A$2:$A$53,0))</f>
        <v>5301999</v>
      </c>
    </row>
    <row r="46" spans="1:5" x14ac:dyDescent="0.25">
      <c r="A46" s="70" t="s">
        <v>59</v>
      </c>
      <c r="B46" s="197" t="s">
        <v>10390</v>
      </c>
      <c r="C46" s="145">
        <v>31290831</v>
      </c>
      <c r="D46" s="110">
        <f t="shared" si="0"/>
        <v>0.69371407873443824</v>
      </c>
      <c r="E46" s="144">
        <f>INDEX('6. Breweries by State'!$D$2:$D$53,MATCH($A46,'6. Breweries by State'!$A$2:$A$53,0))</f>
        <v>21706890</v>
      </c>
    </row>
    <row r="47" spans="1:5" x14ac:dyDescent="0.25">
      <c r="A47" s="70" t="s">
        <v>517</v>
      </c>
      <c r="B47" s="197" t="s">
        <v>10476</v>
      </c>
      <c r="C47" s="145">
        <v>3503613</v>
      </c>
      <c r="D47" s="110">
        <f t="shared" si="0"/>
        <v>0.66320138668283279</v>
      </c>
      <c r="E47" s="144">
        <f>INDEX('6. Breweries by State'!$D$2:$D$53,MATCH($A47,'6. Breweries by State'!$A$2:$A$53,0))</f>
        <v>2323601</v>
      </c>
    </row>
    <row r="48" spans="1:5" x14ac:dyDescent="0.25">
      <c r="A48" s="70" t="s">
        <v>118</v>
      </c>
      <c r="B48" s="197" t="s">
        <v>10382</v>
      </c>
      <c r="C48" s="145">
        <v>648493</v>
      </c>
      <c r="D48" s="110">
        <f t="shared" si="0"/>
        <v>0.77309238496020771</v>
      </c>
      <c r="E48" s="144">
        <f>INDEX('6. Breweries by State'!$D$2:$D$53,MATCH($A48,'6. Breweries by State'!$A$2:$A$53,0))</f>
        <v>501345</v>
      </c>
    </row>
    <row r="49" spans="1:7" x14ac:dyDescent="0.25">
      <c r="A49" s="70" t="s">
        <v>277</v>
      </c>
      <c r="B49" s="197" t="s">
        <v>10403</v>
      </c>
      <c r="C49" s="145">
        <v>8811195</v>
      </c>
      <c r="D49" s="110">
        <f t="shared" si="0"/>
        <v>0.73691309748564182</v>
      </c>
      <c r="E49" s="144">
        <f>INDEX('6. Breweries by State'!$D$2:$D$53,MATCH($A49,'6. Breweries by State'!$A$2:$A$53,0))</f>
        <v>6493085</v>
      </c>
    </row>
    <row r="50" spans="1:7" x14ac:dyDescent="0.25">
      <c r="A50" s="70" t="s">
        <v>90</v>
      </c>
      <c r="B50" s="197" t="s">
        <v>10384</v>
      </c>
      <c r="C50" s="145">
        <v>7958180</v>
      </c>
      <c r="D50" s="110">
        <f t="shared" si="0"/>
        <v>0.74100636075082493</v>
      </c>
      <c r="E50" s="144">
        <f>INDEX('6. Breweries by State'!$D$2:$D$53,MATCH($A50,'6. Breweries by State'!$A$2:$A$53,0))</f>
        <v>5897062</v>
      </c>
    </row>
    <row r="51" spans="1:7" x14ac:dyDescent="0.25">
      <c r="A51" s="70" t="s">
        <v>774</v>
      </c>
      <c r="B51" s="197" t="s">
        <v>10477</v>
      </c>
      <c r="C51" s="145">
        <v>1769979</v>
      </c>
      <c r="D51" s="110">
        <f t="shared" si="0"/>
        <v>0.76018246544168033</v>
      </c>
      <c r="E51" s="144">
        <f>INDEX('6. Breweries by State'!$D$2:$D$53,MATCH($A51,'6. Breweries by State'!$A$2:$A$53,0))</f>
        <v>1345507</v>
      </c>
    </row>
    <row r="52" spans="1:7" x14ac:dyDescent="0.25">
      <c r="A52" s="70" t="s">
        <v>75</v>
      </c>
      <c r="B52" s="197" t="s">
        <v>10416</v>
      </c>
      <c r="C52" s="145">
        <v>5960975</v>
      </c>
      <c r="D52" s="110">
        <f t="shared" si="0"/>
        <v>0.7436298592092736</v>
      </c>
      <c r="E52" s="144">
        <f>INDEX('6. Breweries by State'!$D$2:$D$53,MATCH($A52,'6. Breweries by State'!$A$2:$A$53,0))</f>
        <v>4432759</v>
      </c>
    </row>
    <row r="53" spans="1:7" x14ac:dyDescent="0.25">
      <c r="A53" s="70" t="s">
        <v>222</v>
      </c>
      <c r="B53" s="197" t="s">
        <v>10478</v>
      </c>
      <c r="C53" s="145">
        <v>587618</v>
      </c>
      <c r="D53" s="110">
        <f t="shared" si="0"/>
        <v>0.73355989775670594</v>
      </c>
      <c r="E53" s="144">
        <f>INDEX('6. Breweries by State'!$D$2:$D$53,MATCH($A53,'6. Breweries by State'!$A$2:$A$53,0))</f>
        <v>431053</v>
      </c>
    </row>
    <row r="54" spans="1:7" x14ac:dyDescent="0.25">
      <c r="A54" s="34"/>
      <c r="B54" s="34"/>
      <c r="C54" s="32"/>
      <c r="D54" s="32"/>
      <c r="E54" s="32"/>
    </row>
    <row r="55" spans="1:7" x14ac:dyDescent="0.25">
      <c r="A55" s="81" t="s">
        <v>10434</v>
      </c>
      <c r="B55" s="81"/>
      <c r="C55" s="82">
        <f>SUM(C2:C53)</f>
        <v>343314283</v>
      </c>
      <c r="D55" s="83">
        <f t="shared" si="0"/>
        <v>0.73317455306687607</v>
      </c>
      <c r="E55" s="82">
        <f>SUM(E2:E53)</f>
        <v>251709296</v>
      </c>
    </row>
    <row r="56" spans="1:7" ht="14.45" customHeight="1" x14ac:dyDescent="0.25">
      <c r="A56" s="244" t="s">
        <v>10902</v>
      </c>
      <c r="B56" s="244"/>
      <c r="C56" s="244"/>
      <c r="D56" s="244"/>
      <c r="E56" s="244"/>
      <c r="G56" s="113"/>
    </row>
    <row r="57" spans="1:7" x14ac:dyDescent="0.25">
      <c r="A57" s="245"/>
      <c r="B57" s="245"/>
      <c r="C57" s="245"/>
      <c r="D57" s="245"/>
      <c r="E57" s="245"/>
    </row>
    <row r="58" spans="1:7" x14ac:dyDescent="0.25">
      <c r="A58" s="245"/>
      <c r="B58" s="245"/>
      <c r="C58" s="245"/>
      <c r="D58" s="245"/>
      <c r="E58" s="245"/>
    </row>
    <row r="59" spans="1:7" x14ac:dyDescent="0.25">
      <c r="A59" s="245"/>
      <c r="B59" s="245"/>
      <c r="C59" s="245"/>
      <c r="D59" s="245"/>
      <c r="E59" s="245"/>
    </row>
    <row r="60" spans="1:7" x14ac:dyDescent="0.25">
      <c r="A60" s="245"/>
      <c r="B60" s="245"/>
      <c r="C60" s="245"/>
      <c r="D60" s="245"/>
      <c r="E60" s="245"/>
    </row>
  </sheetData>
  <mergeCells count="1">
    <mergeCell ref="A56:E6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159A4-CF21-4A27-A24E-4638618BA88B}">
  <dimension ref="A1:AA58"/>
  <sheetViews>
    <sheetView topLeftCell="C1" workbookViewId="0">
      <selection activeCell="AB6" sqref="AB6"/>
    </sheetView>
  </sheetViews>
  <sheetFormatPr defaultRowHeight="15" x14ac:dyDescent="0.25"/>
  <cols>
    <col min="1" max="1" width="18.7109375" bestFit="1" customWidth="1"/>
    <col min="2" max="2" width="8" style="1" bestFit="1" customWidth="1"/>
  </cols>
  <sheetData>
    <row r="1" spans="1:27" ht="23.25" x14ac:dyDescent="0.35">
      <c r="A1" s="84"/>
      <c r="B1" s="189"/>
      <c r="C1" s="246" t="s">
        <v>10903</v>
      </c>
      <c r="D1" s="246"/>
      <c r="E1" s="246"/>
      <c r="F1" s="246"/>
      <c r="G1" s="246"/>
      <c r="H1" s="246"/>
      <c r="I1" s="246"/>
      <c r="J1" s="246"/>
      <c r="K1" s="246"/>
      <c r="L1" s="246"/>
      <c r="M1" s="246"/>
      <c r="N1" s="246"/>
      <c r="O1" s="246"/>
      <c r="P1" s="246"/>
      <c r="Q1" s="246"/>
      <c r="R1" s="246"/>
      <c r="S1" s="246"/>
      <c r="T1" s="246"/>
      <c r="U1" s="246"/>
      <c r="V1" s="246"/>
      <c r="W1" s="246"/>
      <c r="X1" s="246"/>
      <c r="Y1" s="86"/>
    </row>
    <row r="2" spans="1:27" ht="23.25" x14ac:dyDescent="0.35">
      <c r="A2" s="84"/>
      <c r="B2" s="189"/>
      <c r="C2" s="85" t="s">
        <v>10481</v>
      </c>
      <c r="D2" s="86"/>
      <c r="E2" s="86"/>
      <c r="F2" s="86"/>
      <c r="G2" s="86"/>
      <c r="H2" s="86"/>
      <c r="I2" s="86"/>
      <c r="J2" s="86"/>
      <c r="K2" s="86"/>
      <c r="L2" s="86"/>
      <c r="M2" s="86"/>
      <c r="N2" s="86"/>
      <c r="O2" s="86"/>
      <c r="P2" s="86"/>
      <c r="Q2" s="86"/>
      <c r="R2" s="86"/>
      <c r="S2" s="86"/>
      <c r="T2" s="86"/>
      <c r="U2" s="86"/>
      <c r="V2" s="86"/>
      <c r="W2" s="85"/>
      <c r="X2" s="86"/>
      <c r="Y2" s="86"/>
      <c r="Z2" s="86"/>
    </row>
    <row r="3" spans="1:27" ht="21" x14ac:dyDescent="0.35">
      <c r="A3" s="84"/>
      <c r="B3" s="189"/>
      <c r="C3" s="247" t="s">
        <v>10482</v>
      </c>
      <c r="D3" s="248"/>
      <c r="E3" s="248"/>
      <c r="F3" s="248"/>
      <c r="G3" s="248"/>
      <c r="H3" s="248"/>
      <c r="I3" s="248"/>
      <c r="J3" s="248"/>
      <c r="K3" s="248"/>
      <c r="L3" s="248"/>
      <c r="M3" s="248"/>
      <c r="N3" s="248"/>
      <c r="O3" s="248"/>
      <c r="P3" s="248"/>
      <c r="Q3" s="248"/>
      <c r="R3" s="248"/>
      <c r="S3" s="248"/>
      <c r="T3" s="248"/>
      <c r="U3" s="248"/>
      <c r="V3" s="248"/>
      <c r="W3" s="248"/>
      <c r="X3" s="248"/>
      <c r="Y3" s="225"/>
    </row>
    <row r="4" spans="1:27" ht="15.75" x14ac:dyDescent="0.25">
      <c r="A4" s="87"/>
      <c r="B4" s="190"/>
      <c r="C4" s="88">
        <v>2000</v>
      </c>
      <c r="D4" s="88">
        <v>2001</v>
      </c>
      <c r="E4" s="88">
        <v>2002</v>
      </c>
      <c r="F4" s="88">
        <v>2003</v>
      </c>
      <c r="G4" s="88">
        <v>2004</v>
      </c>
      <c r="H4" s="88">
        <v>2005</v>
      </c>
      <c r="I4" s="88">
        <v>2006</v>
      </c>
      <c r="J4" s="88">
        <v>2007</v>
      </c>
      <c r="K4" s="88">
        <v>2008</v>
      </c>
      <c r="L4" s="88">
        <v>2009</v>
      </c>
      <c r="M4" s="88">
        <v>2010</v>
      </c>
      <c r="N4" s="88">
        <v>2011</v>
      </c>
      <c r="O4" s="88">
        <v>2012</v>
      </c>
      <c r="P4" s="88">
        <v>2013</v>
      </c>
      <c r="Q4" s="88">
        <v>2014</v>
      </c>
      <c r="R4" s="88">
        <v>2015</v>
      </c>
      <c r="S4" s="89">
        <v>2016</v>
      </c>
      <c r="T4" s="90">
        <v>2017</v>
      </c>
      <c r="U4" s="90">
        <v>2018</v>
      </c>
      <c r="V4" s="90">
        <v>2019</v>
      </c>
      <c r="W4" s="90">
        <v>2020</v>
      </c>
      <c r="X4" s="90">
        <v>2021</v>
      </c>
      <c r="Y4" s="90">
        <v>2022</v>
      </c>
      <c r="Z4" s="90">
        <v>2023</v>
      </c>
      <c r="AA4" s="90">
        <v>2024</v>
      </c>
    </row>
    <row r="5" spans="1:27" x14ac:dyDescent="0.25">
      <c r="A5" s="91" t="s">
        <v>10483</v>
      </c>
      <c r="B5" s="191" t="s">
        <v>10437</v>
      </c>
      <c r="C5" s="92" t="s">
        <v>10484</v>
      </c>
      <c r="D5" s="92" t="s">
        <v>10484</v>
      </c>
      <c r="E5" s="92" t="s">
        <v>10484</v>
      </c>
      <c r="F5" s="92" t="s">
        <v>10484</v>
      </c>
      <c r="G5" s="92" t="s">
        <v>10484</v>
      </c>
      <c r="H5" s="92" t="s">
        <v>10484</v>
      </c>
      <c r="I5" s="92" t="s">
        <v>10484</v>
      </c>
      <c r="J5" s="92" t="s">
        <v>10484</v>
      </c>
      <c r="K5" s="92" t="s">
        <v>10484</v>
      </c>
      <c r="L5" s="92" t="s">
        <v>10484</v>
      </c>
      <c r="M5" s="92" t="s">
        <v>10484</v>
      </c>
      <c r="N5" s="92" t="s">
        <v>10484</v>
      </c>
      <c r="O5" s="92" t="s">
        <v>10484</v>
      </c>
      <c r="P5" s="92" t="s">
        <v>10484</v>
      </c>
      <c r="Q5" s="92" t="s">
        <v>10484</v>
      </c>
      <c r="R5" s="92" t="s">
        <v>10484</v>
      </c>
      <c r="S5" s="92" t="s">
        <v>10484</v>
      </c>
      <c r="T5" s="92" t="s">
        <v>10484</v>
      </c>
      <c r="U5" s="92" t="s">
        <v>10484</v>
      </c>
      <c r="V5" s="92" t="s">
        <v>10484</v>
      </c>
      <c r="W5" s="187" t="s">
        <v>10484</v>
      </c>
      <c r="X5" s="187" t="s">
        <v>10484</v>
      </c>
      <c r="Y5" s="187" t="s">
        <v>10484</v>
      </c>
      <c r="Z5" s="187" t="s">
        <v>10484</v>
      </c>
      <c r="AA5" s="187" t="s">
        <v>10484</v>
      </c>
    </row>
    <row r="6" spans="1:27" x14ac:dyDescent="0.25">
      <c r="A6" s="94" t="s">
        <v>172</v>
      </c>
      <c r="B6" s="192" t="s">
        <v>10444</v>
      </c>
      <c r="C6" s="95">
        <v>7</v>
      </c>
      <c r="D6" s="95">
        <v>4</v>
      </c>
      <c r="E6" s="95">
        <v>3</v>
      </c>
      <c r="F6" s="95">
        <v>3</v>
      </c>
      <c r="G6" s="95">
        <v>5</v>
      </c>
      <c r="H6" s="95">
        <v>5</v>
      </c>
      <c r="I6" s="95">
        <v>4</v>
      </c>
      <c r="J6" s="95">
        <v>5</v>
      </c>
      <c r="K6" s="95">
        <v>5</v>
      </c>
      <c r="L6" s="95">
        <v>5</v>
      </c>
      <c r="M6" s="95">
        <v>7</v>
      </c>
      <c r="N6" s="95">
        <v>9</v>
      </c>
      <c r="O6" s="95">
        <v>15</v>
      </c>
      <c r="P6" s="95">
        <v>23</v>
      </c>
      <c r="Q6" s="95">
        <v>25</v>
      </c>
      <c r="R6" s="95">
        <v>30</v>
      </c>
      <c r="S6" s="95">
        <v>37</v>
      </c>
      <c r="T6" s="96">
        <v>52</v>
      </c>
      <c r="U6" s="96">
        <v>55</v>
      </c>
      <c r="V6" s="96">
        <v>66</v>
      </c>
      <c r="W6" s="188">
        <v>68</v>
      </c>
      <c r="X6" s="188">
        <v>77</v>
      </c>
      <c r="Y6" s="188">
        <v>84</v>
      </c>
      <c r="Z6" s="188">
        <v>93</v>
      </c>
      <c r="AA6" s="188">
        <v>99</v>
      </c>
    </row>
    <row r="7" spans="1:27" x14ac:dyDescent="0.25">
      <c r="A7" s="94" t="s">
        <v>124</v>
      </c>
      <c r="B7" s="192" t="s">
        <v>10445</v>
      </c>
      <c r="C7" s="95">
        <v>17</v>
      </c>
      <c r="D7" s="95">
        <v>17</v>
      </c>
      <c r="E7" s="95">
        <v>19</v>
      </c>
      <c r="F7" s="95">
        <v>15</v>
      </c>
      <c r="G7" s="95">
        <v>13</v>
      </c>
      <c r="H7" s="95">
        <v>15</v>
      </c>
      <c r="I7" s="95">
        <v>14</v>
      </c>
      <c r="J7" s="95">
        <v>15</v>
      </c>
      <c r="K7" s="95">
        <v>16</v>
      </c>
      <c r="L7" s="95">
        <v>18</v>
      </c>
      <c r="M7" s="95">
        <v>20</v>
      </c>
      <c r="N7" s="95">
        <v>23</v>
      </c>
      <c r="O7" s="95">
        <v>25</v>
      </c>
      <c r="P7" s="95">
        <v>25</v>
      </c>
      <c r="Q7" s="95">
        <v>28</v>
      </c>
      <c r="R7" s="95">
        <v>35</v>
      </c>
      <c r="S7" s="95">
        <v>36</v>
      </c>
      <c r="T7" s="96">
        <v>45</v>
      </c>
      <c r="U7" s="96">
        <v>51</v>
      </c>
      <c r="V7" s="96">
        <v>59</v>
      </c>
      <c r="W7" s="188">
        <v>66</v>
      </c>
      <c r="X7" s="188">
        <v>72</v>
      </c>
      <c r="Y7" s="188">
        <v>75</v>
      </c>
      <c r="Z7" s="188">
        <v>79</v>
      </c>
      <c r="AA7" s="188">
        <v>80</v>
      </c>
    </row>
    <row r="8" spans="1:27" x14ac:dyDescent="0.25">
      <c r="A8" s="94" t="s">
        <v>206</v>
      </c>
      <c r="B8" s="192" t="s">
        <v>10400</v>
      </c>
      <c r="C8" s="95">
        <v>45</v>
      </c>
      <c r="D8" s="95">
        <v>45</v>
      </c>
      <c r="E8" s="95">
        <v>39</v>
      </c>
      <c r="F8" s="95">
        <v>36</v>
      </c>
      <c r="G8" s="95">
        <v>31</v>
      </c>
      <c r="H8" s="95">
        <v>31</v>
      </c>
      <c r="I8" s="95">
        <v>33</v>
      </c>
      <c r="J8" s="95">
        <v>33</v>
      </c>
      <c r="K8" s="95">
        <v>33</v>
      </c>
      <c r="L8" s="95">
        <v>34</v>
      </c>
      <c r="M8" s="95">
        <v>37</v>
      </c>
      <c r="N8" s="95">
        <v>45</v>
      </c>
      <c r="O8" s="95">
        <v>55</v>
      </c>
      <c r="P8" s="95">
        <v>59</v>
      </c>
      <c r="Q8" s="95">
        <v>77</v>
      </c>
      <c r="R8" s="95">
        <v>91</v>
      </c>
      <c r="S8" s="95">
        <v>110</v>
      </c>
      <c r="T8" s="96">
        <v>130</v>
      </c>
      <c r="U8" s="96">
        <v>146</v>
      </c>
      <c r="V8" s="96">
        <v>157</v>
      </c>
      <c r="W8" s="188">
        <v>170</v>
      </c>
      <c r="X8" s="188">
        <v>179</v>
      </c>
      <c r="Y8" s="188">
        <v>184</v>
      </c>
      <c r="Z8" s="188">
        <v>186</v>
      </c>
      <c r="AA8" s="188">
        <v>197</v>
      </c>
    </row>
    <row r="9" spans="1:27" x14ac:dyDescent="0.25">
      <c r="A9" s="94" t="s">
        <v>378</v>
      </c>
      <c r="B9" s="192" t="s">
        <v>10446</v>
      </c>
      <c r="C9" s="95">
        <v>5</v>
      </c>
      <c r="D9" s="95">
        <v>5</v>
      </c>
      <c r="E9" s="95">
        <v>4</v>
      </c>
      <c r="F9" s="95">
        <v>4</v>
      </c>
      <c r="G9" s="95">
        <v>4</v>
      </c>
      <c r="H9" s="95">
        <v>4</v>
      </c>
      <c r="I9" s="95">
        <v>4</v>
      </c>
      <c r="J9" s="95">
        <v>4</v>
      </c>
      <c r="K9" s="95">
        <v>4</v>
      </c>
      <c r="L9" s="95">
        <v>5</v>
      </c>
      <c r="M9" s="95">
        <v>5</v>
      </c>
      <c r="N9" s="95">
        <v>7</v>
      </c>
      <c r="O9" s="95">
        <v>13</v>
      </c>
      <c r="P9" s="95">
        <v>18</v>
      </c>
      <c r="Q9" s="95">
        <v>23</v>
      </c>
      <c r="R9" s="95">
        <v>29</v>
      </c>
      <c r="S9" s="95">
        <v>34</v>
      </c>
      <c r="T9" s="96">
        <v>44</v>
      </c>
      <c r="U9" s="96">
        <v>53</v>
      </c>
      <c r="V9" s="96">
        <v>58</v>
      </c>
      <c r="W9" s="188">
        <v>70</v>
      </c>
      <c r="X9" s="188">
        <v>76</v>
      </c>
      <c r="Y9" s="188">
        <v>82</v>
      </c>
      <c r="Z9" s="188">
        <v>90</v>
      </c>
      <c r="AA9" s="188">
        <v>94</v>
      </c>
    </row>
    <row r="10" spans="1:27" x14ac:dyDescent="0.25">
      <c r="A10" s="94" t="s">
        <v>56</v>
      </c>
      <c r="B10" s="192" t="s">
        <v>10387</v>
      </c>
      <c r="C10" s="95">
        <v>281</v>
      </c>
      <c r="D10" s="95">
        <v>266</v>
      </c>
      <c r="E10" s="95">
        <v>270</v>
      </c>
      <c r="F10" s="95">
        <v>278</v>
      </c>
      <c r="G10" s="95">
        <v>282</v>
      </c>
      <c r="H10" s="95">
        <v>278</v>
      </c>
      <c r="I10" s="95">
        <v>293</v>
      </c>
      <c r="J10" s="95">
        <v>310</v>
      </c>
      <c r="K10" s="95">
        <v>333</v>
      </c>
      <c r="L10" s="95">
        <v>340</v>
      </c>
      <c r="M10" s="95">
        <v>358</v>
      </c>
      <c r="N10" s="95">
        <v>401</v>
      </c>
      <c r="O10" s="95">
        <v>472</v>
      </c>
      <c r="P10" s="95">
        <v>528</v>
      </c>
      <c r="Q10" s="95">
        <v>654</v>
      </c>
      <c r="R10" s="95">
        <v>788</v>
      </c>
      <c r="S10" s="95">
        <v>927</v>
      </c>
      <c r="T10" s="97">
        <v>1106</v>
      </c>
      <c r="U10" s="97">
        <v>1236</v>
      </c>
      <c r="V10" s="97">
        <v>1370</v>
      </c>
      <c r="W10" s="188">
        <v>1465</v>
      </c>
      <c r="X10" s="188">
        <v>1524</v>
      </c>
      <c r="Y10" s="188">
        <v>1571</v>
      </c>
      <c r="Z10" s="188">
        <v>1563</v>
      </c>
      <c r="AA10" s="188">
        <v>1624</v>
      </c>
    </row>
    <row r="11" spans="1:27" x14ac:dyDescent="0.25">
      <c r="A11" s="94" t="s">
        <v>69</v>
      </c>
      <c r="B11" s="192" t="s">
        <v>10395</v>
      </c>
      <c r="C11" s="95">
        <v>102</v>
      </c>
      <c r="D11" s="95">
        <v>102</v>
      </c>
      <c r="E11" s="95">
        <v>102</v>
      </c>
      <c r="F11" s="95">
        <v>99</v>
      </c>
      <c r="G11" s="95">
        <v>99</v>
      </c>
      <c r="H11" s="95">
        <v>104</v>
      </c>
      <c r="I11" s="95">
        <v>102</v>
      </c>
      <c r="J11" s="95">
        <v>112</v>
      </c>
      <c r="K11" s="95">
        <v>117</v>
      </c>
      <c r="L11" s="95">
        <v>116</v>
      </c>
      <c r="M11" s="95">
        <v>129</v>
      </c>
      <c r="N11" s="95">
        <v>149</v>
      </c>
      <c r="O11" s="95">
        <v>185</v>
      </c>
      <c r="P11" s="95">
        <v>234</v>
      </c>
      <c r="Q11" s="95">
        <v>300</v>
      </c>
      <c r="R11" s="95">
        <v>352</v>
      </c>
      <c r="S11" s="95">
        <v>386</v>
      </c>
      <c r="T11" s="96">
        <v>448</v>
      </c>
      <c r="U11" s="96">
        <v>500</v>
      </c>
      <c r="V11" s="96">
        <v>544</v>
      </c>
      <c r="W11" s="188">
        <v>561</v>
      </c>
      <c r="X11" s="188">
        <v>586</v>
      </c>
      <c r="Y11" s="188">
        <v>614</v>
      </c>
      <c r="Z11" s="188">
        <v>619</v>
      </c>
      <c r="AA11" s="188">
        <v>641</v>
      </c>
    </row>
    <row r="12" spans="1:27" x14ac:dyDescent="0.25">
      <c r="A12" s="94" t="s">
        <v>72</v>
      </c>
      <c r="B12" s="192" t="s">
        <v>10447</v>
      </c>
      <c r="C12" s="95">
        <v>27</v>
      </c>
      <c r="D12" s="95">
        <v>22</v>
      </c>
      <c r="E12" s="95">
        <v>17</v>
      </c>
      <c r="F12" s="95">
        <v>17</v>
      </c>
      <c r="G12" s="95">
        <v>20</v>
      </c>
      <c r="H12" s="95">
        <v>19</v>
      </c>
      <c r="I12" s="95">
        <v>18</v>
      </c>
      <c r="J12" s="95">
        <v>19</v>
      </c>
      <c r="K12" s="95">
        <v>21</v>
      </c>
      <c r="L12" s="95">
        <v>19</v>
      </c>
      <c r="M12" s="95">
        <v>21</v>
      </c>
      <c r="N12" s="95">
        <v>20</v>
      </c>
      <c r="O12" s="95">
        <v>24</v>
      </c>
      <c r="P12" s="95">
        <v>39</v>
      </c>
      <c r="Q12" s="95">
        <v>50</v>
      </c>
      <c r="R12" s="95">
        <v>59</v>
      </c>
      <c r="S12" s="95">
        <v>76</v>
      </c>
      <c r="T12" s="96">
        <v>103</v>
      </c>
      <c r="U12" s="96">
        <v>124</v>
      </c>
      <c r="V12" s="96">
        <v>149</v>
      </c>
      <c r="W12" s="188">
        <v>162</v>
      </c>
      <c r="X12" s="188">
        <v>172</v>
      </c>
      <c r="Y12" s="188">
        <v>176</v>
      </c>
      <c r="Z12" s="188">
        <v>177</v>
      </c>
      <c r="AA12" s="188">
        <v>179</v>
      </c>
    </row>
    <row r="13" spans="1:27" x14ac:dyDescent="0.25">
      <c r="A13" s="94" t="s">
        <v>628</v>
      </c>
      <c r="B13" s="192" t="s">
        <v>10448</v>
      </c>
      <c r="C13" s="95">
        <v>8</v>
      </c>
      <c r="D13" s="95">
        <v>8</v>
      </c>
      <c r="E13" s="95">
        <v>8</v>
      </c>
      <c r="F13" s="95">
        <v>9</v>
      </c>
      <c r="G13" s="95">
        <v>9</v>
      </c>
      <c r="H13" s="95">
        <v>8</v>
      </c>
      <c r="I13" s="95">
        <v>9</v>
      </c>
      <c r="J13" s="95">
        <v>10</v>
      </c>
      <c r="K13" s="95">
        <v>9</v>
      </c>
      <c r="L13" s="95">
        <v>11</v>
      </c>
      <c r="M13" s="95">
        <v>11</v>
      </c>
      <c r="N13" s="95">
        <v>12</v>
      </c>
      <c r="O13" s="95">
        <v>13</v>
      </c>
      <c r="P13" s="95">
        <v>13</v>
      </c>
      <c r="Q13" s="95">
        <v>15</v>
      </c>
      <c r="R13" s="95">
        <v>21</v>
      </c>
      <c r="S13" s="95">
        <v>25</v>
      </c>
      <c r="T13" s="96">
        <v>33</v>
      </c>
      <c r="U13" s="96">
        <v>38</v>
      </c>
      <c r="V13" s="96">
        <v>43</v>
      </c>
      <c r="W13" s="188">
        <v>47</v>
      </c>
      <c r="X13" s="188">
        <v>51</v>
      </c>
      <c r="Y13" s="188">
        <v>54</v>
      </c>
      <c r="Z13" s="188">
        <v>57</v>
      </c>
      <c r="AA13" s="188">
        <v>60</v>
      </c>
    </row>
    <row r="14" spans="1:27" x14ac:dyDescent="0.25">
      <c r="A14" s="94" t="s">
        <v>441</v>
      </c>
      <c r="B14" s="192" t="s">
        <v>10449</v>
      </c>
      <c r="C14" s="95">
        <v>4</v>
      </c>
      <c r="D14" s="95">
        <v>5</v>
      </c>
      <c r="E14" s="95">
        <v>5</v>
      </c>
      <c r="F14" s="95">
        <v>4</v>
      </c>
      <c r="G14" s="95">
        <v>5</v>
      </c>
      <c r="H14" s="95">
        <v>4</v>
      </c>
      <c r="I14" s="95">
        <v>4</v>
      </c>
      <c r="J14" s="95">
        <v>3</v>
      </c>
      <c r="K14" s="95">
        <v>3</v>
      </c>
      <c r="L14" s="95">
        <v>3</v>
      </c>
      <c r="M14" s="95">
        <v>4</v>
      </c>
      <c r="N14" s="95">
        <v>6</v>
      </c>
      <c r="O14" s="95">
        <v>5</v>
      </c>
      <c r="P14" s="95">
        <v>11</v>
      </c>
      <c r="Q14" s="95">
        <v>12</v>
      </c>
      <c r="R14" s="95">
        <v>13</v>
      </c>
      <c r="S14" s="95">
        <v>13</v>
      </c>
      <c r="T14" s="96">
        <v>13</v>
      </c>
      <c r="U14" s="96">
        <v>13</v>
      </c>
      <c r="V14" s="96">
        <v>15</v>
      </c>
      <c r="W14" s="188">
        <v>17</v>
      </c>
      <c r="X14" s="188">
        <v>19</v>
      </c>
      <c r="Y14" s="188">
        <v>21</v>
      </c>
      <c r="Z14" s="188">
        <v>21</v>
      </c>
      <c r="AA14" s="188">
        <v>22</v>
      </c>
    </row>
    <row r="15" spans="1:27" x14ac:dyDescent="0.25">
      <c r="A15" s="94" t="s">
        <v>188</v>
      </c>
      <c r="B15" s="192" t="s">
        <v>10389</v>
      </c>
      <c r="C15" s="95">
        <v>92</v>
      </c>
      <c r="D15" s="95">
        <v>84</v>
      </c>
      <c r="E15" s="95">
        <v>83</v>
      </c>
      <c r="F15" s="95">
        <v>78</v>
      </c>
      <c r="G15" s="95">
        <v>74</v>
      </c>
      <c r="H15" s="95">
        <v>69</v>
      </c>
      <c r="I15" s="95">
        <v>51</v>
      </c>
      <c r="J15" s="95">
        <v>50</v>
      </c>
      <c r="K15" s="95">
        <v>61</v>
      </c>
      <c r="L15" s="95">
        <v>52</v>
      </c>
      <c r="M15" s="95">
        <v>60</v>
      </c>
      <c r="N15" s="95">
        <v>71</v>
      </c>
      <c r="O15" s="95">
        <v>89</v>
      </c>
      <c r="P15" s="95">
        <v>113</v>
      </c>
      <c r="Q15" s="95">
        <v>158</v>
      </c>
      <c r="R15" s="95">
        <v>205</v>
      </c>
      <c r="S15" s="95">
        <v>264</v>
      </c>
      <c r="T15" s="96">
        <v>338</v>
      </c>
      <c r="U15" s="96">
        <v>386</v>
      </c>
      <c r="V15" s="96">
        <v>464</v>
      </c>
      <c r="W15" s="188">
        <v>500</v>
      </c>
      <c r="X15" s="188">
        <v>531</v>
      </c>
      <c r="Y15" s="188">
        <v>571</v>
      </c>
      <c r="Z15" s="188">
        <v>598</v>
      </c>
      <c r="AA15" s="188">
        <v>618</v>
      </c>
    </row>
    <row r="16" spans="1:27" x14ac:dyDescent="0.25">
      <c r="A16" s="94" t="s">
        <v>130</v>
      </c>
      <c r="B16" s="192" t="s">
        <v>10417</v>
      </c>
      <c r="C16" s="95">
        <v>29</v>
      </c>
      <c r="D16" s="95">
        <v>30</v>
      </c>
      <c r="E16" s="95">
        <v>25</v>
      </c>
      <c r="F16" s="95">
        <v>29</v>
      </c>
      <c r="G16" s="95">
        <v>29</v>
      </c>
      <c r="H16" s="95">
        <v>25</v>
      </c>
      <c r="I16" s="95">
        <v>22</v>
      </c>
      <c r="J16" s="95">
        <v>23</v>
      </c>
      <c r="K16" s="95">
        <v>20</v>
      </c>
      <c r="L16" s="95">
        <v>22</v>
      </c>
      <c r="M16" s="95">
        <v>26</v>
      </c>
      <c r="N16" s="95">
        <v>25</v>
      </c>
      <c r="O16" s="95">
        <v>31</v>
      </c>
      <c r="P16" s="95">
        <v>37</v>
      </c>
      <c r="Q16" s="95">
        <v>48</v>
      </c>
      <c r="R16" s="95">
        <v>54</v>
      </c>
      <c r="S16" s="95">
        <v>69</v>
      </c>
      <c r="T16" s="96">
        <v>102</v>
      </c>
      <c r="U16" s="96">
        <v>121</v>
      </c>
      <c r="V16" s="96">
        <v>158</v>
      </c>
      <c r="W16" s="188">
        <v>186</v>
      </c>
      <c r="X16" s="188">
        <v>208</v>
      </c>
      <c r="Y16" s="188">
        <v>234</v>
      </c>
      <c r="Z16" s="188">
        <v>244</v>
      </c>
      <c r="AA16" s="188">
        <v>265</v>
      </c>
    </row>
    <row r="17" spans="1:27" x14ac:dyDescent="0.25">
      <c r="A17" s="94" t="s">
        <v>113</v>
      </c>
      <c r="B17" s="192" t="s">
        <v>10450</v>
      </c>
      <c r="C17" s="95">
        <v>15</v>
      </c>
      <c r="D17" s="95">
        <v>14</v>
      </c>
      <c r="E17" s="95">
        <v>13</v>
      </c>
      <c r="F17" s="95">
        <v>13</v>
      </c>
      <c r="G17" s="95">
        <v>13</v>
      </c>
      <c r="H17" s="95">
        <v>12</v>
      </c>
      <c r="I17" s="95">
        <v>12</v>
      </c>
      <c r="J17" s="95">
        <v>12</v>
      </c>
      <c r="K17" s="95">
        <v>11</v>
      </c>
      <c r="L17" s="95">
        <v>11</v>
      </c>
      <c r="M17" s="95">
        <v>11</v>
      </c>
      <c r="N17" s="95">
        <v>12</v>
      </c>
      <c r="O17" s="95">
        <v>15</v>
      </c>
      <c r="P17" s="95">
        <v>17</v>
      </c>
      <c r="Q17" s="95">
        <v>20</v>
      </c>
      <c r="R17" s="95">
        <v>26</v>
      </c>
      <c r="S17" s="95">
        <v>23</v>
      </c>
      <c r="T17" s="96">
        <v>28</v>
      </c>
      <c r="U17" s="96">
        <v>38</v>
      </c>
      <c r="V17" s="96">
        <v>43</v>
      </c>
      <c r="W17" s="188">
        <v>44</v>
      </c>
      <c r="X17" s="188">
        <v>50</v>
      </c>
      <c r="Y17" s="188">
        <v>52</v>
      </c>
      <c r="Z17" s="188">
        <v>52</v>
      </c>
      <c r="AA17" s="188">
        <v>53</v>
      </c>
    </row>
    <row r="18" spans="1:27" x14ac:dyDescent="0.25">
      <c r="A18" s="94" t="s">
        <v>585</v>
      </c>
      <c r="B18" s="192" t="s">
        <v>10451</v>
      </c>
      <c r="C18" s="95">
        <v>24</v>
      </c>
      <c r="D18" s="95">
        <v>20</v>
      </c>
      <c r="E18" s="95">
        <v>19</v>
      </c>
      <c r="F18" s="95">
        <v>20</v>
      </c>
      <c r="G18" s="95">
        <v>19</v>
      </c>
      <c r="H18" s="95">
        <v>20</v>
      </c>
      <c r="I18" s="95">
        <v>20</v>
      </c>
      <c r="J18" s="95">
        <v>20</v>
      </c>
      <c r="K18" s="95">
        <v>24</v>
      </c>
      <c r="L18" s="95">
        <v>25</v>
      </c>
      <c r="M18" s="95">
        <v>25</v>
      </c>
      <c r="N18" s="95">
        <v>33</v>
      </c>
      <c r="O18" s="95">
        <v>39</v>
      </c>
      <c r="P18" s="95">
        <v>42</v>
      </c>
      <c r="Q18" s="95">
        <v>51</v>
      </c>
      <c r="R18" s="95">
        <v>57</v>
      </c>
      <c r="S18" s="95">
        <v>67</v>
      </c>
      <c r="T18" s="96">
        <v>76</v>
      </c>
      <c r="U18" s="96">
        <v>87</v>
      </c>
      <c r="V18" s="96">
        <v>101</v>
      </c>
      <c r="W18" s="188">
        <v>118</v>
      </c>
      <c r="X18" s="188">
        <v>120</v>
      </c>
      <c r="Y18" s="188">
        <v>129</v>
      </c>
      <c r="Z18" s="188">
        <v>136</v>
      </c>
      <c r="AA18" s="188">
        <v>138</v>
      </c>
    </row>
    <row r="19" spans="1:27" x14ac:dyDescent="0.25">
      <c r="A19" s="94" t="s">
        <v>139</v>
      </c>
      <c r="B19" s="192" t="s">
        <v>10397</v>
      </c>
      <c r="C19" s="95">
        <v>45</v>
      </c>
      <c r="D19" s="95">
        <v>41</v>
      </c>
      <c r="E19" s="95">
        <v>43</v>
      </c>
      <c r="F19" s="95">
        <v>43</v>
      </c>
      <c r="G19" s="95">
        <v>45</v>
      </c>
      <c r="H19" s="95">
        <v>43</v>
      </c>
      <c r="I19" s="95">
        <v>45</v>
      </c>
      <c r="J19" s="95">
        <v>52</v>
      </c>
      <c r="K19" s="95">
        <v>51</v>
      </c>
      <c r="L19" s="95">
        <v>60</v>
      </c>
      <c r="M19" s="95">
        <v>62</v>
      </c>
      <c r="N19" s="95">
        <v>68</v>
      </c>
      <c r="O19" s="95">
        <v>95</v>
      </c>
      <c r="P19" s="95">
        <v>123</v>
      </c>
      <c r="Q19" s="95">
        <v>164</v>
      </c>
      <c r="R19" s="95">
        <v>210</v>
      </c>
      <c r="S19" s="95">
        <v>244</v>
      </c>
      <c r="T19" s="96">
        <v>291</v>
      </c>
      <c r="U19" s="96">
        <v>338</v>
      </c>
      <c r="V19" s="96">
        <v>372</v>
      </c>
      <c r="W19" s="188">
        <v>405</v>
      </c>
      <c r="X19" s="188">
        <v>418</v>
      </c>
      <c r="Y19" s="188">
        <v>436</v>
      </c>
      <c r="Z19" s="188">
        <v>455</v>
      </c>
      <c r="AA19" s="188">
        <v>463</v>
      </c>
    </row>
    <row r="20" spans="1:27" x14ac:dyDescent="0.25">
      <c r="A20" s="94" t="s">
        <v>98</v>
      </c>
      <c r="B20" s="192" t="s">
        <v>10452</v>
      </c>
      <c r="C20" s="95">
        <v>26</v>
      </c>
      <c r="D20" s="95">
        <v>23</v>
      </c>
      <c r="E20" s="95">
        <v>23</v>
      </c>
      <c r="F20" s="95">
        <v>23</v>
      </c>
      <c r="G20" s="95">
        <v>23</v>
      </c>
      <c r="H20" s="95">
        <v>27</v>
      </c>
      <c r="I20" s="95">
        <v>25</v>
      </c>
      <c r="J20" s="95">
        <v>30</v>
      </c>
      <c r="K20" s="95">
        <v>30</v>
      </c>
      <c r="L20" s="95">
        <v>39</v>
      </c>
      <c r="M20" s="95">
        <v>43</v>
      </c>
      <c r="N20" s="95">
        <v>59</v>
      </c>
      <c r="O20" s="95">
        <v>72</v>
      </c>
      <c r="P20" s="95">
        <v>95</v>
      </c>
      <c r="Q20" s="95">
        <v>116</v>
      </c>
      <c r="R20" s="95">
        <v>151</v>
      </c>
      <c r="S20" s="95">
        <v>163</v>
      </c>
      <c r="T20" s="96">
        <v>213</v>
      </c>
      <c r="U20" s="96">
        <v>234</v>
      </c>
      <c r="V20" s="96">
        <v>261</v>
      </c>
      <c r="W20" s="188">
        <v>277</v>
      </c>
      <c r="X20" s="188">
        <v>288</v>
      </c>
      <c r="Y20" s="188">
        <v>295</v>
      </c>
      <c r="Z20" s="188">
        <v>305</v>
      </c>
      <c r="AA20" s="188">
        <v>311</v>
      </c>
    </row>
    <row r="21" spans="1:27" x14ac:dyDescent="0.25">
      <c r="A21" s="94" t="s">
        <v>201</v>
      </c>
      <c r="B21" s="192" t="s">
        <v>10453</v>
      </c>
      <c r="C21" s="95">
        <v>13</v>
      </c>
      <c r="D21" s="95">
        <v>16</v>
      </c>
      <c r="E21" s="95">
        <v>15</v>
      </c>
      <c r="F21" s="95">
        <v>17</v>
      </c>
      <c r="G21" s="95">
        <v>21</v>
      </c>
      <c r="H21" s="95">
        <v>18</v>
      </c>
      <c r="I21" s="95">
        <v>19</v>
      </c>
      <c r="J21" s="95">
        <v>20</v>
      </c>
      <c r="K21" s="95">
        <v>21</v>
      </c>
      <c r="L21" s="95">
        <v>28</v>
      </c>
      <c r="M21" s="95">
        <v>27</v>
      </c>
      <c r="N21" s="95">
        <v>35</v>
      </c>
      <c r="O21" s="95">
        <v>46</v>
      </c>
      <c r="P21" s="95">
        <v>54</v>
      </c>
      <c r="Q21" s="95">
        <v>60</v>
      </c>
      <c r="R21" s="95">
        <v>71</v>
      </c>
      <c r="S21" s="95">
        <v>94</v>
      </c>
      <c r="T21" s="96">
        <v>115</v>
      </c>
      <c r="U21" s="96">
        <v>125</v>
      </c>
      <c r="V21" s="96">
        <v>137</v>
      </c>
      <c r="W21" s="188">
        <v>149</v>
      </c>
      <c r="X21" s="188">
        <v>154</v>
      </c>
      <c r="Y21" s="188">
        <v>166</v>
      </c>
      <c r="Z21" s="188">
        <v>177</v>
      </c>
      <c r="AA21" s="188">
        <v>181</v>
      </c>
    </row>
    <row r="22" spans="1:27" x14ac:dyDescent="0.25">
      <c r="A22" s="94" t="s">
        <v>575</v>
      </c>
      <c r="B22" s="192" t="s">
        <v>10454</v>
      </c>
      <c r="C22" s="95">
        <v>10</v>
      </c>
      <c r="D22" s="95">
        <v>8</v>
      </c>
      <c r="E22" s="95">
        <v>8</v>
      </c>
      <c r="F22" s="95">
        <v>7</v>
      </c>
      <c r="G22" s="95">
        <v>10</v>
      </c>
      <c r="H22" s="95">
        <v>11</v>
      </c>
      <c r="I22" s="95">
        <v>17</v>
      </c>
      <c r="J22" s="95">
        <v>18</v>
      </c>
      <c r="K22" s="95">
        <v>17</v>
      </c>
      <c r="L22" s="95">
        <v>17</v>
      </c>
      <c r="M22" s="95">
        <v>17</v>
      </c>
      <c r="N22" s="95">
        <v>21</v>
      </c>
      <c r="O22" s="95">
        <v>21</v>
      </c>
      <c r="P22" s="95">
        <v>25</v>
      </c>
      <c r="Q22" s="95">
        <v>27</v>
      </c>
      <c r="R22" s="95">
        <v>37</v>
      </c>
      <c r="S22" s="95">
        <v>47</v>
      </c>
      <c r="T22" s="96">
        <v>53</v>
      </c>
      <c r="U22" s="96">
        <v>64</v>
      </c>
      <c r="V22" s="96">
        <v>78</v>
      </c>
      <c r="W22" s="188">
        <v>78</v>
      </c>
      <c r="X22" s="188">
        <v>88</v>
      </c>
      <c r="Y22" s="188">
        <v>92</v>
      </c>
      <c r="Z22" s="188">
        <v>100</v>
      </c>
      <c r="AA22" s="188">
        <v>112</v>
      </c>
    </row>
    <row r="23" spans="1:27" x14ac:dyDescent="0.25">
      <c r="A23" s="94" t="s">
        <v>236</v>
      </c>
      <c r="B23" s="192" t="s">
        <v>10455</v>
      </c>
      <c r="C23" s="95">
        <v>15</v>
      </c>
      <c r="D23" s="95">
        <v>10</v>
      </c>
      <c r="E23" s="95">
        <v>10</v>
      </c>
      <c r="F23" s="95">
        <v>10</v>
      </c>
      <c r="G23" s="95">
        <v>10</v>
      </c>
      <c r="H23" s="95">
        <v>10</v>
      </c>
      <c r="I23" s="95">
        <v>10</v>
      </c>
      <c r="J23" s="95">
        <v>12</v>
      </c>
      <c r="K23" s="95">
        <v>12</v>
      </c>
      <c r="L23" s="95">
        <v>15</v>
      </c>
      <c r="M23" s="95">
        <v>14</v>
      </c>
      <c r="N23" s="95">
        <v>21</v>
      </c>
      <c r="O23" s="95">
        <v>25</v>
      </c>
      <c r="P23" s="95">
        <v>25</v>
      </c>
      <c r="Q23" s="95">
        <v>38</v>
      </c>
      <c r="R23" s="95">
        <v>48</v>
      </c>
      <c r="S23" s="95">
        <v>60</v>
      </c>
      <c r="T23" s="96">
        <v>73</v>
      </c>
      <c r="U23" s="96">
        <v>86</v>
      </c>
      <c r="V23" s="96">
        <v>105</v>
      </c>
      <c r="W23" s="188">
        <v>118</v>
      </c>
      <c r="X23" s="188">
        <v>128</v>
      </c>
      <c r="Y23" s="188">
        <v>138</v>
      </c>
      <c r="Z23" s="188">
        <v>147</v>
      </c>
      <c r="AA23" s="188">
        <v>152</v>
      </c>
    </row>
    <row r="24" spans="1:27" x14ac:dyDescent="0.25">
      <c r="A24" s="94" t="s">
        <v>127</v>
      </c>
      <c r="B24" s="192" t="s">
        <v>10456</v>
      </c>
      <c r="C24" s="95">
        <v>12</v>
      </c>
      <c r="D24" s="95">
        <v>9</v>
      </c>
      <c r="E24" s="95">
        <v>7</v>
      </c>
      <c r="F24" s="95">
        <v>6</v>
      </c>
      <c r="G24" s="95">
        <v>9</v>
      </c>
      <c r="H24" s="95">
        <v>10</v>
      </c>
      <c r="I24" s="95">
        <v>10</v>
      </c>
      <c r="J24" s="95">
        <v>10</v>
      </c>
      <c r="K24" s="95">
        <v>10</v>
      </c>
      <c r="L24" s="95">
        <v>11</v>
      </c>
      <c r="M24" s="95">
        <v>12</v>
      </c>
      <c r="N24" s="95">
        <v>12</v>
      </c>
      <c r="O24" s="95">
        <v>12</v>
      </c>
      <c r="P24" s="95">
        <v>15</v>
      </c>
      <c r="Q24" s="95">
        <v>17</v>
      </c>
      <c r="R24" s="95">
        <v>25</v>
      </c>
      <c r="S24" s="95">
        <v>34</v>
      </c>
      <c r="T24" s="96">
        <v>43</v>
      </c>
      <c r="U24" s="96">
        <v>47</v>
      </c>
      <c r="V24" s="96">
        <v>60</v>
      </c>
      <c r="W24" s="188">
        <v>68</v>
      </c>
      <c r="X24" s="188">
        <v>69</v>
      </c>
      <c r="Y24" s="188">
        <v>75</v>
      </c>
      <c r="Z24" s="188">
        <v>78</v>
      </c>
      <c r="AA24" s="188">
        <v>80</v>
      </c>
    </row>
    <row r="25" spans="1:27" x14ac:dyDescent="0.25">
      <c r="A25" s="94" t="s">
        <v>87</v>
      </c>
      <c r="B25" s="192" t="s">
        <v>10457</v>
      </c>
      <c r="C25" s="95">
        <v>42</v>
      </c>
      <c r="D25" s="95">
        <v>39</v>
      </c>
      <c r="E25" s="95">
        <v>38</v>
      </c>
      <c r="F25" s="95">
        <v>37</v>
      </c>
      <c r="G25" s="95">
        <v>43</v>
      </c>
      <c r="H25" s="95">
        <v>43</v>
      </c>
      <c r="I25" s="95">
        <v>43</v>
      </c>
      <c r="J25" s="95">
        <v>43</v>
      </c>
      <c r="K25" s="95">
        <v>43</v>
      </c>
      <c r="L25" s="95">
        <v>42</v>
      </c>
      <c r="M25" s="95">
        <v>44</v>
      </c>
      <c r="N25" s="95">
        <v>49</v>
      </c>
      <c r="O25" s="95">
        <v>53</v>
      </c>
      <c r="P25" s="95">
        <v>60</v>
      </c>
      <c r="Q25" s="95">
        <v>71</v>
      </c>
      <c r="R25" s="95">
        <v>84</v>
      </c>
      <c r="S25" s="95">
        <v>102</v>
      </c>
      <c r="T25" s="96">
        <v>131</v>
      </c>
      <c r="U25" s="96">
        <v>165</v>
      </c>
      <c r="V25" s="96">
        <v>186</v>
      </c>
      <c r="W25" s="188">
        <v>197</v>
      </c>
      <c r="X25" s="188">
        <v>212</v>
      </c>
      <c r="Y25" s="188">
        <v>227</v>
      </c>
      <c r="Z25" s="188">
        <v>235</v>
      </c>
      <c r="AA25" s="188">
        <v>241</v>
      </c>
    </row>
    <row r="26" spans="1:27" x14ac:dyDescent="0.25">
      <c r="A26" s="94" t="s">
        <v>523</v>
      </c>
      <c r="B26" s="192" t="s">
        <v>10458</v>
      </c>
      <c r="C26" s="95">
        <v>25</v>
      </c>
      <c r="D26" s="95">
        <v>26</v>
      </c>
      <c r="E26" s="95">
        <v>26</v>
      </c>
      <c r="F26" s="95">
        <v>27</v>
      </c>
      <c r="G26" s="95">
        <v>29</v>
      </c>
      <c r="H26" s="95">
        <v>25</v>
      </c>
      <c r="I26" s="95">
        <v>26</v>
      </c>
      <c r="J26" s="95">
        <v>24</v>
      </c>
      <c r="K26" s="95">
        <v>24</v>
      </c>
      <c r="L26" s="95">
        <v>26</v>
      </c>
      <c r="M26" s="95">
        <v>24</v>
      </c>
      <c r="N26" s="95">
        <v>26</v>
      </c>
      <c r="O26" s="95">
        <v>40</v>
      </c>
      <c r="P26" s="95">
        <v>43</v>
      </c>
      <c r="Q26" s="95">
        <v>55</v>
      </c>
      <c r="R26" s="95">
        <v>73</v>
      </c>
      <c r="S26" s="95">
        <v>88</v>
      </c>
      <c r="T26" s="96">
        <v>116</v>
      </c>
      <c r="U26" s="96">
        <v>141</v>
      </c>
      <c r="V26" s="96">
        <v>159</v>
      </c>
      <c r="W26" s="188">
        <v>176</v>
      </c>
      <c r="X26" s="188">
        <v>188</v>
      </c>
      <c r="Y26" s="188">
        <v>200</v>
      </c>
      <c r="Z26" s="188">
        <v>206</v>
      </c>
      <c r="AA26" s="188">
        <v>218</v>
      </c>
    </row>
    <row r="27" spans="1:27" x14ac:dyDescent="0.25">
      <c r="A27" s="94" t="s">
        <v>53</v>
      </c>
      <c r="B27" s="192" t="s">
        <v>10459</v>
      </c>
      <c r="C27" s="95">
        <v>45</v>
      </c>
      <c r="D27" s="95">
        <v>46</v>
      </c>
      <c r="E27" s="95">
        <v>43</v>
      </c>
      <c r="F27" s="95">
        <v>44</v>
      </c>
      <c r="G27" s="95">
        <v>46</v>
      </c>
      <c r="H27" s="95">
        <v>38</v>
      </c>
      <c r="I27" s="95">
        <v>40</v>
      </c>
      <c r="J27" s="95">
        <v>43</v>
      </c>
      <c r="K27" s="95">
        <v>45</v>
      </c>
      <c r="L27" s="95">
        <v>44</v>
      </c>
      <c r="M27" s="95">
        <v>48</v>
      </c>
      <c r="N27" s="95">
        <v>52</v>
      </c>
      <c r="O27" s="95">
        <v>65</v>
      </c>
      <c r="P27" s="95">
        <v>82</v>
      </c>
      <c r="Q27" s="95">
        <v>98</v>
      </c>
      <c r="R27" s="95">
        <v>124</v>
      </c>
      <c r="S27" s="95">
        <v>146</v>
      </c>
      <c r="T27" s="96">
        <v>189</v>
      </c>
      <c r="U27" s="96">
        <v>230</v>
      </c>
      <c r="V27" s="96">
        <v>268</v>
      </c>
      <c r="W27" s="188">
        <v>293</v>
      </c>
      <c r="X27" s="188">
        <v>321</v>
      </c>
      <c r="Y27" s="188">
        <v>340</v>
      </c>
      <c r="Z27" s="188">
        <v>355</v>
      </c>
      <c r="AA27" s="188">
        <v>367</v>
      </c>
    </row>
    <row r="28" spans="1:27" x14ac:dyDescent="0.25">
      <c r="A28" s="94" t="s">
        <v>166</v>
      </c>
      <c r="B28" s="192" t="s">
        <v>10393</v>
      </c>
      <c r="C28" s="95">
        <v>77</v>
      </c>
      <c r="D28" s="95">
        <v>71</v>
      </c>
      <c r="E28" s="95">
        <v>69</v>
      </c>
      <c r="F28" s="95">
        <v>76</v>
      </c>
      <c r="G28" s="95">
        <v>78</v>
      </c>
      <c r="H28" s="95">
        <v>84</v>
      </c>
      <c r="I28" s="95">
        <v>91</v>
      </c>
      <c r="J28" s="95">
        <v>94</v>
      </c>
      <c r="K28" s="95">
        <v>96</v>
      </c>
      <c r="L28" s="95">
        <v>104</v>
      </c>
      <c r="M28" s="95">
        <v>111</v>
      </c>
      <c r="N28" s="95">
        <v>131</v>
      </c>
      <c r="O28" s="95">
        <v>160</v>
      </c>
      <c r="P28" s="95">
        <v>195</v>
      </c>
      <c r="Q28" s="95">
        <v>256</v>
      </c>
      <c r="R28" s="95">
        <v>316</v>
      </c>
      <c r="S28" s="95">
        <v>379</v>
      </c>
      <c r="T28" s="96">
        <v>452</v>
      </c>
      <c r="U28" s="96">
        <v>510</v>
      </c>
      <c r="V28" s="96">
        <v>577</v>
      </c>
      <c r="W28" s="188">
        <v>605</v>
      </c>
      <c r="X28" s="188">
        <v>636</v>
      </c>
      <c r="Y28" s="188">
        <v>670</v>
      </c>
      <c r="Z28" s="188">
        <v>691</v>
      </c>
      <c r="AA28" s="188">
        <v>719</v>
      </c>
    </row>
    <row r="29" spans="1:27" x14ac:dyDescent="0.25">
      <c r="A29" s="94" t="s">
        <v>108</v>
      </c>
      <c r="B29" s="192" t="s">
        <v>10460</v>
      </c>
      <c r="C29" s="95">
        <v>41</v>
      </c>
      <c r="D29" s="95">
        <v>37</v>
      </c>
      <c r="E29" s="95">
        <v>37</v>
      </c>
      <c r="F29" s="95">
        <v>31</v>
      </c>
      <c r="G29" s="95">
        <v>30</v>
      </c>
      <c r="H29" s="95">
        <v>31</v>
      </c>
      <c r="I29" s="95">
        <v>35</v>
      </c>
      <c r="J29" s="95">
        <v>34</v>
      </c>
      <c r="K29" s="95">
        <v>36</v>
      </c>
      <c r="L29" s="95">
        <v>39</v>
      </c>
      <c r="M29" s="95">
        <v>42</v>
      </c>
      <c r="N29" s="95">
        <v>56</v>
      </c>
      <c r="O29" s="95">
        <v>70</v>
      </c>
      <c r="P29" s="95">
        <v>75</v>
      </c>
      <c r="Q29" s="95">
        <v>113</v>
      </c>
      <c r="R29" s="95">
        <v>142</v>
      </c>
      <c r="S29" s="95">
        <v>165</v>
      </c>
      <c r="T29" s="96">
        <v>214</v>
      </c>
      <c r="U29" s="96">
        <v>239</v>
      </c>
      <c r="V29" s="96">
        <v>267</v>
      </c>
      <c r="W29" s="188">
        <v>286</v>
      </c>
      <c r="X29" s="188">
        <v>301</v>
      </c>
      <c r="Y29" s="188">
        <v>314</v>
      </c>
      <c r="Z29" s="188">
        <v>322</v>
      </c>
      <c r="AA29" s="188">
        <v>331</v>
      </c>
    </row>
    <row r="30" spans="1:27" x14ac:dyDescent="0.25">
      <c r="A30" s="94" t="s">
        <v>802</v>
      </c>
      <c r="B30" s="192" t="s">
        <v>10461</v>
      </c>
      <c r="C30" s="95">
        <v>4</v>
      </c>
      <c r="D30" s="95">
        <v>4</v>
      </c>
      <c r="E30" s="95">
        <v>4</v>
      </c>
      <c r="F30" s="95">
        <v>3</v>
      </c>
      <c r="G30" s="95">
        <v>3</v>
      </c>
      <c r="H30" s="95">
        <v>3</v>
      </c>
      <c r="I30" s="69" t="s">
        <v>10485</v>
      </c>
      <c r="J30" s="69" t="s">
        <v>10485</v>
      </c>
      <c r="K30" s="69" t="s">
        <v>10485</v>
      </c>
      <c r="L30" s="69" t="s">
        <v>10485</v>
      </c>
      <c r="M30" s="95">
        <v>3</v>
      </c>
      <c r="N30" s="69" t="s">
        <v>10485</v>
      </c>
      <c r="O30" s="95">
        <v>4</v>
      </c>
      <c r="P30" s="95">
        <v>7</v>
      </c>
      <c r="Q30" s="95">
        <v>10</v>
      </c>
      <c r="R30" s="95">
        <v>14</v>
      </c>
      <c r="S30" s="95">
        <v>14</v>
      </c>
      <c r="T30" s="96">
        <v>16</v>
      </c>
      <c r="U30" s="96">
        <v>19</v>
      </c>
      <c r="V30" s="96">
        <v>22</v>
      </c>
      <c r="W30" s="188">
        <v>25</v>
      </c>
      <c r="X30" s="188">
        <v>32</v>
      </c>
      <c r="Y30" s="188">
        <v>33</v>
      </c>
      <c r="Z30" s="188">
        <v>35</v>
      </c>
      <c r="AA30" s="188">
        <v>38</v>
      </c>
    </row>
    <row r="31" spans="1:27" x14ac:dyDescent="0.25">
      <c r="A31" s="94" t="s">
        <v>82</v>
      </c>
      <c r="B31" s="192" t="s">
        <v>10462</v>
      </c>
      <c r="C31" s="95">
        <v>32</v>
      </c>
      <c r="D31" s="95">
        <v>26</v>
      </c>
      <c r="E31" s="95">
        <v>28</v>
      </c>
      <c r="F31" s="95">
        <v>28</v>
      </c>
      <c r="G31" s="95">
        <v>28</v>
      </c>
      <c r="H31" s="95">
        <v>33</v>
      </c>
      <c r="I31" s="95">
        <v>34</v>
      </c>
      <c r="J31" s="95">
        <v>38</v>
      </c>
      <c r="K31" s="95">
        <v>38</v>
      </c>
      <c r="L31" s="95">
        <v>47</v>
      </c>
      <c r="M31" s="95">
        <v>51</v>
      </c>
      <c r="N31" s="95">
        <v>55</v>
      </c>
      <c r="O31" s="95">
        <v>60</v>
      </c>
      <c r="P31" s="95">
        <v>63</v>
      </c>
      <c r="Q31" s="95">
        <v>77</v>
      </c>
      <c r="R31" s="95">
        <v>90</v>
      </c>
      <c r="S31" s="95">
        <v>116</v>
      </c>
      <c r="T31" s="96">
        <v>145</v>
      </c>
      <c r="U31" s="96">
        <v>168</v>
      </c>
      <c r="V31" s="96">
        <v>192</v>
      </c>
      <c r="W31" s="188">
        <v>212</v>
      </c>
      <c r="X31" s="188">
        <v>230</v>
      </c>
      <c r="Y31" s="188">
        <v>249</v>
      </c>
      <c r="Z31" s="188">
        <v>261</v>
      </c>
      <c r="AA31" s="188">
        <v>275</v>
      </c>
    </row>
    <row r="32" spans="1:27" x14ac:dyDescent="0.25">
      <c r="A32" s="94" t="s">
        <v>142</v>
      </c>
      <c r="B32" s="192" t="s">
        <v>10463</v>
      </c>
      <c r="C32" s="95">
        <v>25</v>
      </c>
      <c r="D32" s="95">
        <v>26</v>
      </c>
      <c r="E32" s="95">
        <v>28</v>
      </c>
      <c r="F32" s="95">
        <v>24</v>
      </c>
      <c r="G32" s="95">
        <v>22</v>
      </c>
      <c r="H32" s="95">
        <v>21</v>
      </c>
      <c r="I32" s="95">
        <v>22</v>
      </c>
      <c r="J32" s="95">
        <v>26</v>
      </c>
      <c r="K32" s="95">
        <v>31</v>
      </c>
      <c r="L32" s="95">
        <v>31</v>
      </c>
      <c r="M32" s="95">
        <v>31</v>
      </c>
      <c r="N32" s="95">
        <v>35</v>
      </c>
      <c r="O32" s="95">
        <v>41</v>
      </c>
      <c r="P32" s="95">
        <v>49</v>
      </c>
      <c r="Q32" s="95">
        <v>62</v>
      </c>
      <c r="R32" s="95">
        <v>74</v>
      </c>
      <c r="S32" s="95">
        <v>79</v>
      </c>
      <c r="T32" s="96">
        <v>98</v>
      </c>
      <c r="U32" s="96">
        <v>108</v>
      </c>
      <c r="V32" s="96">
        <v>121</v>
      </c>
      <c r="W32" s="188">
        <v>128</v>
      </c>
      <c r="X32" s="188">
        <v>137</v>
      </c>
      <c r="Y32" s="188">
        <v>139</v>
      </c>
      <c r="Z32" s="188">
        <v>138</v>
      </c>
      <c r="AA32" s="188">
        <v>142</v>
      </c>
    </row>
    <row r="33" spans="1:27" x14ac:dyDescent="0.25">
      <c r="A33" s="94" t="s">
        <v>710</v>
      </c>
      <c r="B33" s="192" t="s">
        <v>10464</v>
      </c>
      <c r="C33" s="95">
        <v>9</v>
      </c>
      <c r="D33" s="95">
        <v>11</v>
      </c>
      <c r="E33" s="95">
        <v>10</v>
      </c>
      <c r="F33" s="95">
        <v>12</v>
      </c>
      <c r="G33" s="95">
        <v>12</v>
      </c>
      <c r="H33" s="95">
        <v>16</v>
      </c>
      <c r="I33" s="95">
        <v>16</v>
      </c>
      <c r="J33" s="95">
        <v>17</v>
      </c>
      <c r="K33" s="95">
        <v>16</v>
      </c>
      <c r="L33" s="95">
        <v>17</v>
      </c>
      <c r="M33" s="95">
        <v>16</v>
      </c>
      <c r="N33" s="95">
        <v>18</v>
      </c>
      <c r="O33" s="95">
        <v>20</v>
      </c>
      <c r="P33" s="95">
        <v>25</v>
      </c>
      <c r="Q33" s="95">
        <v>35</v>
      </c>
      <c r="R33" s="95">
        <v>39</v>
      </c>
      <c r="S33" s="95">
        <v>47</v>
      </c>
      <c r="T33" s="96">
        <v>53</v>
      </c>
      <c r="U33" s="96">
        <v>60</v>
      </c>
      <c r="V33" s="96">
        <v>67</v>
      </c>
      <c r="W33" s="188">
        <v>73</v>
      </c>
      <c r="X33" s="188">
        <v>78</v>
      </c>
      <c r="Y33" s="188">
        <v>82</v>
      </c>
      <c r="Z33" s="188">
        <v>81</v>
      </c>
      <c r="AA33" s="188">
        <v>87</v>
      </c>
    </row>
    <row r="34" spans="1:27" x14ac:dyDescent="0.25">
      <c r="A34" s="94" t="s">
        <v>337</v>
      </c>
      <c r="B34" s="192" t="s">
        <v>10465</v>
      </c>
      <c r="C34" s="95">
        <v>22</v>
      </c>
      <c r="D34" s="95">
        <v>16</v>
      </c>
      <c r="E34" s="95">
        <v>17</v>
      </c>
      <c r="F34" s="95">
        <v>16</v>
      </c>
      <c r="G34" s="95">
        <v>17</v>
      </c>
      <c r="H34" s="95">
        <v>16</v>
      </c>
      <c r="I34" s="95">
        <v>16</v>
      </c>
      <c r="J34" s="95">
        <v>16</v>
      </c>
      <c r="K34" s="95">
        <v>17</v>
      </c>
      <c r="L34" s="95">
        <v>18</v>
      </c>
      <c r="M34" s="95">
        <v>20</v>
      </c>
      <c r="N34" s="95">
        <v>20</v>
      </c>
      <c r="O34" s="95">
        <v>23</v>
      </c>
      <c r="P34" s="95">
        <v>26</v>
      </c>
      <c r="Q34" s="95">
        <v>34</v>
      </c>
      <c r="R34" s="95">
        <v>39</v>
      </c>
      <c r="S34" s="95">
        <v>44</v>
      </c>
      <c r="T34" s="96">
        <v>46</v>
      </c>
      <c r="U34" s="96">
        <v>50</v>
      </c>
      <c r="V34" s="96">
        <v>65</v>
      </c>
      <c r="W34" s="188">
        <v>71</v>
      </c>
      <c r="X34" s="188">
        <v>73</v>
      </c>
      <c r="Y34" s="188">
        <v>72</v>
      </c>
      <c r="Z34" s="188">
        <v>76</v>
      </c>
      <c r="AA34" s="188">
        <v>81</v>
      </c>
    </row>
    <row r="35" spans="1:27" x14ac:dyDescent="0.25">
      <c r="A35" s="94" t="s">
        <v>272</v>
      </c>
      <c r="B35" s="192" t="s">
        <v>10466</v>
      </c>
      <c r="C35" s="95">
        <v>19</v>
      </c>
      <c r="D35" s="95">
        <v>17</v>
      </c>
      <c r="E35" s="95">
        <v>17</v>
      </c>
      <c r="F35" s="95">
        <v>16</v>
      </c>
      <c r="G35" s="95">
        <v>16</v>
      </c>
      <c r="H35" s="95">
        <v>14</v>
      </c>
      <c r="I35" s="95">
        <v>14</v>
      </c>
      <c r="J35" s="95">
        <v>15</v>
      </c>
      <c r="K35" s="95">
        <v>16</v>
      </c>
      <c r="L35" s="95">
        <v>17</v>
      </c>
      <c r="M35" s="95">
        <v>19</v>
      </c>
      <c r="N35" s="95">
        <v>21</v>
      </c>
      <c r="O35" s="95">
        <v>25</v>
      </c>
      <c r="P35" s="95">
        <v>35</v>
      </c>
      <c r="Q35" s="95">
        <v>46</v>
      </c>
      <c r="R35" s="95">
        <v>63</v>
      </c>
      <c r="S35" s="95">
        <v>73</v>
      </c>
      <c r="T35" s="96">
        <v>88</v>
      </c>
      <c r="U35" s="96">
        <v>106</v>
      </c>
      <c r="V35" s="96">
        <v>125</v>
      </c>
      <c r="W35" s="188">
        <v>135</v>
      </c>
      <c r="X35" s="188">
        <v>140</v>
      </c>
      <c r="Y35" s="188">
        <v>156</v>
      </c>
      <c r="Z35" s="188">
        <v>154</v>
      </c>
      <c r="AA35" s="188">
        <v>161</v>
      </c>
    </row>
    <row r="36" spans="1:27" x14ac:dyDescent="0.25">
      <c r="A36" s="94" t="s">
        <v>192</v>
      </c>
      <c r="B36" s="192" t="s">
        <v>10467</v>
      </c>
      <c r="C36" s="95">
        <v>24</v>
      </c>
      <c r="D36" s="95">
        <v>22</v>
      </c>
      <c r="E36" s="95">
        <v>20</v>
      </c>
      <c r="F36" s="95">
        <v>22</v>
      </c>
      <c r="G36" s="95">
        <v>21</v>
      </c>
      <c r="H36" s="95">
        <v>21</v>
      </c>
      <c r="I36" s="95">
        <v>21</v>
      </c>
      <c r="J36" s="95">
        <v>21</v>
      </c>
      <c r="K36" s="95">
        <v>20</v>
      </c>
      <c r="L36" s="95">
        <v>22</v>
      </c>
      <c r="M36" s="95">
        <v>24</v>
      </c>
      <c r="N36" s="95">
        <v>31</v>
      </c>
      <c r="O36" s="95">
        <v>29</v>
      </c>
      <c r="P36" s="95">
        <v>37</v>
      </c>
      <c r="Q36" s="95">
        <v>49</v>
      </c>
      <c r="R36" s="95">
        <v>71</v>
      </c>
      <c r="S36" s="95">
        <v>96</v>
      </c>
      <c r="T36" s="96">
        <v>123</v>
      </c>
      <c r="U36" s="96">
        <v>146</v>
      </c>
      <c r="V36" s="96">
        <v>175</v>
      </c>
      <c r="W36" s="188">
        <v>186</v>
      </c>
      <c r="X36" s="188">
        <v>198</v>
      </c>
      <c r="Y36" s="188">
        <v>211</v>
      </c>
      <c r="Z36" s="188">
        <v>219</v>
      </c>
      <c r="AA36" s="188">
        <v>232</v>
      </c>
    </row>
    <row r="37" spans="1:27" x14ac:dyDescent="0.25">
      <c r="A37" s="94" t="s">
        <v>177</v>
      </c>
      <c r="B37" s="192" t="s">
        <v>10468</v>
      </c>
      <c r="C37" s="95">
        <v>26</v>
      </c>
      <c r="D37" s="95">
        <v>23</v>
      </c>
      <c r="E37" s="95">
        <v>23</v>
      </c>
      <c r="F37" s="95">
        <v>20</v>
      </c>
      <c r="G37" s="95">
        <v>22</v>
      </c>
      <c r="H37" s="95">
        <v>22</v>
      </c>
      <c r="I37" s="95">
        <v>23</v>
      </c>
      <c r="J37" s="95">
        <v>21</v>
      </c>
      <c r="K37" s="95">
        <v>20</v>
      </c>
      <c r="L37" s="95">
        <v>21</v>
      </c>
      <c r="M37" s="95">
        <v>26</v>
      </c>
      <c r="N37" s="95">
        <v>30</v>
      </c>
      <c r="O37" s="95">
        <v>38</v>
      </c>
      <c r="P37" s="95">
        <v>48</v>
      </c>
      <c r="Q37" s="95">
        <v>60</v>
      </c>
      <c r="R37" s="95">
        <v>71</v>
      </c>
      <c r="S37" s="95">
        <v>86</v>
      </c>
      <c r="T37" s="96">
        <v>110</v>
      </c>
      <c r="U37" s="96">
        <v>124</v>
      </c>
      <c r="V37" s="96">
        <v>143</v>
      </c>
      <c r="W37" s="188">
        <v>151</v>
      </c>
      <c r="X37" s="188">
        <v>155</v>
      </c>
      <c r="Y37" s="188">
        <v>161</v>
      </c>
      <c r="Z37" s="188">
        <v>159</v>
      </c>
      <c r="AA37" s="188">
        <v>169</v>
      </c>
    </row>
    <row r="38" spans="1:27" x14ac:dyDescent="0.25">
      <c r="A38" s="94" t="s">
        <v>63</v>
      </c>
      <c r="B38" s="192" t="s">
        <v>10380</v>
      </c>
      <c r="C38" s="95">
        <v>78</v>
      </c>
      <c r="D38" s="95">
        <v>83</v>
      </c>
      <c r="E38" s="95">
        <v>84</v>
      </c>
      <c r="F38" s="95">
        <v>86</v>
      </c>
      <c r="G38" s="95">
        <v>80</v>
      </c>
      <c r="H38" s="95">
        <v>82</v>
      </c>
      <c r="I38" s="95">
        <v>82</v>
      </c>
      <c r="J38" s="95">
        <v>77</v>
      </c>
      <c r="K38" s="95">
        <v>81</v>
      </c>
      <c r="L38" s="95">
        <v>84</v>
      </c>
      <c r="M38" s="95">
        <v>100</v>
      </c>
      <c r="N38" s="95">
        <v>123</v>
      </c>
      <c r="O38" s="95">
        <v>150</v>
      </c>
      <c r="P38" s="95">
        <v>193</v>
      </c>
      <c r="Q38" s="95">
        <v>255</v>
      </c>
      <c r="R38" s="95">
        <v>329</v>
      </c>
      <c r="S38" s="95">
        <v>394</v>
      </c>
      <c r="T38" s="96">
        <v>471</v>
      </c>
      <c r="U38" s="96">
        <v>532</v>
      </c>
      <c r="V38" s="96">
        <v>618</v>
      </c>
      <c r="W38" s="188">
        <v>666</v>
      </c>
      <c r="X38" s="188">
        <v>720</v>
      </c>
      <c r="Y38" s="188">
        <v>762</v>
      </c>
      <c r="Z38" s="188">
        <v>788</v>
      </c>
      <c r="AA38" s="188">
        <v>822</v>
      </c>
    </row>
    <row r="39" spans="1:27" x14ac:dyDescent="0.25">
      <c r="A39" s="94" t="s">
        <v>66</v>
      </c>
      <c r="B39" s="192" t="s">
        <v>10406</v>
      </c>
      <c r="C39" s="95">
        <v>51</v>
      </c>
      <c r="D39" s="95">
        <v>38</v>
      </c>
      <c r="E39" s="95">
        <v>38</v>
      </c>
      <c r="F39" s="95">
        <v>41</v>
      </c>
      <c r="G39" s="95">
        <v>43</v>
      </c>
      <c r="H39" s="95">
        <v>45</v>
      </c>
      <c r="I39" s="95">
        <v>46</v>
      </c>
      <c r="J39" s="95">
        <v>45</v>
      </c>
      <c r="K39" s="95">
        <v>50</v>
      </c>
      <c r="L39" s="95">
        <v>52</v>
      </c>
      <c r="M39" s="95">
        <v>61</v>
      </c>
      <c r="N39" s="95">
        <v>71</v>
      </c>
      <c r="O39" s="95">
        <v>94</v>
      </c>
      <c r="P39" s="95">
        <v>125</v>
      </c>
      <c r="Q39" s="95">
        <v>155</v>
      </c>
      <c r="R39" s="95">
        <v>207</v>
      </c>
      <c r="S39" s="95">
        <v>260</v>
      </c>
      <c r="T39" s="96">
        <v>330</v>
      </c>
      <c r="U39" s="96">
        <v>387</v>
      </c>
      <c r="V39" s="96">
        <v>443</v>
      </c>
      <c r="W39" s="188">
        <v>491</v>
      </c>
      <c r="X39" s="188">
        <v>544</v>
      </c>
      <c r="Y39" s="188">
        <v>578</v>
      </c>
      <c r="Z39" s="188">
        <v>597</v>
      </c>
      <c r="AA39" s="188">
        <v>613</v>
      </c>
    </row>
    <row r="40" spans="1:27" x14ac:dyDescent="0.25">
      <c r="A40" s="94" t="s">
        <v>486</v>
      </c>
      <c r="B40" s="192" t="s">
        <v>10469</v>
      </c>
      <c r="C40" s="95">
        <v>3</v>
      </c>
      <c r="D40" s="95">
        <v>3</v>
      </c>
      <c r="E40" s="95">
        <v>3</v>
      </c>
      <c r="F40" s="95">
        <v>3</v>
      </c>
      <c r="G40" s="95">
        <v>4</v>
      </c>
      <c r="H40" s="95">
        <v>4</v>
      </c>
      <c r="I40" s="95">
        <v>3</v>
      </c>
      <c r="J40" s="95">
        <v>3</v>
      </c>
      <c r="K40" s="95">
        <v>3</v>
      </c>
      <c r="L40" s="95">
        <v>3</v>
      </c>
      <c r="M40" s="95">
        <v>3</v>
      </c>
      <c r="N40" s="95">
        <v>3</v>
      </c>
      <c r="O40" s="95">
        <v>7</v>
      </c>
      <c r="P40" s="95">
        <v>8</v>
      </c>
      <c r="Q40" s="95">
        <v>10</v>
      </c>
      <c r="R40" s="95">
        <v>11</v>
      </c>
      <c r="S40" s="95">
        <v>15</v>
      </c>
      <c r="T40" s="96">
        <v>22</v>
      </c>
      <c r="U40" s="96">
        <v>26</v>
      </c>
      <c r="V40" s="96">
        <v>29</v>
      </c>
      <c r="W40" s="188">
        <v>31</v>
      </c>
      <c r="X40" s="188">
        <v>34</v>
      </c>
      <c r="Y40" s="188">
        <v>33</v>
      </c>
      <c r="Z40" s="188">
        <v>33</v>
      </c>
      <c r="AA40" s="188">
        <v>33</v>
      </c>
    </row>
    <row r="41" spans="1:27" x14ac:dyDescent="0.25">
      <c r="A41" s="94" t="s">
        <v>93</v>
      </c>
      <c r="B41" s="192" t="s">
        <v>10408</v>
      </c>
      <c r="C41" s="95">
        <v>87</v>
      </c>
      <c r="D41" s="95">
        <v>74</v>
      </c>
      <c r="E41" s="95">
        <v>64</v>
      </c>
      <c r="F41" s="95">
        <v>59</v>
      </c>
      <c r="G41" s="95">
        <v>55</v>
      </c>
      <c r="H41" s="95">
        <v>53</v>
      </c>
      <c r="I41" s="95">
        <v>57</v>
      </c>
      <c r="J41" s="95">
        <v>58</v>
      </c>
      <c r="K41" s="95">
        <v>66</v>
      </c>
      <c r="L41" s="95">
        <v>66</v>
      </c>
      <c r="M41" s="95">
        <v>75</v>
      </c>
      <c r="N41" s="95">
        <v>81</v>
      </c>
      <c r="O41" s="95">
        <v>99</v>
      </c>
      <c r="P41" s="95">
        <v>114</v>
      </c>
      <c r="Q41" s="95">
        <v>151</v>
      </c>
      <c r="R41" s="95">
        <v>187</v>
      </c>
      <c r="S41" s="95">
        <v>236</v>
      </c>
      <c r="T41" s="96">
        <v>324</v>
      </c>
      <c r="U41" s="96">
        <v>377</v>
      </c>
      <c r="V41" s="96">
        <v>437</v>
      </c>
      <c r="W41" s="188">
        <v>482</v>
      </c>
      <c r="X41" s="188">
        <v>525</v>
      </c>
      <c r="Y41" s="188">
        <v>563</v>
      </c>
      <c r="Z41" s="188">
        <v>602</v>
      </c>
      <c r="AA41" s="188">
        <v>625</v>
      </c>
    </row>
    <row r="42" spans="1:27" x14ac:dyDescent="0.25">
      <c r="A42" s="94" t="s">
        <v>348</v>
      </c>
      <c r="B42" s="192" t="s">
        <v>10470</v>
      </c>
      <c r="C42" s="95">
        <v>9</v>
      </c>
      <c r="D42" s="95">
        <v>6</v>
      </c>
      <c r="E42" s="95">
        <v>6</v>
      </c>
      <c r="F42" s="95">
        <v>6</v>
      </c>
      <c r="G42" s="95">
        <v>7</v>
      </c>
      <c r="H42" s="95">
        <v>8</v>
      </c>
      <c r="I42" s="95">
        <v>7</v>
      </c>
      <c r="J42" s="95">
        <v>6</v>
      </c>
      <c r="K42" s="95">
        <v>9</v>
      </c>
      <c r="L42" s="95">
        <v>10</v>
      </c>
      <c r="M42" s="95">
        <v>10</v>
      </c>
      <c r="N42" s="95">
        <v>10</v>
      </c>
      <c r="O42" s="95">
        <v>13</v>
      </c>
      <c r="P42" s="95">
        <v>17</v>
      </c>
      <c r="Q42" s="95">
        <v>18</v>
      </c>
      <c r="R42" s="95">
        <v>21</v>
      </c>
      <c r="S42" s="95">
        <v>26</v>
      </c>
      <c r="T42" s="96">
        <v>43</v>
      </c>
      <c r="U42" s="96">
        <v>55</v>
      </c>
      <c r="V42" s="96">
        <v>76</v>
      </c>
      <c r="W42" s="188">
        <v>88</v>
      </c>
      <c r="X42" s="188">
        <v>95</v>
      </c>
      <c r="Y42" s="188">
        <v>102</v>
      </c>
      <c r="Z42" s="188">
        <v>108</v>
      </c>
      <c r="AA42" s="188">
        <v>114</v>
      </c>
    </row>
    <row r="43" spans="1:27" x14ac:dyDescent="0.25">
      <c r="A43" s="94" t="s">
        <v>78</v>
      </c>
      <c r="B43" s="192" t="s">
        <v>10409</v>
      </c>
      <c r="C43" s="95">
        <v>82</v>
      </c>
      <c r="D43" s="95">
        <v>82</v>
      </c>
      <c r="E43" s="95">
        <v>81</v>
      </c>
      <c r="F43" s="95">
        <v>87</v>
      </c>
      <c r="G43" s="95">
        <v>92</v>
      </c>
      <c r="H43" s="95">
        <v>88</v>
      </c>
      <c r="I43" s="95">
        <v>95</v>
      </c>
      <c r="J43" s="95">
        <v>96</v>
      </c>
      <c r="K43" s="95">
        <v>108</v>
      </c>
      <c r="L43" s="95">
        <v>108</v>
      </c>
      <c r="M43" s="95">
        <v>120</v>
      </c>
      <c r="N43" s="95">
        <v>148</v>
      </c>
      <c r="O43" s="95">
        <v>180</v>
      </c>
      <c r="P43" s="95">
        <v>220</v>
      </c>
      <c r="Q43" s="95">
        <v>244</v>
      </c>
      <c r="R43" s="95">
        <v>281</v>
      </c>
      <c r="S43" s="95">
        <v>304</v>
      </c>
      <c r="T43" s="96">
        <v>347</v>
      </c>
      <c r="U43" s="96">
        <v>386</v>
      </c>
      <c r="V43" s="96">
        <v>406</v>
      </c>
      <c r="W43" s="188">
        <v>428</v>
      </c>
      <c r="X43" s="188">
        <v>441</v>
      </c>
      <c r="Y43" s="188">
        <v>451</v>
      </c>
      <c r="Z43" s="188">
        <v>459</v>
      </c>
      <c r="AA43" s="188">
        <v>459</v>
      </c>
    </row>
    <row r="44" spans="1:27" x14ac:dyDescent="0.25">
      <c r="A44" s="94" t="s">
        <v>50</v>
      </c>
      <c r="B44" s="192" t="s">
        <v>10471</v>
      </c>
      <c r="C44" s="95">
        <v>73</v>
      </c>
      <c r="D44" s="95">
        <v>81</v>
      </c>
      <c r="E44" s="95">
        <v>76</v>
      </c>
      <c r="F44" s="95">
        <v>78</v>
      </c>
      <c r="G44" s="95">
        <v>86</v>
      </c>
      <c r="H44" s="95">
        <v>78</v>
      </c>
      <c r="I44" s="95">
        <v>81</v>
      </c>
      <c r="J44" s="95">
        <v>94</v>
      </c>
      <c r="K44" s="95">
        <v>97</v>
      </c>
      <c r="L44" s="95">
        <v>96</v>
      </c>
      <c r="M44" s="95">
        <v>118</v>
      </c>
      <c r="N44" s="95">
        <v>146</v>
      </c>
      <c r="O44" s="95">
        <v>162</v>
      </c>
      <c r="P44" s="95">
        <v>183</v>
      </c>
      <c r="Q44" s="95">
        <v>233</v>
      </c>
      <c r="R44" s="95">
        <v>278</v>
      </c>
      <c r="S44" s="95">
        <v>333</v>
      </c>
      <c r="T44" s="96">
        <v>411</v>
      </c>
      <c r="U44" s="96">
        <v>472</v>
      </c>
      <c r="V44" s="96">
        <v>560</v>
      </c>
      <c r="W44" s="188">
        <v>619</v>
      </c>
      <c r="X44" s="188">
        <v>712</v>
      </c>
      <c r="Y44" s="188">
        <v>761</v>
      </c>
      <c r="Z44" s="188">
        <v>819</v>
      </c>
      <c r="AA44" s="188">
        <v>854</v>
      </c>
    </row>
    <row r="45" spans="1:27" x14ac:dyDescent="0.25">
      <c r="A45" s="94" t="s">
        <v>105</v>
      </c>
      <c r="B45" s="192" t="s">
        <v>10472</v>
      </c>
      <c r="C45" s="95">
        <v>8</v>
      </c>
      <c r="D45" s="95">
        <v>7</v>
      </c>
      <c r="E45" s="95">
        <v>7</v>
      </c>
      <c r="F45" s="95">
        <v>6</v>
      </c>
      <c r="G45" s="95">
        <v>6</v>
      </c>
      <c r="H45" s="95">
        <v>5</v>
      </c>
      <c r="I45" s="95">
        <v>5</v>
      </c>
      <c r="J45" s="95">
        <v>5</v>
      </c>
      <c r="K45" s="95">
        <v>5</v>
      </c>
      <c r="L45" s="95">
        <v>5</v>
      </c>
      <c r="M45" s="95">
        <v>5</v>
      </c>
      <c r="N45" s="95">
        <v>6</v>
      </c>
      <c r="O45" s="95">
        <v>9</v>
      </c>
      <c r="P45" s="95">
        <v>12</v>
      </c>
      <c r="Q45" s="95">
        <v>14</v>
      </c>
      <c r="R45" s="95">
        <v>15</v>
      </c>
      <c r="S45" s="95">
        <v>17</v>
      </c>
      <c r="T45" s="96">
        <v>27</v>
      </c>
      <c r="U45" s="96">
        <v>33</v>
      </c>
      <c r="V45" s="96">
        <v>40</v>
      </c>
      <c r="W45" s="188">
        <v>51</v>
      </c>
      <c r="X45" s="188">
        <v>52</v>
      </c>
      <c r="Y45" s="188">
        <v>54</v>
      </c>
      <c r="Z45" s="188">
        <v>55</v>
      </c>
      <c r="AA45" s="188">
        <v>54</v>
      </c>
    </row>
    <row r="46" spans="1:27" x14ac:dyDescent="0.25">
      <c r="A46" s="94" t="s">
        <v>394</v>
      </c>
      <c r="B46" s="192" t="s">
        <v>10473</v>
      </c>
      <c r="C46" s="95">
        <v>19</v>
      </c>
      <c r="D46" s="95">
        <v>19</v>
      </c>
      <c r="E46" s="95">
        <v>19</v>
      </c>
      <c r="F46" s="95">
        <v>21</v>
      </c>
      <c r="G46" s="95">
        <v>21</v>
      </c>
      <c r="H46" s="95">
        <v>19</v>
      </c>
      <c r="I46" s="95">
        <v>16</v>
      </c>
      <c r="J46" s="95">
        <v>17</v>
      </c>
      <c r="K46" s="95">
        <v>16</v>
      </c>
      <c r="L46" s="95">
        <v>15</v>
      </c>
      <c r="M46" s="95">
        <v>16</v>
      </c>
      <c r="N46" s="95">
        <v>17</v>
      </c>
      <c r="O46" s="95">
        <v>23</v>
      </c>
      <c r="P46" s="95">
        <v>30</v>
      </c>
      <c r="Q46" s="95">
        <v>37</v>
      </c>
      <c r="R46" s="95">
        <v>51</v>
      </c>
      <c r="S46" s="95">
        <v>59</v>
      </c>
      <c r="T46" s="96">
        <v>84</v>
      </c>
      <c r="U46" s="96">
        <v>94</v>
      </c>
      <c r="V46" s="96">
        <v>115</v>
      </c>
      <c r="W46" s="188">
        <v>131</v>
      </c>
      <c r="X46" s="188">
        <v>149</v>
      </c>
      <c r="Y46" s="188">
        <v>164</v>
      </c>
      <c r="Z46" s="188">
        <v>172</v>
      </c>
      <c r="AA46" s="188">
        <v>178</v>
      </c>
    </row>
    <row r="47" spans="1:27" x14ac:dyDescent="0.25">
      <c r="A47" s="94" t="s">
        <v>1200</v>
      </c>
      <c r="B47" s="192" t="s">
        <v>10474</v>
      </c>
      <c r="C47" s="95">
        <v>7</v>
      </c>
      <c r="D47" s="95">
        <v>6</v>
      </c>
      <c r="E47" s="95">
        <v>7</v>
      </c>
      <c r="F47" s="95">
        <v>7</v>
      </c>
      <c r="G47" s="95">
        <v>6</v>
      </c>
      <c r="H47" s="95">
        <v>6</v>
      </c>
      <c r="I47" s="95">
        <v>7</v>
      </c>
      <c r="J47" s="95">
        <v>8</v>
      </c>
      <c r="K47" s="95">
        <v>7</v>
      </c>
      <c r="L47" s="95">
        <v>7</v>
      </c>
      <c r="M47" s="95">
        <v>8</v>
      </c>
      <c r="N47" s="95">
        <v>9</v>
      </c>
      <c r="O47" s="95">
        <v>12</v>
      </c>
      <c r="P47" s="95">
        <v>12</v>
      </c>
      <c r="Q47" s="95">
        <v>15</v>
      </c>
      <c r="R47" s="95">
        <v>19</v>
      </c>
      <c r="S47" s="95">
        <v>21</v>
      </c>
      <c r="T47" s="96">
        <v>28</v>
      </c>
      <c r="U47" s="96">
        <v>35</v>
      </c>
      <c r="V47" s="96">
        <v>45</v>
      </c>
      <c r="W47" s="188">
        <v>58</v>
      </c>
      <c r="X47" s="188">
        <v>63</v>
      </c>
      <c r="Y47" s="188">
        <v>64</v>
      </c>
      <c r="Z47" s="188">
        <v>68</v>
      </c>
      <c r="AA47" s="188">
        <v>70</v>
      </c>
    </row>
    <row r="48" spans="1:27" x14ac:dyDescent="0.25">
      <c r="A48" s="94" t="s">
        <v>264</v>
      </c>
      <c r="B48" s="192" t="s">
        <v>10475</v>
      </c>
      <c r="C48" s="95">
        <v>23</v>
      </c>
      <c r="D48" s="95">
        <v>23</v>
      </c>
      <c r="E48" s="95">
        <v>22</v>
      </c>
      <c r="F48" s="95">
        <v>22</v>
      </c>
      <c r="G48" s="95">
        <v>24</v>
      </c>
      <c r="H48" s="95">
        <v>19</v>
      </c>
      <c r="I48" s="95">
        <v>19</v>
      </c>
      <c r="J48" s="95">
        <v>22</v>
      </c>
      <c r="K48" s="95">
        <v>23</v>
      </c>
      <c r="L48" s="95">
        <v>23</v>
      </c>
      <c r="M48" s="95">
        <v>26</v>
      </c>
      <c r="N48" s="95">
        <v>31</v>
      </c>
      <c r="O48" s="95">
        <v>45</v>
      </c>
      <c r="P48" s="95">
        <v>51</v>
      </c>
      <c r="Q48" s="95">
        <v>69</v>
      </c>
      <c r="R48" s="95">
        <v>88</v>
      </c>
      <c r="S48" s="95">
        <v>101</v>
      </c>
      <c r="T48" s="96">
        <v>120</v>
      </c>
      <c r="U48" s="96">
        <v>140</v>
      </c>
      <c r="V48" s="96">
        <v>174</v>
      </c>
      <c r="W48" s="188">
        <v>196</v>
      </c>
      <c r="X48" s="188">
        <v>205</v>
      </c>
      <c r="Y48" s="188">
        <v>220</v>
      </c>
      <c r="Z48" s="188">
        <v>232</v>
      </c>
      <c r="AA48" s="188">
        <v>243</v>
      </c>
    </row>
    <row r="49" spans="1:27" x14ac:dyDescent="0.25">
      <c r="A49" s="94" t="s">
        <v>59</v>
      </c>
      <c r="B49" s="192" t="s">
        <v>10390</v>
      </c>
      <c r="C49" s="95">
        <v>59</v>
      </c>
      <c r="D49" s="95">
        <v>47</v>
      </c>
      <c r="E49" s="95">
        <v>42</v>
      </c>
      <c r="F49" s="95">
        <v>41</v>
      </c>
      <c r="G49" s="95">
        <v>40</v>
      </c>
      <c r="H49" s="95">
        <v>45</v>
      </c>
      <c r="I49" s="95">
        <v>47</v>
      </c>
      <c r="J49" s="95">
        <v>45</v>
      </c>
      <c r="K49" s="95">
        <v>47</v>
      </c>
      <c r="L49" s="95">
        <v>47</v>
      </c>
      <c r="M49" s="95">
        <v>59</v>
      </c>
      <c r="N49" s="95">
        <v>84</v>
      </c>
      <c r="O49" s="95">
        <v>107</v>
      </c>
      <c r="P49" s="95">
        <v>128</v>
      </c>
      <c r="Q49" s="95">
        <v>170</v>
      </c>
      <c r="R49" s="95">
        <v>220</v>
      </c>
      <c r="S49" s="95">
        <v>266</v>
      </c>
      <c r="T49" s="96">
        <v>333</v>
      </c>
      <c r="U49" s="96">
        <v>387</v>
      </c>
      <c r="V49" s="96">
        <v>466</v>
      </c>
      <c r="W49" s="188">
        <v>526</v>
      </c>
      <c r="X49" s="188">
        <v>581</v>
      </c>
      <c r="Y49" s="188">
        <v>618</v>
      </c>
      <c r="Z49" s="188">
        <v>650</v>
      </c>
      <c r="AA49" s="188">
        <v>688</v>
      </c>
    </row>
    <row r="50" spans="1:27" x14ac:dyDescent="0.25">
      <c r="A50" s="94" t="s">
        <v>517</v>
      </c>
      <c r="B50" s="192" t="s">
        <v>10476</v>
      </c>
      <c r="C50" s="95">
        <v>20</v>
      </c>
      <c r="D50" s="95">
        <v>16</v>
      </c>
      <c r="E50" s="95">
        <v>17</v>
      </c>
      <c r="F50" s="95">
        <v>15</v>
      </c>
      <c r="G50" s="95">
        <v>16</v>
      </c>
      <c r="H50" s="95">
        <v>15</v>
      </c>
      <c r="I50" s="95">
        <v>17</v>
      </c>
      <c r="J50" s="95">
        <v>15</v>
      </c>
      <c r="K50" s="95">
        <v>15</v>
      </c>
      <c r="L50" s="95">
        <v>18</v>
      </c>
      <c r="M50" s="95">
        <v>18</v>
      </c>
      <c r="N50" s="95">
        <v>18</v>
      </c>
      <c r="O50" s="95">
        <v>22</v>
      </c>
      <c r="P50" s="95">
        <v>24</v>
      </c>
      <c r="Q50" s="95">
        <v>27</v>
      </c>
      <c r="R50" s="95">
        <v>29</v>
      </c>
      <c r="S50" s="95">
        <v>34</v>
      </c>
      <c r="T50" s="96">
        <v>39</v>
      </c>
      <c r="U50" s="96">
        <v>46</v>
      </c>
      <c r="V50" s="96">
        <v>54</v>
      </c>
      <c r="W50" s="188">
        <v>54</v>
      </c>
      <c r="X50" s="188">
        <v>55</v>
      </c>
      <c r="Y50" s="188">
        <v>61</v>
      </c>
      <c r="Z50" s="188">
        <v>65</v>
      </c>
      <c r="AA50" s="188">
        <v>66</v>
      </c>
    </row>
    <row r="51" spans="1:27" x14ac:dyDescent="0.25">
      <c r="A51" s="94" t="s">
        <v>118</v>
      </c>
      <c r="B51" s="192" t="s">
        <v>10382</v>
      </c>
      <c r="C51" s="95">
        <v>23</v>
      </c>
      <c r="D51" s="95">
        <v>19</v>
      </c>
      <c r="E51" s="95">
        <v>25</v>
      </c>
      <c r="F51" s="95">
        <v>25</v>
      </c>
      <c r="G51" s="95">
        <v>26</v>
      </c>
      <c r="H51" s="95">
        <v>24</v>
      </c>
      <c r="I51" s="95">
        <v>24</v>
      </c>
      <c r="J51" s="95">
        <v>22</v>
      </c>
      <c r="K51" s="95">
        <v>24</v>
      </c>
      <c r="L51" s="95">
        <v>27</v>
      </c>
      <c r="M51" s="95">
        <v>32</v>
      </c>
      <c r="N51" s="95">
        <v>34</v>
      </c>
      <c r="O51" s="95">
        <v>39</v>
      </c>
      <c r="P51" s="95">
        <v>45</v>
      </c>
      <c r="Q51" s="95">
        <v>51</v>
      </c>
      <c r="R51" s="95">
        <v>66</v>
      </c>
      <c r="S51" s="95">
        <v>73</v>
      </c>
      <c r="T51" s="96">
        <v>84</v>
      </c>
      <c r="U51" s="96">
        <v>90</v>
      </c>
      <c r="V51" s="96">
        <v>100</v>
      </c>
      <c r="W51" s="188">
        <v>106</v>
      </c>
      <c r="X51" s="188">
        <v>111</v>
      </c>
      <c r="Y51" s="188">
        <v>117</v>
      </c>
      <c r="Z51" s="188">
        <v>118</v>
      </c>
      <c r="AA51" s="188">
        <v>118</v>
      </c>
    </row>
    <row r="52" spans="1:27" x14ac:dyDescent="0.25">
      <c r="A52" s="94" t="s">
        <v>277</v>
      </c>
      <c r="B52" s="192" t="s">
        <v>10403</v>
      </c>
      <c r="C52" s="95">
        <v>31</v>
      </c>
      <c r="D52" s="95">
        <v>29</v>
      </c>
      <c r="E52" s="95">
        <v>30</v>
      </c>
      <c r="F52" s="95">
        <v>30</v>
      </c>
      <c r="G52" s="95">
        <v>31</v>
      </c>
      <c r="H52" s="95">
        <v>34</v>
      </c>
      <c r="I52" s="95">
        <v>35</v>
      </c>
      <c r="J52" s="95">
        <v>35</v>
      </c>
      <c r="K52" s="95">
        <v>43</v>
      </c>
      <c r="L52" s="95">
        <v>42</v>
      </c>
      <c r="M52" s="95">
        <v>44</v>
      </c>
      <c r="N52" s="95">
        <v>54</v>
      </c>
      <c r="O52" s="95">
        <v>67</v>
      </c>
      <c r="P52" s="95">
        <v>85</v>
      </c>
      <c r="Q52" s="95">
        <v>117</v>
      </c>
      <c r="R52" s="95">
        <v>155</v>
      </c>
      <c r="S52" s="95">
        <v>209</v>
      </c>
      <c r="T52" s="96">
        <v>287</v>
      </c>
      <c r="U52" s="96">
        <v>328</v>
      </c>
      <c r="V52" s="96">
        <v>383</v>
      </c>
      <c r="W52" s="188">
        <v>420</v>
      </c>
      <c r="X52" s="188">
        <v>447</v>
      </c>
      <c r="Y52" s="188">
        <v>479</v>
      </c>
      <c r="Z52" s="188">
        <v>517</v>
      </c>
      <c r="AA52" s="188">
        <v>552</v>
      </c>
    </row>
    <row r="53" spans="1:27" x14ac:dyDescent="0.25">
      <c r="A53" s="94" t="s">
        <v>90</v>
      </c>
      <c r="B53" s="192" t="s">
        <v>10384</v>
      </c>
      <c r="C53" s="95">
        <v>113</v>
      </c>
      <c r="D53" s="95">
        <v>94</v>
      </c>
      <c r="E53" s="95">
        <v>94</v>
      </c>
      <c r="F53" s="95">
        <v>91</v>
      </c>
      <c r="G53" s="95">
        <v>93</v>
      </c>
      <c r="H53" s="95">
        <v>100</v>
      </c>
      <c r="I53" s="95">
        <v>108</v>
      </c>
      <c r="J53" s="95">
        <v>110</v>
      </c>
      <c r="K53" s="95">
        <v>121</v>
      </c>
      <c r="L53" s="95">
        <v>138</v>
      </c>
      <c r="M53" s="95">
        <v>157</v>
      </c>
      <c r="N53" s="95">
        <v>188</v>
      </c>
      <c r="O53" s="95">
        <v>230</v>
      </c>
      <c r="P53" s="95">
        <v>266</v>
      </c>
      <c r="Q53" s="95">
        <v>314</v>
      </c>
      <c r="R53" s="95">
        <v>383</v>
      </c>
      <c r="S53" s="95">
        <v>424</v>
      </c>
      <c r="T53" s="96">
        <v>499</v>
      </c>
      <c r="U53" s="96">
        <v>540</v>
      </c>
      <c r="V53" s="96">
        <v>600</v>
      </c>
      <c r="W53" s="188">
        <v>627</v>
      </c>
      <c r="X53" s="188">
        <v>667</v>
      </c>
      <c r="Y53" s="188">
        <v>692</v>
      </c>
      <c r="Z53" s="188">
        <v>694</v>
      </c>
      <c r="AA53" s="188">
        <v>719</v>
      </c>
    </row>
    <row r="54" spans="1:27" x14ac:dyDescent="0.25">
      <c r="A54" s="94" t="s">
        <v>774</v>
      </c>
      <c r="B54" s="192" t="s">
        <v>10477</v>
      </c>
      <c r="C54" s="95">
        <v>6</v>
      </c>
      <c r="D54" s="95">
        <v>4</v>
      </c>
      <c r="E54" s="95">
        <v>5</v>
      </c>
      <c r="F54" s="95">
        <v>5</v>
      </c>
      <c r="G54" s="95">
        <v>4</v>
      </c>
      <c r="H54" s="95">
        <v>4</v>
      </c>
      <c r="I54" s="95">
        <v>6</v>
      </c>
      <c r="J54" s="95">
        <v>6</v>
      </c>
      <c r="K54" s="95">
        <v>6</v>
      </c>
      <c r="L54" s="95">
        <v>8</v>
      </c>
      <c r="M54" s="95">
        <v>8</v>
      </c>
      <c r="N54" s="95">
        <v>8</v>
      </c>
      <c r="O54" s="95">
        <v>8</v>
      </c>
      <c r="P54" s="95">
        <v>9</v>
      </c>
      <c r="Q54" s="95">
        <v>13</v>
      </c>
      <c r="R54" s="95">
        <v>17</v>
      </c>
      <c r="S54" s="95">
        <v>24</v>
      </c>
      <c r="T54" s="96">
        <v>27</v>
      </c>
      <c r="U54" s="96">
        <v>32</v>
      </c>
      <c r="V54" s="96">
        <v>34</v>
      </c>
      <c r="W54" s="188">
        <v>35</v>
      </c>
      <c r="X54" s="188">
        <v>38</v>
      </c>
      <c r="Y54" s="188">
        <v>40</v>
      </c>
      <c r="Z54" s="188">
        <v>43</v>
      </c>
      <c r="AA54" s="188">
        <v>45</v>
      </c>
    </row>
    <row r="55" spans="1:27" x14ac:dyDescent="0.25">
      <c r="A55" s="94" t="s">
        <v>75</v>
      </c>
      <c r="B55" s="192" t="s">
        <v>10416</v>
      </c>
      <c r="C55" s="95">
        <v>91</v>
      </c>
      <c r="D55" s="95">
        <v>82</v>
      </c>
      <c r="E55" s="95">
        <v>90</v>
      </c>
      <c r="F55" s="95">
        <v>90</v>
      </c>
      <c r="G55" s="95">
        <v>97</v>
      </c>
      <c r="H55" s="95">
        <v>98</v>
      </c>
      <c r="I55" s="95">
        <v>103</v>
      </c>
      <c r="J55" s="95">
        <v>105</v>
      </c>
      <c r="K55" s="95">
        <v>110</v>
      </c>
      <c r="L55" s="95">
        <v>108</v>
      </c>
      <c r="M55" s="95">
        <v>119</v>
      </c>
      <c r="N55" s="95">
        <v>126</v>
      </c>
      <c r="O55" s="95">
        <v>146</v>
      </c>
      <c r="P55" s="95">
        <v>146</v>
      </c>
      <c r="Q55" s="95">
        <v>168</v>
      </c>
      <c r="R55" s="95">
        <v>189</v>
      </c>
      <c r="S55" s="95">
        <v>217</v>
      </c>
      <c r="T55" s="96">
        <v>261</v>
      </c>
      <c r="U55" s="96">
        <v>303</v>
      </c>
      <c r="V55" s="96">
        <v>346</v>
      </c>
      <c r="W55" s="188">
        <v>365</v>
      </c>
      <c r="X55" s="188">
        <v>374</v>
      </c>
      <c r="Y55" s="188">
        <v>391</v>
      </c>
      <c r="Z55" s="188">
        <v>407</v>
      </c>
      <c r="AA55" s="188">
        <v>419</v>
      </c>
    </row>
    <row r="56" spans="1:27" x14ac:dyDescent="0.25">
      <c r="A56" s="94" t="s">
        <v>222</v>
      </c>
      <c r="B56" s="194" t="s">
        <v>10478</v>
      </c>
      <c r="C56" s="95">
        <v>13</v>
      </c>
      <c r="D56" s="95">
        <v>11</v>
      </c>
      <c r="E56" s="95">
        <v>11</v>
      </c>
      <c r="F56" s="95">
        <v>11</v>
      </c>
      <c r="G56" s="95">
        <v>13</v>
      </c>
      <c r="H56" s="95">
        <v>14</v>
      </c>
      <c r="I56" s="95">
        <v>14</v>
      </c>
      <c r="J56" s="95">
        <v>14</v>
      </c>
      <c r="K56" s="95">
        <v>14</v>
      </c>
      <c r="L56" s="95">
        <v>13</v>
      </c>
      <c r="M56" s="95">
        <v>16</v>
      </c>
      <c r="N56" s="95">
        <v>15</v>
      </c>
      <c r="O56" s="95">
        <v>19</v>
      </c>
      <c r="P56" s="95">
        <v>25</v>
      </c>
      <c r="Q56" s="95">
        <v>28</v>
      </c>
      <c r="R56" s="95">
        <v>32</v>
      </c>
      <c r="S56" s="95">
        <v>33</v>
      </c>
      <c r="T56" s="96">
        <v>39</v>
      </c>
      <c r="U56" s="96">
        <v>44</v>
      </c>
      <c r="V56" s="96">
        <v>51</v>
      </c>
      <c r="W56" s="188">
        <v>51</v>
      </c>
      <c r="X56" s="188">
        <v>56</v>
      </c>
      <c r="Y56" s="188">
        <v>59</v>
      </c>
      <c r="Z56" s="188">
        <v>61</v>
      </c>
      <c r="AA56" s="188">
        <v>64</v>
      </c>
    </row>
    <row r="57" spans="1:27" x14ac:dyDescent="0.25">
      <c r="A57" s="193"/>
      <c r="B57" s="196"/>
      <c r="C57" s="98"/>
      <c r="D57" s="98"/>
      <c r="E57" s="98"/>
      <c r="F57" s="98"/>
      <c r="G57" s="98"/>
      <c r="H57" s="98"/>
      <c r="I57" s="98">
        <v>2</v>
      </c>
      <c r="J57" s="98">
        <v>2</v>
      </c>
      <c r="K57" s="98">
        <v>1</v>
      </c>
      <c r="L57" s="98">
        <v>2</v>
      </c>
      <c r="M57" s="98"/>
      <c r="N57" s="98">
        <v>2</v>
      </c>
      <c r="O57" s="98"/>
      <c r="P57" s="98"/>
      <c r="Q57" s="98"/>
      <c r="R57" s="98"/>
      <c r="S57" s="99"/>
      <c r="T57" s="93"/>
      <c r="U57" s="93"/>
      <c r="V57" s="93"/>
      <c r="W57" s="32"/>
      <c r="X57" s="93"/>
      <c r="Y57" s="93"/>
      <c r="Z57" s="93"/>
    </row>
    <row r="58" spans="1:27" x14ac:dyDescent="0.25">
      <c r="A58" s="100" t="s">
        <v>10486</v>
      </c>
      <c r="B58" s="195"/>
      <c r="C58" s="101">
        <f t="shared" ref="C58:X58" si="0">SUM(C6:C56)</f>
        <v>1964</v>
      </c>
      <c r="D58" s="101">
        <f t="shared" si="0"/>
        <v>1817</v>
      </c>
      <c r="E58" s="101">
        <f t="shared" si="0"/>
        <v>1794</v>
      </c>
      <c r="F58" s="101">
        <f t="shared" si="0"/>
        <v>1791</v>
      </c>
      <c r="G58" s="101">
        <f t="shared" si="0"/>
        <v>1832</v>
      </c>
      <c r="H58" s="101">
        <f t="shared" si="0"/>
        <v>1821</v>
      </c>
      <c r="I58" s="101">
        <f t="shared" si="0"/>
        <v>1865</v>
      </c>
      <c r="J58" s="101">
        <f t="shared" si="0"/>
        <v>1933</v>
      </c>
      <c r="K58" s="101">
        <f t="shared" si="0"/>
        <v>2045</v>
      </c>
      <c r="L58" s="101">
        <f t="shared" si="0"/>
        <v>2129</v>
      </c>
      <c r="M58" s="101">
        <f t="shared" si="0"/>
        <v>2343</v>
      </c>
      <c r="N58" s="101">
        <f t="shared" si="0"/>
        <v>2725</v>
      </c>
      <c r="O58" s="101">
        <f t="shared" si="0"/>
        <v>3312</v>
      </c>
      <c r="P58" s="101">
        <f t="shared" si="0"/>
        <v>3934</v>
      </c>
      <c r="Q58" s="101">
        <f t="shared" si="0"/>
        <v>4938</v>
      </c>
      <c r="R58" s="101">
        <f t="shared" si="0"/>
        <v>6080</v>
      </c>
      <c r="S58" s="101">
        <f t="shared" si="0"/>
        <v>7190</v>
      </c>
      <c r="T58" s="101">
        <f t="shared" si="0"/>
        <v>8863</v>
      </c>
      <c r="U58" s="101">
        <f t="shared" si="0"/>
        <v>10115</v>
      </c>
      <c r="V58" s="101">
        <f t="shared" si="0"/>
        <v>11584</v>
      </c>
      <c r="W58" s="101">
        <f t="shared" si="0"/>
        <v>12532</v>
      </c>
      <c r="X58" s="101">
        <f t="shared" si="0"/>
        <v>13380</v>
      </c>
      <c r="Y58" s="101">
        <f>SUM(Y6:Y56)</f>
        <v>14112</v>
      </c>
      <c r="Z58" s="101">
        <f>SUM(Z6:Z56)</f>
        <v>14597</v>
      </c>
    </row>
  </sheetData>
  <mergeCells count="2">
    <mergeCell ref="C1:X1"/>
    <mergeCell ref="C3:X3"/>
  </mergeCells>
  <pageMargins left="0.7" right="0.7" top="0.75" bottom="0.75" header="0.3" footer="0.3"/>
  <pageSetup orientation="portrait" horizontalDpi="90" verticalDpi="9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856EF-BBA4-4F42-94C9-257EFD83F4C4}">
  <dimension ref="A1:A483"/>
  <sheetViews>
    <sheetView topLeftCell="A233" workbookViewId="0">
      <selection activeCell="A251" sqref="A251"/>
    </sheetView>
  </sheetViews>
  <sheetFormatPr defaultRowHeight="15" x14ac:dyDescent="0.25"/>
  <cols>
    <col min="1" max="1" width="57.7109375" customWidth="1"/>
  </cols>
  <sheetData>
    <row r="1" spans="1:1" x14ac:dyDescent="0.25">
      <c r="A1" s="249" t="s">
        <v>10904</v>
      </c>
    </row>
    <row r="2" spans="1:1" x14ac:dyDescent="0.25">
      <c r="A2" s="249"/>
    </row>
    <row r="3" spans="1:1" x14ac:dyDescent="0.25">
      <c r="A3" s="249"/>
    </row>
    <row r="4" spans="1:1" ht="15.75" thickBot="1" x14ac:dyDescent="0.3">
      <c r="A4" s="250"/>
    </row>
    <row r="5" spans="1:1" x14ac:dyDescent="0.25">
      <c r="A5" t="s">
        <v>10489</v>
      </c>
    </row>
    <row r="6" spans="1:1" x14ac:dyDescent="0.25">
      <c r="A6" t="s">
        <v>10490</v>
      </c>
    </row>
    <row r="7" spans="1:1" x14ac:dyDescent="0.25">
      <c r="A7" t="s">
        <v>10914</v>
      </c>
    </row>
    <row r="8" spans="1:1" x14ac:dyDescent="0.25">
      <c r="A8" t="s">
        <v>10492</v>
      </c>
    </row>
    <row r="9" spans="1:1" x14ac:dyDescent="0.25">
      <c r="A9" t="s">
        <v>10493</v>
      </c>
    </row>
    <row r="10" spans="1:1" x14ac:dyDescent="0.25">
      <c r="A10" t="s">
        <v>8557</v>
      </c>
    </row>
    <row r="11" spans="1:1" x14ac:dyDescent="0.25">
      <c r="A11" t="s">
        <v>10494</v>
      </c>
    </row>
    <row r="12" spans="1:1" x14ac:dyDescent="0.25">
      <c r="A12" t="s">
        <v>8140</v>
      </c>
    </row>
    <row r="13" spans="1:1" x14ac:dyDescent="0.25">
      <c r="A13" t="s">
        <v>3275</v>
      </c>
    </row>
    <row r="14" spans="1:1" x14ac:dyDescent="0.25">
      <c r="A14" t="s">
        <v>10497</v>
      </c>
    </row>
    <row r="15" spans="1:1" x14ac:dyDescent="0.25">
      <c r="A15" t="s">
        <v>7047</v>
      </c>
    </row>
    <row r="16" spans="1:1" x14ac:dyDescent="0.25">
      <c r="A16" t="s">
        <v>10498</v>
      </c>
    </row>
    <row r="17" spans="1:1" x14ac:dyDescent="0.25">
      <c r="A17" t="s">
        <v>806</v>
      </c>
    </row>
    <row r="18" spans="1:1" x14ac:dyDescent="0.25">
      <c r="A18" t="s">
        <v>10499</v>
      </c>
    </row>
    <row r="19" spans="1:1" x14ac:dyDescent="0.25">
      <c r="A19" t="s">
        <v>9029</v>
      </c>
    </row>
    <row r="20" spans="1:1" x14ac:dyDescent="0.25">
      <c r="A20" t="s">
        <v>10500</v>
      </c>
    </row>
    <row r="21" spans="1:1" x14ac:dyDescent="0.25">
      <c r="A21" t="s">
        <v>2993</v>
      </c>
    </row>
    <row r="22" spans="1:1" x14ac:dyDescent="0.25">
      <c r="A22" t="s">
        <v>10501</v>
      </c>
    </row>
    <row r="23" spans="1:1" x14ac:dyDescent="0.25">
      <c r="A23" t="s">
        <v>10502</v>
      </c>
    </row>
    <row r="24" spans="1:1" x14ac:dyDescent="0.25">
      <c r="A24" t="s">
        <v>10503</v>
      </c>
    </row>
    <row r="25" spans="1:1" x14ac:dyDescent="0.25">
      <c r="A25" t="s">
        <v>6484</v>
      </c>
    </row>
    <row r="26" spans="1:1" x14ac:dyDescent="0.25">
      <c r="A26" t="s">
        <v>10505</v>
      </c>
    </row>
    <row r="27" spans="1:1" x14ac:dyDescent="0.25">
      <c r="A27" t="s">
        <v>10931</v>
      </c>
    </row>
    <row r="28" spans="1:1" x14ac:dyDescent="0.25">
      <c r="A28" t="s">
        <v>10509</v>
      </c>
    </row>
    <row r="29" spans="1:1" x14ac:dyDescent="0.25">
      <c r="A29" t="s">
        <v>7885</v>
      </c>
    </row>
    <row r="30" spans="1:1" x14ac:dyDescent="0.25">
      <c r="A30" t="s">
        <v>4223</v>
      </c>
    </row>
    <row r="31" spans="1:1" x14ac:dyDescent="0.25">
      <c r="A31" t="s">
        <v>10510</v>
      </c>
    </row>
    <row r="32" spans="1:1" x14ac:dyDescent="0.25">
      <c r="A32" t="s">
        <v>10511</v>
      </c>
    </row>
    <row r="33" spans="1:1" x14ac:dyDescent="0.25">
      <c r="A33" t="s">
        <v>8142</v>
      </c>
    </row>
    <row r="34" spans="1:1" x14ac:dyDescent="0.25">
      <c r="A34" t="s">
        <v>4145</v>
      </c>
    </row>
    <row r="35" spans="1:1" x14ac:dyDescent="0.25">
      <c r="A35" t="s">
        <v>9628</v>
      </c>
    </row>
    <row r="36" spans="1:1" x14ac:dyDescent="0.25">
      <c r="A36" t="s">
        <v>64</v>
      </c>
    </row>
    <row r="37" spans="1:1" x14ac:dyDescent="0.25">
      <c r="A37" t="s">
        <v>10513</v>
      </c>
    </row>
    <row r="38" spans="1:1" x14ac:dyDescent="0.25">
      <c r="A38" t="s">
        <v>9642</v>
      </c>
    </row>
    <row r="39" spans="1:1" x14ac:dyDescent="0.25">
      <c r="A39" t="s">
        <v>10516</v>
      </c>
    </row>
    <row r="40" spans="1:1" x14ac:dyDescent="0.25">
      <c r="A40" t="s">
        <v>10517</v>
      </c>
    </row>
    <row r="41" spans="1:1" x14ac:dyDescent="0.25">
      <c r="A41" t="s">
        <v>8063</v>
      </c>
    </row>
    <row r="42" spans="1:1" x14ac:dyDescent="0.25">
      <c r="A42" t="s">
        <v>10518</v>
      </c>
    </row>
    <row r="43" spans="1:1" x14ac:dyDescent="0.25">
      <c r="A43" t="s">
        <v>10519</v>
      </c>
    </row>
    <row r="44" spans="1:1" x14ac:dyDescent="0.25">
      <c r="A44" t="s">
        <v>10520</v>
      </c>
    </row>
    <row r="45" spans="1:1" x14ac:dyDescent="0.25">
      <c r="A45" t="s">
        <v>10521</v>
      </c>
    </row>
    <row r="46" spans="1:1" x14ac:dyDescent="0.25">
      <c r="A46" t="s">
        <v>8622</v>
      </c>
    </row>
    <row r="47" spans="1:1" x14ac:dyDescent="0.25">
      <c r="A47" t="s">
        <v>9319</v>
      </c>
    </row>
    <row r="48" spans="1:1" x14ac:dyDescent="0.25">
      <c r="A48" t="s">
        <v>10524</v>
      </c>
    </row>
    <row r="49" spans="1:1" x14ac:dyDescent="0.25">
      <c r="A49" t="s">
        <v>10916</v>
      </c>
    </row>
    <row r="50" spans="1:1" x14ac:dyDescent="0.25">
      <c r="A50" t="s">
        <v>10527</v>
      </c>
    </row>
    <row r="51" spans="1:1" x14ac:dyDescent="0.25">
      <c r="A51" t="s">
        <v>10529</v>
      </c>
    </row>
    <row r="52" spans="1:1" x14ac:dyDescent="0.25">
      <c r="A52" t="s">
        <v>10530</v>
      </c>
    </row>
    <row r="53" spans="1:1" x14ac:dyDescent="0.25">
      <c r="A53" t="s">
        <v>10531</v>
      </c>
    </row>
    <row r="54" spans="1:1" x14ac:dyDescent="0.25">
      <c r="A54" t="s">
        <v>10532</v>
      </c>
    </row>
    <row r="55" spans="1:1" x14ac:dyDescent="0.25">
      <c r="A55" t="s">
        <v>8865</v>
      </c>
    </row>
    <row r="56" spans="1:1" x14ac:dyDescent="0.25">
      <c r="A56" t="s">
        <v>10536</v>
      </c>
    </row>
    <row r="57" spans="1:1" x14ac:dyDescent="0.25">
      <c r="A57" t="s">
        <v>446</v>
      </c>
    </row>
    <row r="58" spans="1:1" x14ac:dyDescent="0.25">
      <c r="A58" t="s">
        <v>10537</v>
      </c>
    </row>
    <row r="59" spans="1:1" x14ac:dyDescent="0.25">
      <c r="A59" t="s">
        <v>666</v>
      </c>
    </row>
    <row r="60" spans="1:1" x14ac:dyDescent="0.25">
      <c r="A60" t="s">
        <v>10539</v>
      </c>
    </row>
    <row r="61" spans="1:1" x14ac:dyDescent="0.25">
      <c r="A61" t="s">
        <v>10540</v>
      </c>
    </row>
    <row r="62" spans="1:1" x14ac:dyDescent="0.25">
      <c r="A62" t="s">
        <v>10541</v>
      </c>
    </row>
    <row r="63" spans="1:1" x14ac:dyDescent="0.25">
      <c r="A63" t="s">
        <v>10543</v>
      </c>
    </row>
    <row r="64" spans="1:1" x14ac:dyDescent="0.25">
      <c r="A64" t="s">
        <v>10545</v>
      </c>
    </row>
    <row r="65" spans="1:1" x14ac:dyDescent="0.25">
      <c r="A65" t="s">
        <v>9421</v>
      </c>
    </row>
    <row r="66" spans="1:1" x14ac:dyDescent="0.25">
      <c r="A66" t="s">
        <v>10547</v>
      </c>
    </row>
    <row r="67" spans="1:1" x14ac:dyDescent="0.25">
      <c r="A67" t="s">
        <v>9815</v>
      </c>
    </row>
    <row r="68" spans="1:1" x14ac:dyDescent="0.25">
      <c r="A68" t="s">
        <v>9729</v>
      </c>
    </row>
    <row r="69" spans="1:1" x14ac:dyDescent="0.25">
      <c r="A69" t="s">
        <v>10549</v>
      </c>
    </row>
    <row r="70" spans="1:1" x14ac:dyDescent="0.25">
      <c r="A70" t="s">
        <v>4127</v>
      </c>
    </row>
    <row r="71" spans="1:1" x14ac:dyDescent="0.25">
      <c r="A71" t="s">
        <v>10550</v>
      </c>
    </row>
    <row r="72" spans="1:1" x14ac:dyDescent="0.25">
      <c r="A72" t="s">
        <v>10552</v>
      </c>
    </row>
    <row r="73" spans="1:1" x14ac:dyDescent="0.25">
      <c r="A73" t="s">
        <v>6833</v>
      </c>
    </row>
    <row r="74" spans="1:1" x14ac:dyDescent="0.25">
      <c r="A74" t="s">
        <v>10553</v>
      </c>
    </row>
    <row r="75" spans="1:1" x14ac:dyDescent="0.25">
      <c r="A75" t="s">
        <v>849</v>
      </c>
    </row>
    <row r="76" spans="1:1" x14ac:dyDescent="0.25">
      <c r="A76" t="s">
        <v>10555</v>
      </c>
    </row>
    <row r="77" spans="1:1" x14ac:dyDescent="0.25">
      <c r="A77" t="s">
        <v>10557</v>
      </c>
    </row>
    <row r="78" spans="1:1" x14ac:dyDescent="0.25">
      <c r="A78" t="s">
        <v>6488</v>
      </c>
    </row>
    <row r="79" spans="1:1" x14ac:dyDescent="0.25">
      <c r="A79" t="s">
        <v>10923</v>
      </c>
    </row>
    <row r="80" spans="1:1" x14ac:dyDescent="0.25">
      <c r="A80" t="s">
        <v>10560</v>
      </c>
    </row>
    <row r="81" spans="1:1" x14ac:dyDescent="0.25">
      <c r="A81" t="s">
        <v>10909</v>
      </c>
    </row>
    <row r="82" spans="1:1" x14ac:dyDescent="0.25">
      <c r="A82" t="s">
        <v>10562</v>
      </c>
    </row>
    <row r="83" spans="1:1" x14ac:dyDescent="0.25">
      <c r="A83" t="s">
        <v>5620</v>
      </c>
    </row>
    <row r="84" spans="1:1" x14ac:dyDescent="0.25">
      <c r="A84" t="s">
        <v>10563</v>
      </c>
    </row>
    <row r="85" spans="1:1" x14ac:dyDescent="0.25">
      <c r="A85" t="s">
        <v>10564</v>
      </c>
    </row>
    <row r="86" spans="1:1" x14ac:dyDescent="0.25">
      <c r="A86" t="s">
        <v>10565</v>
      </c>
    </row>
    <row r="87" spans="1:1" x14ac:dyDescent="0.25">
      <c r="A87" t="s">
        <v>6455</v>
      </c>
    </row>
    <row r="88" spans="1:1" x14ac:dyDescent="0.25">
      <c r="A88" t="s">
        <v>10567</v>
      </c>
    </row>
    <row r="89" spans="1:1" x14ac:dyDescent="0.25">
      <c r="A89" t="s">
        <v>1124</v>
      </c>
    </row>
    <row r="90" spans="1:1" x14ac:dyDescent="0.25">
      <c r="A90" t="s">
        <v>4191</v>
      </c>
    </row>
    <row r="91" spans="1:1" x14ac:dyDescent="0.25">
      <c r="A91" t="s">
        <v>2319</v>
      </c>
    </row>
    <row r="92" spans="1:1" x14ac:dyDescent="0.25">
      <c r="A92" t="s">
        <v>7932</v>
      </c>
    </row>
    <row r="93" spans="1:1" x14ac:dyDescent="0.25">
      <c r="A93" t="s">
        <v>8781</v>
      </c>
    </row>
    <row r="94" spans="1:1" x14ac:dyDescent="0.25">
      <c r="A94" t="s">
        <v>10570</v>
      </c>
    </row>
    <row r="95" spans="1:1" x14ac:dyDescent="0.25">
      <c r="A95" t="s">
        <v>10129</v>
      </c>
    </row>
    <row r="96" spans="1:1" x14ac:dyDescent="0.25">
      <c r="A96" t="s">
        <v>7649</v>
      </c>
    </row>
    <row r="97" spans="1:1" x14ac:dyDescent="0.25">
      <c r="A97" t="s">
        <v>10572</v>
      </c>
    </row>
    <row r="98" spans="1:1" x14ac:dyDescent="0.25">
      <c r="A98" t="s">
        <v>4423</v>
      </c>
    </row>
    <row r="99" spans="1:1" x14ac:dyDescent="0.25">
      <c r="A99" t="s">
        <v>9597</v>
      </c>
    </row>
    <row r="100" spans="1:1" x14ac:dyDescent="0.25">
      <c r="A100" t="s">
        <v>462</v>
      </c>
    </row>
    <row r="101" spans="1:1" x14ac:dyDescent="0.25">
      <c r="A101" t="s">
        <v>10574</v>
      </c>
    </row>
    <row r="102" spans="1:1" x14ac:dyDescent="0.25">
      <c r="A102" t="s">
        <v>10575</v>
      </c>
    </row>
    <row r="103" spans="1:1" x14ac:dyDescent="0.25">
      <c r="A103" t="s">
        <v>9160</v>
      </c>
    </row>
    <row r="104" spans="1:1" x14ac:dyDescent="0.25">
      <c r="A104" t="s">
        <v>10578</v>
      </c>
    </row>
    <row r="105" spans="1:1" x14ac:dyDescent="0.25">
      <c r="A105" t="s">
        <v>4514</v>
      </c>
    </row>
    <row r="106" spans="1:1" x14ac:dyDescent="0.25">
      <c r="A106" t="s">
        <v>3445</v>
      </c>
    </row>
    <row r="107" spans="1:1" x14ac:dyDescent="0.25">
      <c r="A107" t="s">
        <v>10583</v>
      </c>
    </row>
    <row r="108" spans="1:1" x14ac:dyDescent="0.25">
      <c r="A108" t="s">
        <v>1272</v>
      </c>
    </row>
    <row r="109" spans="1:1" x14ac:dyDescent="0.25">
      <c r="A109" t="s">
        <v>1731</v>
      </c>
    </row>
    <row r="110" spans="1:1" x14ac:dyDescent="0.25">
      <c r="A110" t="s">
        <v>10584</v>
      </c>
    </row>
    <row r="111" spans="1:1" x14ac:dyDescent="0.25">
      <c r="A111" t="s">
        <v>10585</v>
      </c>
    </row>
    <row r="112" spans="1:1" x14ac:dyDescent="0.25">
      <c r="A112" t="s">
        <v>10586</v>
      </c>
    </row>
    <row r="113" spans="1:1" x14ac:dyDescent="0.25">
      <c r="A113" t="s">
        <v>10587</v>
      </c>
    </row>
    <row r="114" spans="1:1" x14ac:dyDescent="0.25">
      <c r="A114" t="s">
        <v>9236</v>
      </c>
    </row>
    <row r="115" spans="1:1" x14ac:dyDescent="0.25">
      <c r="A115" t="s">
        <v>10588</v>
      </c>
    </row>
    <row r="116" spans="1:1" x14ac:dyDescent="0.25">
      <c r="A116" t="s">
        <v>7314</v>
      </c>
    </row>
    <row r="117" spans="1:1" x14ac:dyDescent="0.25">
      <c r="A117" t="s">
        <v>10590</v>
      </c>
    </row>
    <row r="118" spans="1:1" x14ac:dyDescent="0.25">
      <c r="A118" t="s">
        <v>4839</v>
      </c>
    </row>
    <row r="119" spans="1:1" x14ac:dyDescent="0.25">
      <c r="A119" t="s">
        <v>10593</v>
      </c>
    </row>
    <row r="120" spans="1:1" x14ac:dyDescent="0.25">
      <c r="A120" t="s">
        <v>10594</v>
      </c>
    </row>
    <row r="121" spans="1:1" x14ac:dyDescent="0.25">
      <c r="A121" t="s">
        <v>10598</v>
      </c>
    </row>
    <row r="122" spans="1:1" x14ac:dyDescent="0.25">
      <c r="A122" t="s">
        <v>10600</v>
      </c>
    </row>
    <row r="123" spans="1:1" x14ac:dyDescent="0.25">
      <c r="A123" t="s">
        <v>9179</v>
      </c>
    </row>
    <row r="124" spans="1:1" x14ac:dyDescent="0.25">
      <c r="A124" t="s">
        <v>10602</v>
      </c>
    </row>
    <row r="125" spans="1:1" x14ac:dyDescent="0.25">
      <c r="A125" t="s">
        <v>3704</v>
      </c>
    </row>
    <row r="126" spans="1:1" x14ac:dyDescent="0.25">
      <c r="A126" t="s">
        <v>10604</v>
      </c>
    </row>
    <row r="127" spans="1:1" x14ac:dyDescent="0.25">
      <c r="A127" t="s">
        <v>8798</v>
      </c>
    </row>
    <row r="128" spans="1:1" x14ac:dyDescent="0.25">
      <c r="A128" t="s">
        <v>10605</v>
      </c>
    </row>
    <row r="129" spans="1:1" x14ac:dyDescent="0.25">
      <c r="A129" t="s">
        <v>10606</v>
      </c>
    </row>
    <row r="130" spans="1:1" x14ac:dyDescent="0.25">
      <c r="A130" t="s">
        <v>4491</v>
      </c>
    </row>
    <row r="131" spans="1:1" x14ac:dyDescent="0.25">
      <c r="A131" t="s">
        <v>1163</v>
      </c>
    </row>
    <row r="132" spans="1:1" x14ac:dyDescent="0.25">
      <c r="A132" t="s">
        <v>10609</v>
      </c>
    </row>
    <row r="133" spans="1:1" x14ac:dyDescent="0.25">
      <c r="A133" t="s">
        <v>1601</v>
      </c>
    </row>
    <row r="134" spans="1:1" x14ac:dyDescent="0.25">
      <c r="A134" t="s">
        <v>5877</v>
      </c>
    </row>
    <row r="135" spans="1:1" x14ac:dyDescent="0.25">
      <c r="A135" t="s">
        <v>10610</v>
      </c>
    </row>
    <row r="136" spans="1:1" x14ac:dyDescent="0.25">
      <c r="A136" t="s">
        <v>7596</v>
      </c>
    </row>
    <row r="137" spans="1:1" x14ac:dyDescent="0.25">
      <c r="A137" t="s">
        <v>3543</v>
      </c>
    </row>
    <row r="138" spans="1:1" x14ac:dyDescent="0.25">
      <c r="A138" t="s">
        <v>1862</v>
      </c>
    </row>
    <row r="139" spans="1:1" x14ac:dyDescent="0.25">
      <c r="A139" t="s">
        <v>10611</v>
      </c>
    </row>
    <row r="140" spans="1:1" x14ac:dyDescent="0.25">
      <c r="A140" t="s">
        <v>10612</v>
      </c>
    </row>
    <row r="141" spans="1:1" x14ac:dyDescent="0.25">
      <c r="A141" t="s">
        <v>10929</v>
      </c>
    </row>
    <row r="142" spans="1:1" x14ac:dyDescent="0.25">
      <c r="A142" t="s">
        <v>1778</v>
      </c>
    </row>
    <row r="143" spans="1:1" x14ac:dyDescent="0.25">
      <c r="A143" t="s">
        <v>10921</v>
      </c>
    </row>
    <row r="144" spans="1:1" x14ac:dyDescent="0.25">
      <c r="A144" t="s">
        <v>2027</v>
      </c>
    </row>
    <row r="145" spans="1:1" x14ac:dyDescent="0.25">
      <c r="A145" t="s">
        <v>8707</v>
      </c>
    </row>
    <row r="146" spans="1:1" x14ac:dyDescent="0.25">
      <c r="A146" t="s">
        <v>10930</v>
      </c>
    </row>
    <row r="147" spans="1:1" x14ac:dyDescent="0.25">
      <c r="A147" t="s">
        <v>4539</v>
      </c>
    </row>
    <row r="148" spans="1:1" x14ac:dyDescent="0.25">
      <c r="A148" t="s">
        <v>7882</v>
      </c>
    </row>
    <row r="149" spans="1:1" x14ac:dyDescent="0.25">
      <c r="A149" t="s">
        <v>1282</v>
      </c>
    </row>
    <row r="150" spans="1:1" x14ac:dyDescent="0.25">
      <c r="A150" t="s">
        <v>10618</v>
      </c>
    </row>
    <row r="151" spans="1:1" x14ac:dyDescent="0.25">
      <c r="A151" t="s">
        <v>10621</v>
      </c>
    </row>
    <row r="152" spans="1:1" x14ac:dyDescent="0.25">
      <c r="A152" t="s">
        <v>10622</v>
      </c>
    </row>
    <row r="153" spans="1:1" x14ac:dyDescent="0.25">
      <c r="A153" t="s">
        <v>10623</v>
      </c>
    </row>
    <row r="154" spans="1:1" x14ac:dyDescent="0.25">
      <c r="A154" t="s">
        <v>8815</v>
      </c>
    </row>
    <row r="155" spans="1:1" x14ac:dyDescent="0.25">
      <c r="A155" t="s">
        <v>5491</v>
      </c>
    </row>
    <row r="156" spans="1:1" x14ac:dyDescent="0.25">
      <c r="A156" t="s">
        <v>8122</v>
      </c>
    </row>
    <row r="157" spans="1:1" x14ac:dyDescent="0.25">
      <c r="A157" t="s">
        <v>10924</v>
      </c>
    </row>
    <row r="158" spans="1:1" x14ac:dyDescent="0.25">
      <c r="A158" t="s">
        <v>7791</v>
      </c>
    </row>
    <row r="159" spans="1:1" x14ac:dyDescent="0.25">
      <c r="A159" t="s">
        <v>1830</v>
      </c>
    </row>
    <row r="160" spans="1:1" x14ac:dyDescent="0.25">
      <c r="A160" t="s">
        <v>10913</v>
      </c>
    </row>
    <row r="161" spans="1:1" x14ac:dyDescent="0.25">
      <c r="A161" t="s">
        <v>10628</v>
      </c>
    </row>
    <row r="162" spans="1:1" x14ac:dyDescent="0.25">
      <c r="A162" t="s">
        <v>10630</v>
      </c>
    </row>
    <row r="163" spans="1:1" x14ac:dyDescent="0.25">
      <c r="A163" t="s">
        <v>10631</v>
      </c>
    </row>
    <row r="164" spans="1:1" x14ac:dyDescent="0.25">
      <c r="A164" t="s">
        <v>10928</v>
      </c>
    </row>
    <row r="165" spans="1:1" x14ac:dyDescent="0.25">
      <c r="A165" t="s">
        <v>10632</v>
      </c>
    </row>
    <row r="166" spans="1:1" x14ac:dyDescent="0.25">
      <c r="A166" t="s">
        <v>10633</v>
      </c>
    </row>
    <row r="167" spans="1:1" x14ac:dyDescent="0.25">
      <c r="A167" t="s">
        <v>10634</v>
      </c>
    </row>
    <row r="168" spans="1:1" x14ac:dyDescent="0.25">
      <c r="A168" t="s">
        <v>5206</v>
      </c>
    </row>
    <row r="169" spans="1:1" x14ac:dyDescent="0.25">
      <c r="A169" t="s">
        <v>1959</v>
      </c>
    </row>
    <row r="170" spans="1:1" x14ac:dyDescent="0.25">
      <c r="A170" t="s">
        <v>10635</v>
      </c>
    </row>
    <row r="171" spans="1:1" x14ac:dyDescent="0.25">
      <c r="A171" t="s">
        <v>9423</v>
      </c>
    </row>
    <row r="172" spans="1:1" x14ac:dyDescent="0.25">
      <c r="A172" t="s">
        <v>9072</v>
      </c>
    </row>
    <row r="173" spans="1:1" x14ac:dyDescent="0.25">
      <c r="A173" t="s">
        <v>3921</v>
      </c>
    </row>
    <row r="174" spans="1:1" x14ac:dyDescent="0.25">
      <c r="A174" t="s">
        <v>10638</v>
      </c>
    </row>
    <row r="175" spans="1:1" x14ac:dyDescent="0.25">
      <c r="A175" t="s">
        <v>4716</v>
      </c>
    </row>
    <row r="176" spans="1:1" x14ac:dyDescent="0.25">
      <c r="A176" t="s">
        <v>10917</v>
      </c>
    </row>
    <row r="177" spans="1:1" x14ac:dyDescent="0.25">
      <c r="A177" t="s">
        <v>7285</v>
      </c>
    </row>
    <row r="178" spans="1:1" x14ac:dyDescent="0.25">
      <c r="A178" t="s">
        <v>10639</v>
      </c>
    </row>
    <row r="179" spans="1:1" x14ac:dyDescent="0.25">
      <c r="A179" t="s">
        <v>10641</v>
      </c>
    </row>
    <row r="180" spans="1:1" x14ac:dyDescent="0.25">
      <c r="A180" t="s">
        <v>10642</v>
      </c>
    </row>
    <row r="181" spans="1:1" x14ac:dyDescent="0.25">
      <c r="A181" t="s">
        <v>10643</v>
      </c>
    </row>
    <row r="182" spans="1:1" x14ac:dyDescent="0.25">
      <c r="A182" t="s">
        <v>2886</v>
      </c>
    </row>
    <row r="183" spans="1:1" x14ac:dyDescent="0.25">
      <c r="A183" t="s">
        <v>7409</v>
      </c>
    </row>
    <row r="184" spans="1:1" x14ac:dyDescent="0.25">
      <c r="A184" t="s">
        <v>10647</v>
      </c>
    </row>
    <row r="185" spans="1:1" x14ac:dyDescent="0.25">
      <c r="A185" t="s">
        <v>7317</v>
      </c>
    </row>
    <row r="186" spans="1:1" x14ac:dyDescent="0.25">
      <c r="A186" t="s">
        <v>10648</v>
      </c>
    </row>
    <row r="187" spans="1:1" x14ac:dyDescent="0.25">
      <c r="A187" t="s">
        <v>785</v>
      </c>
    </row>
    <row r="188" spans="1:1" x14ac:dyDescent="0.25">
      <c r="A188" t="s">
        <v>10649</v>
      </c>
    </row>
    <row r="189" spans="1:1" x14ac:dyDescent="0.25">
      <c r="A189" t="s">
        <v>10650</v>
      </c>
    </row>
    <row r="190" spans="1:1" x14ac:dyDescent="0.25">
      <c r="A190" t="s">
        <v>4693</v>
      </c>
    </row>
    <row r="191" spans="1:1" x14ac:dyDescent="0.25">
      <c r="A191" t="s">
        <v>8913</v>
      </c>
    </row>
    <row r="192" spans="1:1" x14ac:dyDescent="0.25">
      <c r="A192" t="s">
        <v>10653</v>
      </c>
    </row>
    <row r="193" spans="1:1" x14ac:dyDescent="0.25">
      <c r="A193" t="s">
        <v>8094</v>
      </c>
    </row>
    <row r="194" spans="1:1" x14ac:dyDescent="0.25">
      <c r="A194" t="s">
        <v>3989</v>
      </c>
    </row>
    <row r="195" spans="1:1" x14ac:dyDescent="0.25">
      <c r="A195" t="s">
        <v>4685</v>
      </c>
    </row>
    <row r="196" spans="1:1" x14ac:dyDescent="0.25">
      <c r="A196" t="s">
        <v>10656</v>
      </c>
    </row>
    <row r="197" spans="1:1" x14ac:dyDescent="0.25">
      <c r="A197" t="s">
        <v>6320</v>
      </c>
    </row>
    <row r="198" spans="1:1" x14ac:dyDescent="0.25">
      <c r="A198" t="s">
        <v>5961</v>
      </c>
    </row>
    <row r="199" spans="1:1" x14ac:dyDescent="0.25">
      <c r="A199" t="s">
        <v>10659</v>
      </c>
    </row>
    <row r="200" spans="1:1" x14ac:dyDescent="0.25">
      <c r="A200" t="s">
        <v>10912</v>
      </c>
    </row>
    <row r="201" spans="1:1" x14ac:dyDescent="0.25">
      <c r="A201" t="s">
        <v>10932</v>
      </c>
    </row>
    <row r="202" spans="1:1" x14ac:dyDescent="0.25">
      <c r="A202" t="s">
        <v>10661</v>
      </c>
    </row>
    <row r="203" spans="1:1" x14ac:dyDescent="0.25">
      <c r="A203" t="s">
        <v>10662</v>
      </c>
    </row>
    <row r="204" spans="1:1" x14ac:dyDescent="0.25">
      <c r="A204" t="s">
        <v>10663</v>
      </c>
    </row>
    <row r="205" spans="1:1" x14ac:dyDescent="0.25">
      <c r="A205" t="s">
        <v>10664</v>
      </c>
    </row>
    <row r="206" spans="1:1" x14ac:dyDescent="0.25">
      <c r="A206" t="s">
        <v>3855</v>
      </c>
    </row>
    <row r="207" spans="1:1" x14ac:dyDescent="0.25">
      <c r="A207" t="s">
        <v>10665</v>
      </c>
    </row>
    <row r="208" spans="1:1" x14ac:dyDescent="0.25">
      <c r="A208" t="s">
        <v>4279</v>
      </c>
    </row>
    <row r="209" spans="1:1" x14ac:dyDescent="0.25">
      <c r="A209" t="s">
        <v>10915</v>
      </c>
    </row>
    <row r="210" spans="1:1" x14ac:dyDescent="0.25">
      <c r="A210" t="s">
        <v>10668</v>
      </c>
    </row>
    <row r="211" spans="1:1" x14ac:dyDescent="0.25">
      <c r="A211" t="s">
        <v>10669</v>
      </c>
    </row>
    <row r="212" spans="1:1" x14ac:dyDescent="0.25">
      <c r="A212" t="s">
        <v>10933</v>
      </c>
    </row>
    <row r="213" spans="1:1" x14ac:dyDescent="0.25">
      <c r="A213" t="s">
        <v>10671</v>
      </c>
    </row>
    <row r="214" spans="1:1" x14ac:dyDescent="0.25">
      <c r="A214" t="s">
        <v>1923</v>
      </c>
    </row>
    <row r="215" spans="1:1" x14ac:dyDescent="0.25">
      <c r="A215" t="s">
        <v>10672</v>
      </c>
    </row>
    <row r="216" spans="1:1" x14ac:dyDescent="0.25">
      <c r="A216" t="s">
        <v>10673</v>
      </c>
    </row>
    <row r="217" spans="1:1" x14ac:dyDescent="0.25">
      <c r="A217" t="s">
        <v>1925</v>
      </c>
    </row>
    <row r="218" spans="1:1" x14ac:dyDescent="0.25">
      <c r="A218" t="s">
        <v>5529</v>
      </c>
    </row>
    <row r="219" spans="1:1" x14ac:dyDescent="0.25">
      <c r="A219" t="s">
        <v>10674</v>
      </c>
    </row>
    <row r="220" spans="1:1" x14ac:dyDescent="0.25">
      <c r="A220" t="s">
        <v>10675</v>
      </c>
    </row>
    <row r="221" spans="1:1" x14ac:dyDescent="0.25">
      <c r="A221" t="s">
        <v>10676</v>
      </c>
    </row>
    <row r="222" spans="1:1" x14ac:dyDescent="0.25">
      <c r="A222" t="s">
        <v>3733</v>
      </c>
    </row>
    <row r="223" spans="1:1" x14ac:dyDescent="0.25">
      <c r="A223" t="s">
        <v>10677</v>
      </c>
    </row>
    <row r="224" spans="1:1" x14ac:dyDescent="0.25">
      <c r="A224" t="s">
        <v>10678</v>
      </c>
    </row>
    <row r="225" spans="1:1" x14ac:dyDescent="0.25">
      <c r="A225" t="s">
        <v>10679</v>
      </c>
    </row>
    <row r="226" spans="1:1" x14ac:dyDescent="0.25">
      <c r="A226" t="s">
        <v>9572</v>
      </c>
    </row>
    <row r="227" spans="1:1" x14ac:dyDescent="0.25">
      <c r="A227" t="s">
        <v>10680</v>
      </c>
    </row>
    <row r="228" spans="1:1" x14ac:dyDescent="0.25">
      <c r="A228" t="s">
        <v>10681</v>
      </c>
    </row>
    <row r="229" spans="1:1" x14ac:dyDescent="0.25">
      <c r="A229" t="s">
        <v>10682</v>
      </c>
    </row>
    <row r="230" spans="1:1" x14ac:dyDescent="0.25">
      <c r="A230" t="s">
        <v>10683</v>
      </c>
    </row>
    <row r="231" spans="1:1" x14ac:dyDescent="0.25">
      <c r="A231" t="s">
        <v>8852</v>
      </c>
    </row>
    <row r="232" spans="1:1" x14ac:dyDescent="0.25">
      <c r="A232" t="s">
        <v>5892</v>
      </c>
    </row>
    <row r="233" spans="1:1" x14ac:dyDescent="0.25">
      <c r="A233" t="s">
        <v>10684</v>
      </c>
    </row>
    <row r="234" spans="1:1" x14ac:dyDescent="0.25">
      <c r="A234" t="s">
        <v>10685</v>
      </c>
    </row>
    <row r="235" spans="1:1" x14ac:dyDescent="0.25">
      <c r="A235" t="s">
        <v>740</v>
      </c>
    </row>
    <row r="236" spans="1:1" x14ac:dyDescent="0.25">
      <c r="A236" t="s">
        <v>10687</v>
      </c>
    </row>
    <row r="237" spans="1:1" x14ac:dyDescent="0.25">
      <c r="A237" t="s">
        <v>2803</v>
      </c>
    </row>
    <row r="238" spans="1:1" x14ac:dyDescent="0.25">
      <c r="A238" t="s">
        <v>7636</v>
      </c>
    </row>
    <row r="239" spans="1:1" x14ac:dyDescent="0.25">
      <c r="A239" t="s">
        <v>3363</v>
      </c>
    </row>
    <row r="240" spans="1:1" x14ac:dyDescent="0.25">
      <c r="A240" t="s">
        <v>10688</v>
      </c>
    </row>
    <row r="241" spans="1:1" x14ac:dyDescent="0.25">
      <c r="A241" t="s">
        <v>10919</v>
      </c>
    </row>
    <row r="242" spans="1:1" x14ac:dyDescent="0.25">
      <c r="A242" t="s">
        <v>537</v>
      </c>
    </row>
    <row r="243" spans="1:1" x14ac:dyDescent="0.25">
      <c r="A243" t="s">
        <v>4174</v>
      </c>
    </row>
    <row r="244" spans="1:1" x14ac:dyDescent="0.25">
      <c r="A244" t="s">
        <v>10920</v>
      </c>
    </row>
    <row r="245" spans="1:1" x14ac:dyDescent="0.25">
      <c r="A245" t="s">
        <v>10690</v>
      </c>
    </row>
    <row r="246" spans="1:1" x14ac:dyDescent="0.25">
      <c r="A246" t="s">
        <v>4023</v>
      </c>
    </row>
    <row r="247" spans="1:1" x14ac:dyDescent="0.25">
      <c r="A247" t="s">
        <v>10692</v>
      </c>
    </row>
    <row r="248" spans="1:1" x14ac:dyDescent="0.25">
      <c r="A248" t="s">
        <v>10693</v>
      </c>
    </row>
    <row r="249" spans="1:1" x14ac:dyDescent="0.25">
      <c r="A249" t="s">
        <v>10934</v>
      </c>
    </row>
    <row r="250" spans="1:1" x14ac:dyDescent="0.25">
      <c r="A250" t="s">
        <v>10694</v>
      </c>
    </row>
    <row r="251" spans="1:1" x14ac:dyDescent="0.25">
      <c r="A251" t="s">
        <v>2096</v>
      </c>
    </row>
    <row r="252" spans="1:1" x14ac:dyDescent="0.25">
      <c r="A252" t="s">
        <v>10696</v>
      </c>
    </row>
    <row r="253" spans="1:1" x14ac:dyDescent="0.25">
      <c r="A253" t="s">
        <v>7041</v>
      </c>
    </row>
    <row r="254" spans="1:1" x14ac:dyDescent="0.25">
      <c r="A254" t="s">
        <v>10697</v>
      </c>
    </row>
    <row r="255" spans="1:1" x14ac:dyDescent="0.25">
      <c r="A255" t="s">
        <v>10698</v>
      </c>
    </row>
    <row r="256" spans="1:1" x14ac:dyDescent="0.25">
      <c r="A256" t="s">
        <v>10908</v>
      </c>
    </row>
    <row r="257" spans="1:1" x14ac:dyDescent="0.25">
      <c r="A257" t="s">
        <v>3374</v>
      </c>
    </row>
    <row r="258" spans="1:1" x14ac:dyDescent="0.25">
      <c r="A258" t="s">
        <v>10699</v>
      </c>
    </row>
    <row r="259" spans="1:1" x14ac:dyDescent="0.25">
      <c r="A259" t="s">
        <v>9863</v>
      </c>
    </row>
    <row r="260" spans="1:1" x14ac:dyDescent="0.25">
      <c r="A260" t="s">
        <v>9864</v>
      </c>
    </row>
    <row r="261" spans="1:1" x14ac:dyDescent="0.25">
      <c r="A261" t="s">
        <v>10701</v>
      </c>
    </row>
    <row r="262" spans="1:1" x14ac:dyDescent="0.25">
      <c r="A262" t="s">
        <v>10702</v>
      </c>
    </row>
    <row r="263" spans="1:1" x14ac:dyDescent="0.25">
      <c r="A263" t="s">
        <v>6536</v>
      </c>
    </row>
    <row r="264" spans="1:1" x14ac:dyDescent="0.25">
      <c r="A264" t="s">
        <v>10703</v>
      </c>
    </row>
    <row r="265" spans="1:1" x14ac:dyDescent="0.25">
      <c r="A265" t="s">
        <v>10704</v>
      </c>
    </row>
    <row r="266" spans="1:1" x14ac:dyDescent="0.25">
      <c r="A266" t="s">
        <v>145</v>
      </c>
    </row>
    <row r="267" spans="1:1" x14ac:dyDescent="0.25">
      <c r="A267" t="s">
        <v>10706</v>
      </c>
    </row>
    <row r="268" spans="1:1" x14ac:dyDescent="0.25">
      <c r="A268" t="s">
        <v>3021</v>
      </c>
    </row>
    <row r="269" spans="1:1" x14ac:dyDescent="0.25">
      <c r="A269" t="s">
        <v>10708</v>
      </c>
    </row>
    <row r="270" spans="1:1" x14ac:dyDescent="0.25">
      <c r="A270" t="s">
        <v>963</v>
      </c>
    </row>
    <row r="271" spans="1:1" x14ac:dyDescent="0.25">
      <c r="A271" t="s">
        <v>10709</v>
      </c>
    </row>
    <row r="272" spans="1:1" x14ac:dyDescent="0.25">
      <c r="A272" t="s">
        <v>10710</v>
      </c>
    </row>
    <row r="273" spans="1:1" x14ac:dyDescent="0.25">
      <c r="A273" t="s">
        <v>8639</v>
      </c>
    </row>
    <row r="274" spans="1:1" x14ac:dyDescent="0.25">
      <c r="A274" t="s">
        <v>3519</v>
      </c>
    </row>
    <row r="275" spans="1:1" x14ac:dyDescent="0.25">
      <c r="A275" t="s">
        <v>10711</v>
      </c>
    </row>
    <row r="276" spans="1:1" x14ac:dyDescent="0.25">
      <c r="A276" t="s">
        <v>10714</v>
      </c>
    </row>
    <row r="277" spans="1:1" x14ac:dyDescent="0.25">
      <c r="A277" t="s">
        <v>9523</v>
      </c>
    </row>
    <row r="278" spans="1:1" x14ac:dyDescent="0.25">
      <c r="A278" t="s">
        <v>10715</v>
      </c>
    </row>
    <row r="279" spans="1:1" x14ac:dyDescent="0.25">
      <c r="A279" t="s">
        <v>794</v>
      </c>
    </row>
    <row r="280" spans="1:1" x14ac:dyDescent="0.25">
      <c r="A280" t="s">
        <v>10716</v>
      </c>
    </row>
    <row r="281" spans="1:1" x14ac:dyDescent="0.25">
      <c r="A281" t="s">
        <v>10911</v>
      </c>
    </row>
    <row r="282" spans="1:1" x14ac:dyDescent="0.25">
      <c r="A282" t="s">
        <v>10719</v>
      </c>
    </row>
    <row r="283" spans="1:1" x14ac:dyDescent="0.25">
      <c r="A283" t="s">
        <v>10720</v>
      </c>
    </row>
    <row r="284" spans="1:1" x14ac:dyDescent="0.25">
      <c r="A284" t="s">
        <v>296</v>
      </c>
    </row>
    <row r="285" spans="1:1" x14ac:dyDescent="0.25">
      <c r="A285" t="s">
        <v>6447</v>
      </c>
    </row>
    <row r="286" spans="1:1" x14ac:dyDescent="0.25">
      <c r="A286" t="s">
        <v>7318</v>
      </c>
    </row>
    <row r="287" spans="1:1" x14ac:dyDescent="0.25">
      <c r="A287" t="s">
        <v>10722</v>
      </c>
    </row>
    <row r="288" spans="1:1" x14ac:dyDescent="0.25">
      <c r="A288" t="s">
        <v>1860</v>
      </c>
    </row>
    <row r="289" spans="1:1" x14ac:dyDescent="0.25">
      <c r="A289" t="s">
        <v>10723</v>
      </c>
    </row>
    <row r="290" spans="1:1" x14ac:dyDescent="0.25">
      <c r="A290" t="s">
        <v>9281</v>
      </c>
    </row>
    <row r="291" spans="1:1" x14ac:dyDescent="0.25">
      <c r="A291" t="s">
        <v>10724</v>
      </c>
    </row>
    <row r="292" spans="1:1" x14ac:dyDescent="0.25">
      <c r="A292" t="s">
        <v>8856</v>
      </c>
    </row>
    <row r="293" spans="1:1" x14ac:dyDescent="0.25">
      <c r="A293" t="s">
        <v>10926</v>
      </c>
    </row>
    <row r="294" spans="1:1" x14ac:dyDescent="0.25">
      <c r="A294" t="s">
        <v>867</v>
      </c>
    </row>
    <row r="295" spans="1:1" x14ac:dyDescent="0.25">
      <c r="A295" t="s">
        <v>10729</v>
      </c>
    </row>
    <row r="296" spans="1:1" x14ac:dyDescent="0.25">
      <c r="A296" t="s">
        <v>10730</v>
      </c>
    </row>
    <row r="297" spans="1:1" x14ac:dyDescent="0.25">
      <c r="A297" t="s">
        <v>10731</v>
      </c>
    </row>
    <row r="298" spans="1:1" x14ac:dyDescent="0.25">
      <c r="A298" t="s">
        <v>2104</v>
      </c>
    </row>
    <row r="299" spans="1:1" x14ac:dyDescent="0.25">
      <c r="A299" t="s">
        <v>4246</v>
      </c>
    </row>
    <row r="300" spans="1:1" x14ac:dyDescent="0.25">
      <c r="A300" t="s">
        <v>8421</v>
      </c>
    </row>
    <row r="301" spans="1:1" x14ac:dyDescent="0.25">
      <c r="A301" t="s">
        <v>5998</v>
      </c>
    </row>
    <row r="302" spans="1:1" x14ac:dyDescent="0.25">
      <c r="A302" t="s">
        <v>1968</v>
      </c>
    </row>
    <row r="303" spans="1:1" x14ac:dyDescent="0.25">
      <c r="A303" t="s">
        <v>10732</v>
      </c>
    </row>
    <row r="304" spans="1:1" x14ac:dyDescent="0.25">
      <c r="A304" t="s">
        <v>10733</v>
      </c>
    </row>
    <row r="305" spans="1:1" x14ac:dyDescent="0.25">
      <c r="A305" t="s">
        <v>10734</v>
      </c>
    </row>
    <row r="306" spans="1:1" x14ac:dyDescent="0.25">
      <c r="A306" t="s">
        <v>8037</v>
      </c>
    </row>
    <row r="307" spans="1:1" x14ac:dyDescent="0.25">
      <c r="A307" t="s">
        <v>5841</v>
      </c>
    </row>
    <row r="308" spans="1:1" x14ac:dyDescent="0.25">
      <c r="A308" t="s">
        <v>10935</v>
      </c>
    </row>
    <row r="309" spans="1:1" x14ac:dyDescent="0.25">
      <c r="A309" t="s">
        <v>1426</v>
      </c>
    </row>
    <row r="310" spans="1:1" x14ac:dyDescent="0.25">
      <c r="A310" t="s">
        <v>10736</v>
      </c>
    </row>
    <row r="311" spans="1:1" x14ac:dyDescent="0.25">
      <c r="A311" t="s">
        <v>2246</v>
      </c>
    </row>
    <row r="312" spans="1:1" x14ac:dyDescent="0.25">
      <c r="A312" t="s">
        <v>10738</v>
      </c>
    </row>
    <row r="313" spans="1:1" x14ac:dyDescent="0.25">
      <c r="A313" t="s">
        <v>10739</v>
      </c>
    </row>
    <row r="314" spans="1:1" x14ac:dyDescent="0.25">
      <c r="A314" t="s">
        <v>9775</v>
      </c>
    </row>
    <row r="315" spans="1:1" x14ac:dyDescent="0.25">
      <c r="A315" t="s">
        <v>10742</v>
      </c>
    </row>
    <row r="316" spans="1:1" x14ac:dyDescent="0.25">
      <c r="A316" t="s">
        <v>10743</v>
      </c>
    </row>
    <row r="317" spans="1:1" x14ac:dyDescent="0.25">
      <c r="A317" t="s">
        <v>10744</v>
      </c>
    </row>
    <row r="318" spans="1:1" x14ac:dyDescent="0.25">
      <c r="A318" t="s">
        <v>5232</v>
      </c>
    </row>
    <row r="319" spans="1:1" x14ac:dyDescent="0.25">
      <c r="A319" t="s">
        <v>2969</v>
      </c>
    </row>
    <row r="320" spans="1:1" x14ac:dyDescent="0.25">
      <c r="A320" t="s">
        <v>10907</v>
      </c>
    </row>
    <row r="321" spans="1:1" x14ac:dyDescent="0.25">
      <c r="A321" t="s">
        <v>10747</v>
      </c>
    </row>
    <row r="322" spans="1:1" x14ac:dyDescent="0.25">
      <c r="A322" t="s">
        <v>10749</v>
      </c>
    </row>
    <row r="323" spans="1:1" x14ac:dyDescent="0.25">
      <c r="A323" t="s">
        <v>10750</v>
      </c>
    </row>
    <row r="324" spans="1:1" x14ac:dyDescent="0.25">
      <c r="A324" t="s">
        <v>6685</v>
      </c>
    </row>
    <row r="325" spans="1:1" x14ac:dyDescent="0.25">
      <c r="A325" t="s">
        <v>6285</v>
      </c>
    </row>
    <row r="326" spans="1:1" x14ac:dyDescent="0.25">
      <c r="A326" t="s">
        <v>10752</v>
      </c>
    </row>
    <row r="327" spans="1:1" x14ac:dyDescent="0.25">
      <c r="A327" t="s">
        <v>10753</v>
      </c>
    </row>
    <row r="328" spans="1:1" x14ac:dyDescent="0.25">
      <c r="A328" t="s">
        <v>10922</v>
      </c>
    </row>
    <row r="329" spans="1:1" x14ac:dyDescent="0.25">
      <c r="A329" t="s">
        <v>5853</v>
      </c>
    </row>
    <row r="330" spans="1:1" x14ac:dyDescent="0.25">
      <c r="A330" t="s">
        <v>10755</v>
      </c>
    </row>
    <row r="331" spans="1:1" x14ac:dyDescent="0.25">
      <c r="A331" t="s">
        <v>1417</v>
      </c>
    </row>
    <row r="332" spans="1:1" x14ac:dyDescent="0.25">
      <c r="A332" t="s">
        <v>10756</v>
      </c>
    </row>
    <row r="333" spans="1:1" x14ac:dyDescent="0.25">
      <c r="A333" t="s">
        <v>10758</v>
      </c>
    </row>
    <row r="334" spans="1:1" x14ac:dyDescent="0.25">
      <c r="A334" t="s">
        <v>10759</v>
      </c>
    </row>
    <row r="335" spans="1:1" x14ac:dyDescent="0.25">
      <c r="A335" t="s">
        <v>10760</v>
      </c>
    </row>
    <row r="336" spans="1:1" x14ac:dyDescent="0.25">
      <c r="A336" t="s">
        <v>412</v>
      </c>
    </row>
    <row r="337" spans="1:1" x14ac:dyDescent="0.25">
      <c r="A337" t="s">
        <v>4424</v>
      </c>
    </row>
    <row r="338" spans="1:1" x14ac:dyDescent="0.25">
      <c r="A338" t="s">
        <v>2057</v>
      </c>
    </row>
    <row r="339" spans="1:1" x14ac:dyDescent="0.25">
      <c r="A339" t="s">
        <v>7481</v>
      </c>
    </row>
    <row r="340" spans="1:1" x14ac:dyDescent="0.25">
      <c r="A340" t="s">
        <v>10762</v>
      </c>
    </row>
    <row r="341" spans="1:1" x14ac:dyDescent="0.25">
      <c r="A341" t="s">
        <v>2781</v>
      </c>
    </row>
    <row r="342" spans="1:1" x14ac:dyDescent="0.25">
      <c r="A342" t="s">
        <v>10763</v>
      </c>
    </row>
    <row r="343" spans="1:1" x14ac:dyDescent="0.25">
      <c r="A343" t="s">
        <v>10764</v>
      </c>
    </row>
    <row r="344" spans="1:1" x14ac:dyDescent="0.25">
      <c r="A344" t="s">
        <v>10765</v>
      </c>
    </row>
    <row r="345" spans="1:1" x14ac:dyDescent="0.25">
      <c r="A345" t="s">
        <v>10766</v>
      </c>
    </row>
    <row r="346" spans="1:1" x14ac:dyDescent="0.25">
      <c r="A346" t="s">
        <v>2961</v>
      </c>
    </row>
    <row r="347" spans="1:1" x14ac:dyDescent="0.25">
      <c r="A347" t="s">
        <v>10925</v>
      </c>
    </row>
    <row r="348" spans="1:1" x14ac:dyDescent="0.25">
      <c r="A348" t="s">
        <v>2588</v>
      </c>
    </row>
    <row r="349" spans="1:1" x14ac:dyDescent="0.25">
      <c r="A349" t="s">
        <v>10769</v>
      </c>
    </row>
    <row r="350" spans="1:1" x14ac:dyDescent="0.25">
      <c r="A350" t="s">
        <v>8553</v>
      </c>
    </row>
    <row r="351" spans="1:1" x14ac:dyDescent="0.25">
      <c r="A351" t="s">
        <v>10771</v>
      </c>
    </row>
    <row r="352" spans="1:1" x14ac:dyDescent="0.25">
      <c r="A352" t="s">
        <v>7394</v>
      </c>
    </row>
    <row r="353" spans="1:1" x14ac:dyDescent="0.25">
      <c r="A353" t="s">
        <v>2943</v>
      </c>
    </row>
    <row r="354" spans="1:1" x14ac:dyDescent="0.25">
      <c r="A354" t="s">
        <v>10772</v>
      </c>
    </row>
    <row r="355" spans="1:1" x14ac:dyDescent="0.25">
      <c r="A355" t="s">
        <v>9777</v>
      </c>
    </row>
    <row r="356" spans="1:1" x14ac:dyDescent="0.25">
      <c r="A356" t="s">
        <v>3846</v>
      </c>
    </row>
    <row r="357" spans="1:1" x14ac:dyDescent="0.25">
      <c r="A357" t="s">
        <v>10773</v>
      </c>
    </row>
    <row r="358" spans="1:1" x14ac:dyDescent="0.25">
      <c r="A358" t="s">
        <v>8487</v>
      </c>
    </row>
    <row r="359" spans="1:1" x14ac:dyDescent="0.25">
      <c r="A359" t="s">
        <v>923</v>
      </c>
    </row>
    <row r="360" spans="1:1" x14ac:dyDescent="0.25">
      <c r="A360" t="s">
        <v>6234</v>
      </c>
    </row>
    <row r="361" spans="1:1" x14ac:dyDescent="0.25">
      <c r="A361" t="s">
        <v>254</v>
      </c>
    </row>
    <row r="362" spans="1:1" x14ac:dyDescent="0.25">
      <c r="A362" t="s">
        <v>10777</v>
      </c>
    </row>
    <row r="363" spans="1:1" x14ac:dyDescent="0.25">
      <c r="A363" t="s">
        <v>7615</v>
      </c>
    </row>
    <row r="364" spans="1:1" x14ac:dyDescent="0.25">
      <c r="A364" t="s">
        <v>10779</v>
      </c>
    </row>
    <row r="365" spans="1:1" x14ac:dyDescent="0.25">
      <c r="A365" t="s">
        <v>7337</v>
      </c>
    </row>
    <row r="366" spans="1:1" x14ac:dyDescent="0.25">
      <c r="A366" t="s">
        <v>2753</v>
      </c>
    </row>
    <row r="367" spans="1:1" x14ac:dyDescent="0.25">
      <c r="A367" t="s">
        <v>10936</v>
      </c>
    </row>
    <row r="368" spans="1:1" x14ac:dyDescent="0.25">
      <c r="A368" t="s">
        <v>10780</v>
      </c>
    </row>
    <row r="369" spans="1:1" x14ac:dyDescent="0.25">
      <c r="A369" t="s">
        <v>10781</v>
      </c>
    </row>
    <row r="370" spans="1:1" x14ac:dyDescent="0.25">
      <c r="A370" t="s">
        <v>10784</v>
      </c>
    </row>
    <row r="371" spans="1:1" x14ac:dyDescent="0.25">
      <c r="A371" t="s">
        <v>10785</v>
      </c>
    </row>
    <row r="372" spans="1:1" x14ac:dyDescent="0.25">
      <c r="A372" t="s">
        <v>10787</v>
      </c>
    </row>
    <row r="373" spans="1:1" x14ac:dyDescent="0.25">
      <c r="A373" t="s">
        <v>10788</v>
      </c>
    </row>
    <row r="374" spans="1:1" x14ac:dyDescent="0.25">
      <c r="A374" t="s">
        <v>2132</v>
      </c>
    </row>
    <row r="375" spans="1:1" x14ac:dyDescent="0.25">
      <c r="A375" t="s">
        <v>10789</v>
      </c>
    </row>
    <row r="376" spans="1:1" x14ac:dyDescent="0.25">
      <c r="A376" t="s">
        <v>1980</v>
      </c>
    </row>
    <row r="377" spans="1:1" x14ac:dyDescent="0.25">
      <c r="A377" t="s">
        <v>10790</v>
      </c>
    </row>
    <row r="378" spans="1:1" x14ac:dyDescent="0.25">
      <c r="A378" t="s">
        <v>10791</v>
      </c>
    </row>
    <row r="379" spans="1:1" x14ac:dyDescent="0.25">
      <c r="A379" t="s">
        <v>4631</v>
      </c>
    </row>
    <row r="380" spans="1:1" x14ac:dyDescent="0.25">
      <c r="A380" t="s">
        <v>3181</v>
      </c>
    </row>
    <row r="381" spans="1:1" x14ac:dyDescent="0.25">
      <c r="A381" t="s">
        <v>10792</v>
      </c>
    </row>
    <row r="382" spans="1:1" x14ac:dyDescent="0.25">
      <c r="A382" t="s">
        <v>10794</v>
      </c>
    </row>
    <row r="383" spans="1:1" x14ac:dyDescent="0.25">
      <c r="A383" t="s">
        <v>6562</v>
      </c>
    </row>
    <row r="384" spans="1:1" x14ac:dyDescent="0.25">
      <c r="A384" t="s">
        <v>8960</v>
      </c>
    </row>
    <row r="385" spans="1:1" x14ac:dyDescent="0.25">
      <c r="A385" t="s">
        <v>9048</v>
      </c>
    </row>
    <row r="386" spans="1:1" x14ac:dyDescent="0.25">
      <c r="A386" t="s">
        <v>10795</v>
      </c>
    </row>
    <row r="387" spans="1:1" x14ac:dyDescent="0.25">
      <c r="A387" t="s">
        <v>10796</v>
      </c>
    </row>
    <row r="388" spans="1:1" x14ac:dyDescent="0.25">
      <c r="A388" t="s">
        <v>10797</v>
      </c>
    </row>
    <row r="389" spans="1:1" x14ac:dyDescent="0.25">
      <c r="A389" t="s">
        <v>4123</v>
      </c>
    </row>
    <row r="390" spans="1:1" x14ac:dyDescent="0.25">
      <c r="A390" t="s">
        <v>10798</v>
      </c>
    </row>
    <row r="391" spans="1:1" x14ac:dyDescent="0.25">
      <c r="A391" t="s">
        <v>10918</v>
      </c>
    </row>
    <row r="392" spans="1:1" x14ac:dyDescent="0.25">
      <c r="A392" t="s">
        <v>1890</v>
      </c>
    </row>
    <row r="393" spans="1:1" x14ac:dyDescent="0.25">
      <c r="A393" t="s">
        <v>2656</v>
      </c>
    </row>
    <row r="394" spans="1:1" x14ac:dyDescent="0.25">
      <c r="A394" t="s">
        <v>10906</v>
      </c>
    </row>
    <row r="395" spans="1:1" x14ac:dyDescent="0.25">
      <c r="A395" t="s">
        <v>10801</v>
      </c>
    </row>
    <row r="396" spans="1:1" x14ac:dyDescent="0.25">
      <c r="A396" t="s">
        <v>10802</v>
      </c>
    </row>
    <row r="397" spans="1:1" x14ac:dyDescent="0.25">
      <c r="A397" t="s">
        <v>3723</v>
      </c>
    </row>
    <row r="398" spans="1:1" x14ac:dyDescent="0.25">
      <c r="A398" t="s">
        <v>1501</v>
      </c>
    </row>
    <row r="399" spans="1:1" x14ac:dyDescent="0.25">
      <c r="A399" t="s">
        <v>10937</v>
      </c>
    </row>
    <row r="400" spans="1:1" x14ac:dyDescent="0.25">
      <c r="A400" t="s">
        <v>5546</v>
      </c>
    </row>
    <row r="401" spans="1:1" x14ac:dyDescent="0.25">
      <c r="A401" t="s">
        <v>10805</v>
      </c>
    </row>
    <row r="402" spans="1:1" x14ac:dyDescent="0.25">
      <c r="A402" t="s">
        <v>6767</v>
      </c>
    </row>
    <row r="403" spans="1:1" x14ac:dyDescent="0.25">
      <c r="A403" t="s">
        <v>8332</v>
      </c>
    </row>
    <row r="404" spans="1:1" x14ac:dyDescent="0.25">
      <c r="A404" t="s">
        <v>368</v>
      </c>
    </row>
    <row r="405" spans="1:1" x14ac:dyDescent="0.25">
      <c r="A405" t="s">
        <v>1939</v>
      </c>
    </row>
    <row r="406" spans="1:1" x14ac:dyDescent="0.25">
      <c r="A406" t="s">
        <v>7772</v>
      </c>
    </row>
    <row r="407" spans="1:1" x14ac:dyDescent="0.25">
      <c r="A407" t="s">
        <v>4104</v>
      </c>
    </row>
    <row r="408" spans="1:1" x14ac:dyDescent="0.25">
      <c r="A408" t="s">
        <v>1809</v>
      </c>
    </row>
    <row r="409" spans="1:1" x14ac:dyDescent="0.25">
      <c r="A409" t="s">
        <v>10905</v>
      </c>
    </row>
    <row r="410" spans="1:1" x14ac:dyDescent="0.25">
      <c r="A410" t="s">
        <v>4709</v>
      </c>
    </row>
    <row r="411" spans="1:1" x14ac:dyDescent="0.25">
      <c r="A411" t="s">
        <v>10927</v>
      </c>
    </row>
    <row r="412" spans="1:1" x14ac:dyDescent="0.25">
      <c r="A412" t="s">
        <v>4458</v>
      </c>
    </row>
    <row r="413" spans="1:1" x14ac:dyDescent="0.25">
      <c r="A413" t="s">
        <v>10809</v>
      </c>
    </row>
    <row r="414" spans="1:1" x14ac:dyDescent="0.25">
      <c r="A414" t="s">
        <v>10810</v>
      </c>
    </row>
    <row r="415" spans="1:1" x14ac:dyDescent="0.25">
      <c r="A415" t="s">
        <v>7484</v>
      </c>
    </row>
    <row r="416" spans="1:1" x14ac:dyDescent="0.25">
      <c r="A416" t="s">
        <v>10910</v>
      </c>
    </row>
    <row r="417" spans="1:1" x14ac:dyDescent="0.25">
      <c r="A417" t="s">
        <v>8098</v>
      </c>
    </row>
    <row r="418" spans="1:1" x14ac:dyDescent="0.25">
      <c r="A418" t="s">
        <v>10813</v>
      </c>
    </row>
    <row r="419" spans="1:1" x14ac:dyDescent="0.25">
      <c r="A419" t="s">
        <v>10814</v>
      </c>
    </row>
    <row r="420" spans="1:1" x14ac:dyDescent="0.25">
      <c r="A420" t="s">
        <v>10816</v>
      </c>
    </row>
    <row r="421" spans="1:1" x14ac:dyDescent="0.25">
      <c r="A421" t="s">
        <v>5179</v>
      </c>
    </row>
    <row r="422" spans="1:1" x14ac:dyDescent="0.25">
      <c r="A422" t="s">
        <v>8792</v>
      </c>
    </row>
    <row r="423" spans="1:1" x14ac:dyDescent="0.25">
      <c r="A423" t="s">
        <v>2844</v>
      </c>
    </row>
    <row r="424" spans="1:1" x14ac:dyDescent="0.25">
      <c r="A424" t="s">
        <v>10819</v>
      </c>
    </row>
    <row r="425" spans="1:1" x14ac:dyDescent="0.25">
      <c r="A425" t="s">
        <v>9265</v>
      </c>
    </row>
    <row r="426" spans="1:1" x14ac:dyDescent="0.25">
      <c r="A426" t="s">
        <v>10820</v>
      </c>
    </row>
    <row r="427" spans="1:1" x14ac:dyDescent="0.25">
      <c r="A427" t="s">
        <v>10822</v>
      </c>
    </row>
    <row r="428" spans="1:1" x14ac:dyDescent="0.25">
      <c r="A428" t="s">
        <v>10002</v>
      </c>
    </row>
    <row r="429" spans="1:1" x14ac:dyDescent="0.25">
      <c r="A429" t="s">
        <v>10824</v>
      </c>
    </row>
    <row r="430" spans="1:1" x14ac:dyDescent="0.25">
      <c r="A430" t="s">
        <v>10825</v>
      </c>
    </row>
    <row r="431" spans="1:1" x14ac:dyDescent="0.25">
      <c r="A431" t="s">
        <v>5373</v>
      </c>
    </row>
    <row r="432" spans="1:1" x14ac:dyDescent="0.25">
      <c r="A432" t="s">
        <v>10831</v>
      </c>
    </row>
    <row r="433" spans="1:1" x14ac:dyDescent="0.25">
      <c r="A433" t="s">
        <v>5403</v>
      </c>
    </row>
    <row r="434" spans="1:1" x14ac:dyDescent="0.25">
      <c r="A434" t="s">
        <v>6221</v>
      </c>
    </row>
    <row r="435" spans="1:1" x14ac:dyDescent="0.25">
      <c r="A435" t="s">
        <v>10833</v>
      </c>
    </row>
    <row r="436" spans="1:1" x14ac:dyDescent="0.25">
      <c r="A436" t="s">
        <v>10835</v>
      </c>
    </row>
    <row r="437" spans="1:1" x14ac:dyDescent="0.25">
      <c r="A437" t="s">
        <v>6840</v>
      </c>
    </row>
    <row r="438" spans="1:1" x14ac:dyDescent="0.25">
      <c r="A438" t="s">
        <v>10836</v>
      </c>
    </row>
    <row r="439" spans="1:1" x14ac:dyDescent="0.25">
      <c r="A439" t="s">
        <v>2840</v>
      </c>
    </row>
    <row r="440" spans="1:1" x14ac:dyDescent="0.25">
      <c r="A440" t="s">
        <v>5878</v>
      </c>
    </row>
    <row r="441" spans="1:1" x14ac:dyDescent="0.25">
      <c r="A441" t="s">
        <v>2317</v>
      </c>
    </row>
    <row r="442" spans="1:1" x14ac:dyDescent="0.25">
      <c r="A442" t="s">
        <v>10838</v>
      </c>
    </row>
    <row r="443" spans="1:1" x14ac:dyDescent="0.25">
      <c r="A443" t="s">
        <v>10839</v>
      </c>
    </row>
    <row r="444" spans="1:1" x14ac:dyDescent="0.25">
      <c r="A444" t="s">
        <v>10841</v>
      </c>
    </row>
    <row r="445" spans="1:1" x14ac:dyDescent="0.25">
      <c r="A445" t="s">
        <v>6240</v>
      </c>
    </row>
    <row r="446" spans="1:1" x14ac:dyDescent="0.25">
      <c r="A446" t="s">
        <v>2199</v>
      </c>
    </row>
    <row r="447" spans="1:1" x14ac:dyDescent="0.25">
      <c r="A447" t="s">
        <v>10846</v>
      </c>
    </row>
    <row r="448" spans="1:1" x14ac:dyDescent="0.25">
      <c r="A448" t="s">
        <v>9718</v>
      </c>
    </row>
    <row r="449" spans="1:1" x14ac:dyDescent="0.25">
      <c r="A449" t="s">
        <v>10848</v>
      </c>
    </row>
    <row r="450" spans="1:1" x14ac:dyDescent="0.25">
      <c r="A450" t="s">
        <v>7874</v>
      </c>
    </row>
    <row r="451" spans="1:1" x14ac:dyDescent="0.25">
      <c r="A451" t="s">
        <v>2574</v>
      </c>
    </row>
    <row r="452" spans="1:1" x14ac:dyDescent="0.25">
      <c r="A452" t="s">
        <v>3047</v>
      </c>
    </row>
    <row r="453" spans="1:1" x14ac:dyDescent="0.25">
      <c r="A453" t="s">
        <v>10851</v>
      </c>
    </row>
    <row r="454" spans="1:1" x14ac:dyDescent="0.25">
      <c r="A454" t="s">
        <v>10853</v>
      </c>
    </row>
    <row r="455" spans="1:1" x14ac:dyDescent="0.25">
      <c r="A455" t="s">
        <v>10854</v>
      </c>
    </row>
    <row r="456" spans="1:1" x14ac:dyDescent="0.25">
      <c r="A456" t="s">
        <v>10855</v>
      </c>
    </row>
    <row r="457" spans="1:1" x14ac:dyDescent="0.25">
      <c r="A457" t="s">
        <v>10369</v>
      </c>
    </row>
    <row r="458" spans="1:1" x14ac:dyDescent="0.25">
      <c r="A458" t="s">
        <v>8179</v>
      </c>
    </row>
    <row r="459" spans="1:1" x14ac:dyDescent="0.25">
      <c r="A459" t="s">
        <v>798</v>
      </c>
    </row>
    <row r="460" spans="1:1" x14ac:dyDescent="0.25">
      <c r="A460" t="s">
        <v>10857</v>
      </c>
    </row>
    <row r="461" spans="1:1" x14ac:dyDescent="0.25">
      <c r="A461" t="s">
        <v>10858</v>
      </c>
    </row>
    <row r="462" spans="1:1" x14ac:dyDescent="0.25">
      <c r="A462" t="s">
        <v>10859</v>
      </c>
    </row>
    <row r="463" spans="1:1" x14ac:dyDescent="0.25">
      <c r="A463" t="s">
        <v>10860</v>
      </c>
    </row>
    <row r="464" spans="1:1" x14ac:dyDescent="0.25">
      <c r="A464" t="s">
        <v>10861</v>
      </c>
    </row>
    <row r="465" spans="1:1" x14ac:dyDescent="0.25">
      <c r="A465" t="s">
        <v>10863</v>
      </c>
    </row>
    <row r="466" spans="1:1" x14ac:dyDescent="0.25">
      <c r="A466" t="s">
        <v>10864</v>
      </c>
    </row>
    <row r="467" spans="1:1" x14ac:dyDescent="0.25">
      <c r="A467" t="s">
        <v>3693</v>
      </c>
    </row>
    <row r="468" spans="1:1" x14ac:dyDescent="0.25">
      <c r="A468" t="s">
        <v>3287</v>
      </c>
    </row>
    <row r="469" spans="1:1" x14ac:dyDescent="0.25">
      <c r="A469" t="s">
        <v>10866</v>
      </c>
    </row>
    <row r="470" spans="1:1" x14ac:dyDescent="0.25">
      <c r="A470" t="s">
        <v>10871</v>
      </c>
    </row>
    <row r="471" spans="1:1" x14ac:dyDescent="0.25">
      <c r="A471" t="s">
        <v>10872</v>
      </c>
    </row>
    <row r="472" spans="1:1" x14ac:dyDescent="0.25">
      <c r="A472" t="s">
        <v>10873</v>
      </c>
    </row>
    <row r="473" spans="1:1" x14ac:dyDescent="0.25">
      <c r="A473" t="s">
        <v>8339</v>
      </c>
    </row>
    <row r="474" spans="1:1" x14ac:dyDescent="0.25">
      <c r="A474" t="s">
        <v>5550</v>
      </c>
    </row>
    <row r="475" spans="1:1" x14ac:dyDescent="0.25">
      <c r="A475" t="s">
        <v>5104</v>
      </c>
    </row>
    <row r="476" spans="1:1" x14ac:dyDescent="0.25">
      <c r="A476" t="s">
        <v>4155</v>
      </c>
    </row>
    <row r="477" spans="1:1" x14ac:dyDescent="0.25">
      <c r="A477" t="s">
        <v>10876</v>
      </c>
    </row>
    <row r="478" spans="1:1" x14ac:dyDescent="0.25">
      <c r="A478" t="s">
        <v>10878</v>
      </c>
    </row>
    <row r="479" spans="1:1" x14ac:dyDescent="0.25">
      <c r="A479" t="s">
        <v>2113</v>
      </c>
    </row>
    <row r="480" spans="1:1" x14ac:dyDescent="0.25">
      <c r="A480" t="s">
        <v>3853</v>
      </c>
    </row>
    <row r="481" spans="1:1" x14ac:dyDescent="0.25">
      <c r="A481" t="s">
        <v>1145</v>
      </c>
    </row>
    <row r="482" spans="1:1" x14ac:dyDescent="0.25">
      <c r="A482" t="s">
        <v>10881</v>
      </c>
    </row>
    <row r="483" spans="1:1" x14ac:dyDescent="0.25">
      <c r="A483" t="s">
        <v>6298</v>
      </c>
    </row>
  </sheetData>
  <sortState xmlns:xlrd2="http://schemas.microsoft.com/office/spreadsheetml/2017/richdata2" ref="A5:A483">
    <sortCondition ref="A5:A483"/>
  </sortState>
  <mergeCells count="1">
    <mergeCell ref="A1:A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E69061D069D6144B4F58A1A1D202164" ma:contentTypeVersion="24" ma:contentTypeDescription="Create a new document." ma:contentTypeScope="" ma:versionID="de325b666c601badd3fbb2e12b28063e">
  <xsd:schema xmlns:xsd="http://www.w3.org/2001/XMLSchema" xmlns:xs="http://www.w3.org/2001/XMLSchema" xmlns:p="http://schemas.microsoft.com/office/2006/metadata/properties" xmlns:ns1="http://schemas.microsoft.com/sharepoint/v3" xmlns:ns2="3bd50812-d9dd-4fe0-8749-b08df9230dbb" xmlns:ns3="066ac94a-7318-403d-b6d3-4059e2dd34a6" targetNamespace="http://schemas.microsoft.com/office/2006/metadata/properties" ma:root="true" ma:fieldsID="d19f6da0167347991497790591dd9bb6" ns1:_="" ns2:_="" ns3:_="">
    <xsd:import namespace="http://schemas.microsoft.com/sharepoint/v3"/>
    <xsd:import namespace="3bd50812-d9dd-4fe0-8749-b08df9230dbb"/>
    <xsd:import namespace="066ac94a-7318-403d-b6d3-4059e2dd34a6"/>
    <xsd:element name="properties">
      <xsd:complexType>
        <xsd:sequence>
          <xsd:element name="documentManagement">
            <xsd:complexType>
              <xsd:all>
                <xsd:element ref="ns2:SharedWithUsers" minOccurs="0"/>
                <xsd:element ref="ns2:SharingHintHash"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1:_ip_UnifiedCompliancePolicyProperties" minOccurs="0"/>
                <xsd:element ref="ns1:_ip_UnifiedCompliancePolicyUIAction" minOccurs="0"/>
                <xsd:element ref="ns3:MediaServiceLocation" minOccurs="0"/>
                <xsd:element ref="ns3:MediaServiceEventHashCode" minOccurs="0"/>
                <xsd:element ref="ns3:MediaServiceGenerationTime" minOccurs="0"/>
                <xsd:element ref="ns3:MediaServiceOCR" minOccurs="0"/>
                <xsd:element ref="ns3:MediaServiceAutoKeyPoints" minOccurs="0"/>
                <xsd:element ref="ns3:MediaServiceKeyPoints"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description="" ma:hidden="true" ma:internalName="_ip_UnifiedCompliancePolicyProperties">
      <xsd:simpleType>
        <xsd:restriction base="dms:Note"/>
      </xsd:simpleType>
    </xsd:element>
    <xsd:element name="_ip_UnifiedCompliancePolicyUIAction" ma:index="18" nillable="true" ma:displayName="Unified Compliance Policy UI Action" ma:descrip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d50812-d9dd-4fe0-8749-b08df9230db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9" nillable="true" ma:displayName="Sharing Hint Hash" ma:internalName="SharingHintHash" ma:readOnly="true">
      <xsd:simpleType>
        <xsd:restriction base="dms:Text"/>
      </xsd:simpleType>
    </xsd:element>
    <xsd:element name="SharedWithDetails" ma:index="10" nillable="true" ma:displayName="Shared With Details" ma:internalName="SharedWithDetails" ma:readOnly="true">
      <xsd:simpleType>
        <xsd:restriction base="dms:Note">
          <xsd:maxLength value="255"/>
        </xsd:restriction>
      </xsd:simpleType>
    </xsd:element>
    <xsd:element name="LastSharedByUser" ma:index="11" nillable="true" ma:displayName="Last Shared By User" ma:internalName="LastSharedByUser" ma:readOnly="true">
      <xsd:simpleType>
        <xsd:restriction base="dms:Note">
          <xsd:maxLength value="255"/>
        </xsd:restriction>
      </xsd:simpleType>
    </xsd:element>
    <xsd:element name="LastSharedByTime" ma:index="12" nillable="true" ma:displayName="Last Shared By Time" ma:description="" ma:internalName="LastSharedByTime" ma:readOnly="true">
      <xsd:simpleType>
        <xsd:restriction base="dms:DateTime"/>
      </xsd:simpleType>
    </xsd:element>
    <xsd:element name="TaxCatchAll" ma:index="28" nillable="true" ma:displayName="Taxonomy Catch All Column" ma:hidden="true" ma:list="{a6c188b6-e7de-4025-9391-37ea4ac18647}" ma:internalName="TaxCatchAll" ma:showField="CatchAllData" ma:web="3bd50812-d9dd-4fe0-8749-b08df9230db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66ac94a-7318-403d-b6d3-4059e2dd34a6" elementFormDefault="qualified">
    <xsd:import namespace="http://schemas.microsoft.com/office/2006/documentManagement/types"/>
    <xsd:import namespace="http://schemas.microsoft.com/office/infopath/2007/PartnerControls"/>
    <xsd:element name="MediaServiceMetadata" ma:index="13" nillable="true" ma:displayName="MediaServiceMetadata" ma:description="" ma:hidden="true" ma:internalName="MediaServiceMetadata" ma:readOnly="true">
      <xsd:simpleType>
        <xsd:restriction base="dms:Note"/>
      </xsd:simpleType>
    </xsd:element>
    <xsd:element name="MediaServiceFastMetadata" ma:index="14" nillable="true" ma:displayName="MediaServiceFastMetadata" ma:description="" ma:hidden="true" ma:internalName="MediaServiceFastMetadata" ma:readOnly="true">
      <xsd:simpleType>
        <xsd:restriction base="dms:Note"/>
      </xsd:simpleType>
    </xsd:element>
    <xsd:element name="MediaServiceDateTaken" ma:index="15" nillable="true" ma:displayName="MediaServiceDateTaken" ma:description="" ma:hidden="true" ma:internalName="MediaServiceDateTaken" ma:readOnly="true">
      <xsd:simpleType>
        <xsd:restriction base="dms:Text"/>
      </xsd:simpleType>
    </xsd:element>
    <xsd:element name="MediaServiceAutoTags" ma:index="16" nillable="true" ma:displayName="MediaServiceAutoTags" ma:description="" ma:internalName="MediaServiceAutoTags" ma:readOnly="true">
      <xsd:simpleType>
        <xsd:restriction base="dms:Text"/>
      </xsd:simpleType>
    </xsd:element>
    <xsd:element name="MediaServiceLocation" ma:index="19" nillable="true" ma:displayName="MediaServiceLocation" ma:internalName="MediaServiceLocation"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OCR" ma:index="22" nillable="true" ma:displayName="Extracted Text" ma:internalName="MediaServiceOCR" ma:readOnly="true">
      <xsd:simpleType>
        <xsd:restriction base="dms:Note">
          <xsd:maxLength value="255"/>
        </xsd:restriction>
      </xsd:simpleType>
    </xsd:element>
    <xsd:element name="MediaServiceAutoKeyPoints" ma:index="23" nillable="true" ma:displayName="MediaServiceAutoKeyPoints" ma:hidden="true" ma:internalName="MediaServiceAutoKeyPoints" ma:readOnly="true">
      <xsd:simpleType>
        <xsd:restriction base="dms:Note"/>
      </xsd:simpleType>
    </xsd:element>
    <xsd:element name="MediaServiceKeyPoints" ma:index="24" nillable="true" ma:displayName="KeyPoints" ma:internalName="MediaServiceKeyPoints" ma:readOnly="true">
      <xsd:simpleType>
        <xsd:restriction base="dms:Note">
          <xsd:maxLength value="255"/>
        </xsd:restriction>
      </xsd:simpleType>
    </xsd:element>
    <xsd:element name="MediaLengthInSeconds" ma:index="25" nillable="true" ma:displayName="MediaLengthInSeconds" ma:hidden="true" ma:internalName="MediaLengthInSeconds" ma:readOnly="true">
      <xsd:simpleType>
        <xsd:restriction base="dms:Unknown"/>
      </xsd:simpleType>
    </xsd:element>
    <xsd:element name="lcf76f155ced4ddcb4097134ff3c332f" ma:index="27" nillable="true" ma:taxonomy="true" ma:internalName="lcf76f155ced4ddcb4097134ff3c332f" ma:taxonomyFieldName="MediaServiceImageTags" ma:displayName="Image Tags" ma:readOnly="false" ma:fieldId="{5cf76f15-5ced-4ddc-b409-7134ff3c332f}" ma:taxonomyMulti="true" ma:sspId="40d633b9-b936-41ea-a85c-75481203ba1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9"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0" nillable="true" ma:displayName="MediaServiceSearchProperties" ma:hidden="true" ma:internalName="MediaServiceSearchProperties" ma:readOnly="true">
      <xsd:simpleType>
        <xsd:restriction base="dms:Note"/>
      </xsd:simpleType>
    </xsd:element>
    <xsd:element name="MediaServiceBillingMetadata" ma:index="31"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SharedWithUsers xmlns="3bd50812-d9dd-4fe0-8749-b08df9230dbb">
      <UserInfo>
        <DisplayName/>
        <AccountId xsi:nil="true"/>
        <AccountType/>
      </UserInfo>
    </SharedWithUsers>
    <lcf76f155ced4ddcb4097134ff3c332f xmlns="066ac94a-7318-403d-b6d3-4059e2dd34a6">
      <Terms xmlns="http://schemas.microsoft.com/office/infopath/2007/PartnerControls"/>
    </lcf76f155ced4ddcb4097134ff3c332f>
    <TaxCatchAll xmlns="3bd50812-d9dd-4fe0-8749-b08df9230dbb" xsi:nil="true"/>
  </documentManagement>
</p:properties>
</file>

<file path=customXml/itemProps1.xml><?xml version="1.0" encoding="utf-8"?>
<ds:datastoreItem xmlns:ds="http://schemas.openxmlformats.org/officeDocument/2006/customXml" ds:itemID="{30FEA392-0751-4FFF-B8E7-F9DE1936C483}">
  <ds:schemaRefs>
    <ds:schemaRef ds:uri="http://schemas.microsoft.com/sharepoint/v3/contenttype/forms"/>
  </ds:schemaRefs>
</ds:datastoreItem>
</file>

<file path=customXml/itemProps2.xml><?xml version="1.0" encoding="utf-8"?>
<ds:datastoreItem xmlns:ds="http://schemas.openxmlformats.org/officeDocument/2006/customXml" ds:itemID="{4B7F229D-F033-48D9-B301-146C666E51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bd50812-d9dd-4fe0-8749-b08df9230dbb"/>
    <ds:schemaRef ds:uri="066ac94a-7318-403d-b6d3-4059e2dd34a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669BBC8-D89F-4837-BAAA-7582D76F63CF}">
  <ds:schemaRefs>
    <ds:schemaRef ds:uri="http://schemas.microsoft.com/office/2006/metadata/properties"/>
    <ds:schemaRef ds:uri="http://schemas.microsoft.com/office/infopath/2007/PartnerControls"/>
    <ds:schemaRef ds:uri="http://schemas.microsoft.com/sharepoint/v3"/>
    <ds:schemaRef ds:uri="3bd50812-d9dd-4fe0-8749-b08df9230dbb"/>
    <ds:schemaRef ds:uri="066ac94a-7318-403d-b6d3-4059e2dd34a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Table of Contents</vt:lpstr>
      <vt:lpstr>1. Craft Historical</vt:lpstr>
      <vt:lpstr>2. Category Change Per Brewer</vt:lpstr>
      <vt:lpstr>3. Craft Control Group Data</vt:lpstr>
      <vt:lpstr>4. Large Brewer Regionals</vt:lpstr>
      <vt:lpstr>5. State Production</vt:lpstr>
      <vt:lpstr>6. Breweries by State</vt:lpstr>
      <vt:lpstr>7. 21+ Population Data</vt:lpstr>
      <vt:lpstr>8. TTB State Permit Data</vt:lpstr>
      <vt:lpstr>9. Do Not Publish 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Bart Watson</dc:creator>
  <cp:keywords/>
  <dc:description/>
  <cp:lastModifiedBy>Matt Gacioch</cp:lastModifiedBy>
  <cp:revision/>
  <dcterms:created xsi:type="dcterms:W3CDTF">2019-05-22T16:13:10Z</dcterms:created>
  <dcterms:modified xsi:type="dcterms:W3CDTF">2025-07-17T21:20:39Z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0x0101008E69061D069D6144B4F58A1A1D202164</vt:lpwstr>
  </property>
  <property fmtid="{D5CDD505-2E9C-101B-9397-08002B2CF9AE}" pid="3" name="ComplianceAssetId">
    <vt:lpwstr/>
  </property>
  <property fmtid="{D5CDD505-2E9C-101B-9397-08002B2CF9AE}" pid="4" name="_ExtendedDescription">
    <vt:lpwstr/>
  </property>
  <property fmtid="{D5CDD505-2E9C-101B-9397-08002B2CF9AE}" pid="5" name="TriggerFlowInfo">
    <vt:lpwstr/>
  </property>
  <property fmtid="{D5CDD505-2E9C-101B-9397-08002B2CF9AE}" pid="6" name="MediaServiceImageTags">
    <vt:lpwstr/>
  </property>
</Properties>
</file>